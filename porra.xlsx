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0" documentId="8_{A6AA7A2E-7A45-4526-9923-C81389E3D302}" xr6:coauthVersionLast="47" xr6:coauthVersionMax="47" xr10:uidLastSave="{00000000-0000-0000-0000-000000000000}"/>
  <workbookProtection workbookAlgorithmName="SHA-512" workbookHashValue="uBXpyMDsEShttvzwZ3TnnK+QO0h+/gvokI3X/6XIga9vEUM+kgb/RZaDH3aOmF8IeQejMDSauTOoPpsz5iNMMw==" workbookSaltValue="evYRK5qNq9uFJ8z2dNM54Q==" workbookSpinCount="100000" lockStructure="1"/>
  <bookViews>
    <workbookView xWindow="-108" yWindow="-108" windowWidth="23256" windowHeight="13896"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B6" i="6" s="1"/>
  <c r="A13" i="3" s="1"/>
  <c r="AY14" i="3" s="1"/>
  <c r="J256" i="36"/>
  <c r="G256" i="36" s="1"/>
  <c r="D256" i="36" s="1"/>
  <c r="K46" i="6" s="1"/>
  <c r="J222" i="36"/>
  <c r="G222" i="36" s="1"/>
  <c r="D222" i="36" s="1"/>
  <c r="AB13" i="32"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K6" i="6" s="1"/>
  <c r="J258" i="36"/>
  <c r="G258" i="36" s="1"/>
  <c r="D258" i="36" s="1"/>
  <c r="K48" i="6" s="1"/>
  <c r="J212" i="36"/>
  <c r="G212" i="36" s="1"/>
  <c r="D212" i="36" s="1"/>
  <c r="J227" i="36"/>
  <c r="G227" i="36" s="1"/>
  <c r="D227" i="36" s="1"/>
  <c r="J225" i="36"/>
  <c r="G225" i="36" s="1"/>
  <c r="D225" i="36" s="1"/>
  <c r="J228" i="36"/>
  <c r="G228" i="36" s="1"/>
  <c r="D228" i="36" s="1"/>
  <c r="B21" i="6" s="1"/>
  <c r="J244" i="36"/>
  <c r="G244" i="36" s="1"/>
  <c r="D244" i="36" s="1"/>
  <c r="J238" i="36"/>
  <c r="G238" i="36" s="1"/>
  <c r="D238" i="36" s="1"/>
  <c r="J257" i="36"/>
  <c r="G257" i="36" s="1"/>
  <c r="D257" i="36" s="1"/>
  <c r="J251" i="36"/>
  <c r="G251" i="36" s="1"/>
  <c r="D251" i="36" s="1"/>
  <c r="J218" i="36"/>
  <c r="G218" i="36" s="1"/>
  <c r="D218" i="36" s="1"/>
  <c r="K8" i="6" s="1"/>
  <c r="J229" i="36"/>
  <c r="G229" i="36" s="1"/>
  <c r="D229" i="36" s="1"/>
  <c r="J243" i="36"/>
  <c r="G243" i="36" s="1"/>
  <c r="D243" i="36" s="1"/>
  <c r="J231" i="36"/>
  <c r="G231" i="36" s="1"/>
  <c r="D231" i="36" s="1"/>
  <c r="AB22" i="32" s="1"/>
  <c r="J220" i="36"/>
  <c r="G220" i="36" s="1"/>
  <c r="D220" i="36" s="1"/>
  <c r="J213" i="36"/>
  <c r="G213" i="36" s="1"/>
  <c r="D213" i="36" s="1"/>
  <c r="J252" i="36"/>
  <c r="G252" i="36" s="1"/>
  <c r="D252" i="36" s="1"/>
  <c r="J233" i="36"/>
  <c r="G233" i="36" s="1"/>
  <c r="D233" i="36" s="1"/>
  <c r="B34" i="6" s="1"/>
  <c r="J248" i="36"/>
  <c r="G248" i="36" s="1"/>
  <c r="D248" i="36" s="1"/>
  <c r="J255" i="36"/>
  <c r="G255" i="36" s="1"/>
  <c r="D255" i="36" s="1"/>
  <c r="J242" i="36"/>
  <c r="G242" i="36" s="1"/>
  <c r="D242" i="36" s="1"/>
  <c r="J215" i="36"/>
  <c r="G215" i="36" s="1"/>
  <c r="D215" i="36" s="1"/>
  <c r="B38" i="6" s="1"/>
  <c r="J214" i="36"/>
  <c r="G214" i="36" s="1"/>
  <c r="D214" i="36" s="1"/>
  <c r="AB5" i="32" s="1"/>
  <c r="J217" i="36"/>
  <c r="G217" i="36" s="1"/>
  <c r="D217" i="36" s="1"/>
  <c r="J239" i="36"/>
  <c r="G239" i="36" s="1"/>
  <c r="D239" i="36" s="1"/>
  <c r="J247" i="36"/>
  <c r="G247" i="36" s="1"/>
  <c r="D247" i="36" s="1"/>
  <c r="K37" i="6" s="1"/>
  <c r="J254" i="36"/>
  <c r="G254" i="36" s="1"/>
  <c r="D254" i="36" s="1"/>
  <c r="J253" i="36"/>
  <c r="G253" i="36" s="1"/>
  <c r="D253" i="36" s="1"/>
  <c r="J223" i="36"/>
  <c r="G223" i="36" s="1"/>
  <c r="D223" i="36" s="1"/>
  <c r="J236" i="36"/>
  <c r="G236" i="36" s="1"/>
  <c r="D236" i="36" s="1"/>
  <c r="B46" i="6" s="1"/>
  <c r="J226" i="36"/>
  <c r="G226" i="36" s="1"/>
  <c r="D226" i="36" s="1"/>
  <c r="J234" i="36"/>
  <c r="G234" i="36" s="1"/>
  <c r="D234" i="36" s="1"/>
  <c r="J245" i="36"/>
  <c r="G245" i="36" s="1"/>
  <c r="D245" i="36" s="1"/>
  <c r="K35" i="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E7" i="48" s="1"/>
  <c r="D4" i="3"/>
  <c r="D166" i="46"/>
  <c r="B166" i="46"/>
  <c r="A166" i="46"/>
  <c r="Q166" i="46" s="1"/>
  <c r="E166" i="46"/>
  <c r="L166" i="46"/>
  <c r="N166" i="46"/>
  <c r="O166" i="46"/>
  <c r="L202" i="46"/>
  <c r="L203" i="46"/>
  <c r="L204" i="46"/>
  <c r="L205" i="46"/>
  <c r="M205" i="46" s="1"/>
  <c r="L206" i="46"/>
  <c r="M206" i="46" s="1"/>
  <c r="L207" i="46"/>
  <c r="M207" i="46"/>
  <c r="I1" i="50"/>
  <c r="M262" i="46"/>
  <c r="N6" i="46"/>
  <c r="O6" i="46"/>
  <c r="P6" i="46"/>
  <c r="D204" i="46"/>
  <c r="A165" i="46"/>
  <c r="E165" i="46" s="1"/>
  <c r="B165" i="46"/>
  <c r="A167" i="46"/>
  <c r="Q167" i="46" s="1"/>
  <c r="B167" i="46"/>
  <c r="A168" i="46"/>
  <c r="E168" i="46" s="1"/>
  <c r="B168" i="46"/>
  <c r="A169" i="46"/>
  <c r="B169" i="46"/>
  <c r="E169" i="46"/>
  <c r="A170" i="46"/>
  <c r="B170" i="46"/>
  <c r="A171" i="46"/>
  <c r="B171" i="46"/>
  <c r="A172" i="46"/>
  <c r="E172" i="46" s="1"/>
  <c r="B172" i="46"/>
  <c r="A173" i="46"/>
  <c r="B173" i="46"/>
  <c r="E173" i="46"/>
  <c r="A174" i="46"/>
  <c r="E174" i="46" s="1"/>
  <c r="B174" i="46"/>
  <c r="A175" i="46"/>
  <c r="B175" i="46"/>
  <c r="A176" i="46"/>
  <c r="B176" i="46"/>
  <c r="Q176" i="46" s="1"/>
  <c r="A177" i="46"/>
  <c r="B177" i="46"/>
  <c r="A178" i="46"/>
  <c r="B178" i="46"/>
  <c r="A179" i="46"/>
  <c r="Q179" i="46" s="1"/>
  <c r="B179" i="46"/>
  <c r="A164" i="46"/>
  <c r="E164" i="46" s="1"/>
  <c r="B164" i="46"/>
  <c r="N165" i="46"/>
  <c r="P165" i="46" s="1"/>
  <c r="O165" i="46"/>
  <c r="N167" i="46"/>
  <c r="O167" i="46"/>
  <c r="N168" i="46"/>
  <c r="O168" i="46"/>
  <c r="P168" i="46" s="1"/>
  <c r="N169" i="46"/>
  <c r="O169" i="46"/>
  <c r="N170" i="46"/>
  <c r="P170" i="46" s="1"/>
  <c r="O170" i="46"/>
  <c r="N171" i="46"/>
  <c r="P171" i="46" s="1"/>
  <c r="O171" i="46"/>
  <c r="N172" i="46"/>
  <c r="P172" i="46" s="1"/>
  <c r="O172" i="46"/>
  <c r="M172" i="46" s="1"/>
  <c r="N173" i="46"/>
  <c r="M173" i="46" s="1"/>
  <c r="O173" i="46"/>
  <c r="N174" i="46"/>
  <c r="O174" i="46"/>
  <c r="N175" i="46"/>
  <c r="O175" i="46"/>
  <c r="N176" i="46"/>
  <c r="O176" i="46"/>
  <c r="N177" i="46"/>
  <c r="O177" i="46"/>
  <c r="N178" i="46"/>
  <c r="O178" i="46"/>
  <c r="N179" i="46"/>
  <c r="P179" i="46" s="1"/>
  <c r="O179" i="46"/>
  <c r="N164" i="46"/>
  <c r="M164" i="46" s="1"/>
  <c r="O164" i="46"/>
  <c r="N8" i="46"/>
  <c r="O8" i="46"/>
  <c r="M8" i="46"/>
  <c r="P8" i="46"/>
  <c r="N7" i="46"/>
  <c r="O7" i="46"/>
  <c r="P7" i="46"/>
  <c r="Q32" i="6"/>
  <c r="Q26" i="6"/>
  <c r="L247" i="46"/>
  <c r="L244" i="46"/>
  <c r="L233" i="46"/>
  <c r="L232" i="46"/>
  <c r="M232" i="46"/>
  <c r="L223" i="46"/>
  <c r="L222" i="46"/>
  <c r="M222" i="46" s="1"/>
  <c r="L221" i="46"/>
  <c r="L220" i="46"/>
  <c r="M220" i="46" s="1"/>
  <c r="L201" i="46"/>
  <c r="L200" i="46"/>
  <c r="L179" i="46"/>
  <c r="M179" i="46" s="1"/>
  <c r="L178" i="46"/>
  <c r="M178" i="46" s="1"/>
  <c r="L177" i="46"/>
  <c r="L176" i="46"/>
  <c r="M176" i="46" s="1"/>
  <c r="L175" i="46"/>
  <c r="L174" i="46"/>
  <c r="L173" i="46"/>
  <c r="L172" i="46"/>
  <c r="L171" i="46"/>
  <c r="L170" i="46"/>
  <c r="L169" i="46"/>
  <c r="M169" i="46" s="1"/>
  <c r="L168" i="46"/>
  <c r="M168" i="46" s="1"/>
  <c r="L167" i="46"/>
  <c r="M167" i="46" s="1"/>
  <c r="L165" i="46"/>
  <c r="M165" i="46" s="1"/>
  <c r="L164" i="46"/>
  <c r="O247" i="46"/>
  <c r="B247" i="46"/>
  <c r="A247" i="46"/>
  <c r="Q247" i="46" s="1"/>
  <c r="N247" i="46"/>
  <c r="M247" i="46" s="1"/>
  <c r="B244" i="46"/>
  <c r="A244" i="46"/>
  <c r="Q244" i="46" s="1"/>
  <c r="E244" i="46"/>
  <c r="O244" i="46"/>
  <c r="N244" i="46"/>
  <c r="M244" i="46" s="1"/>
  <c r="A233" i="46"/>
  <c r="E233" i="46" s="1"/>
  <c r="B233" i="46"/>
  <c r="B232" i="46"/>
  <c r="A232" i="46"/>
  <c r="E232" i="46"/>
  <c r="O233" i="46"/>
  <c r="N233" i="46"/>
  <c r="O232" i="46"/>
  <c r="N232" i="46"/>
  <c r="P232" i="46" s="1"/>
  <c r="A220" i="46"/>
  <c r="B220" i="46"/>
  <c r="E220" i="46" s="1"/>
  <c r="B223" i="46"/>
  <c r="A223" i="46"/>
  <c r="E223" i="46" s="1"/>
  <c r="B222" i="46"/>
  <c r="E222" i="46" s="1"/>
  <c r="A222" i="46"/>
  <c r="B221" i="46"/>
  <c r="A221" i="46"/>
  <c r="O223" i="46"/>
  <c r="N223" i="46"/>
  <c r="O222" i="46"/>
  <c r="N222" i="46"/>
  <c r="O221" i="46"/>
  <c r="N221" i="46"/>
  <c r="O220" i="46"/>
  <c r="N220" i="46"/>
  <c r="P220" i="46" s="1"/>
  <c r="B207" i="46"/>
  <c r="A207" i="46"/>
  <c r="E207" i="46" s="1"/>
  <c r="B206" i="46"/>
  <c r="A206" i="46"/>
  <c r="B205" i="46"/>
  <c r="A205" i="46"/>
  <c r="E205" i="46" s="1"/>
  <c r="B204" i="46"/>
  <c r="A204" i="46"/>
  <c r="Q204" i="46" s="1"/>
  <c r="E204" i="46"/>
  <c r="B203" i="46"/>
  <c r="A203" i="46"/>
  <c r="E203" i="46" s="1"/>
  <c r="B202" i="46"/>
  <c r="E202" i="46" s="1"/>
  <c r="Q202" i="46"/>
  <c r="A202" i="46"/>
  <c r="B201" i="46"/>
  <c r="Q201" i="46" s="1"/>
  <c r="A201" i="46"/>
  <c r="B200" i="46"/>
  <c r="A200" i="46"/>
  <c r="Q200" i="46" s="1"/>
  <c r="O207" i="46"/>
  <c r="N207" i="46"/>
  <c r="O206" i="46"/>
  <c r="N206" i="46"/>
  <c r="P206" i="46" s="1"/>
  <c r="O205" i="46"/>
  <c r="N205" i="46"/>
  <c r="O204" i="46"/>
  <c r="P204" i="46" s="1"/>
  <c r="N204" i="46"/>
  <c r="O203" i="46"/>
  <c r="N203" i="46"/>
  <c r="P203" i="46" s="1"/>
  <c r="O202" i="46"/>
  <c r="N202" i="46"/>
  <c r="O201" i="46"/>
  <c r="N201" i="46"/>
  <c r="P201" i="46" s="1"/>
  <c r="O200" i="46"/>
  <c r="N200" i="46"/>
  <c r="N29" i="46"/>
  <c r="M29" i="46" s="1"/>
  <c r="P29" i="46"/>
  <c r="O9" i="46"/>
  <c r="O10" i="46"/>
  <c r="O11" i="46"/>
  <c r="O12" i="46"/>
  <c r="O13" i="46"/>
  <c r="O14" i="46"/>
  <c r="O15" i="46"/>
  <c r="O16" i="46"/>
  <c r="O17" i="46"/>
  <c r="O18" i="46"/>
  <c r="O19" i="46"/>
  <c r="O20" i="46"/>
  <c r="O21" i="46"/>
  <c r="Q21" i="46"/>
  <c r="O22" i="46"/>
  <c r="O23" i="46"/>
  <c r="O24" i="46"/>
  <c r="O25" i="46"/>
  <c r="O26" i="46"/>
  <c r="Q26" i="46" s="1"/>
  <c r="O27" i="46"/>
  <c r="M27" i="46" s="1"/>
  <c r="DX27" i="46" s="1"/>
  <c r="O28" i="46"/>
  <c r="N28" i="46"/>
  <c r="P28" i="46"/>
  <c r="O29" i="46"/>
  <c r="Q29" i="46" s="1"/>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N77" i="46"/>
  <c r="N76" i="46"/>
  <c r="P76" i="46"/>
  <c r="N75" i="46"/>
  <c r="N74" i="46"/>
  <c r="M74" i="46" s="1"/>
  <c r="CW74" i="46" s="1"/>
  <c r="N73" i="46"/>
  <c r="M73" i="46" s="1"/>
  <c r="DO73" i="46" s="1"/>
  <c r="N72" i="46"/>
  <c r="N71" i="46"/>
  <c r="N70" i="46"/>
  <c r="N69" i="46"/>
  <c r="N68" i="46"/>
  <c r="N67" i="46"/>
  <c r="N66" i="46"/>
  <c r="N65" i="46"/>
  <c r="M65" i="46"/>
  <c r="N64" i="46"/>
  <c r="N63" i="46"/>
  <c r="N62" i="46"/>
  <c r="N61" i="46"/>
  <c r="N60" i="46"/>
  <c r="N59" i="46"/>
  <c r="N58" i="46"/>
  <c r="M58" i="46"/>
  <c r="N57" i="46"/>
  <c r="M57" i="46"/>
  <c r="N56" i="46"/>
  <c r="N55" i="46"/>
  <c r="N54" i="46"/>
  <c r="O54" i="46"/>
  <c r="P54" i="46"/>
  <c r="N53" i="46"/>
  <c r="N51" i="46"/>
  <c r="M51" i="46" s="1"/>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M75" i="46" s="1"/>
  <c r="O75" i="46"/>
  <c r="P74" i="46"/>
  <c r="O74" i="46"/>
  <c r="P73" i="46"/>
  <c r="O73" i="46"/>
  <c r="Q73" i="46" s="1"/>
  <c r="P72" i="46"/>
  <c r="O72" i="46"/>
  <c r="Q72" i="46" s="1"/>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M53" i="46" s="1"/>
  <c r="O52" i="46"/>
  <c r="M52" i="46" s="1"/>
  <c r="Q52" i="46"/>
  <c r="AX52" i="46" s="1"/>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D8" i="51" s="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D366" i="36"/>
  <c r="D443" i="36"/>
  <c r="D43" i="36"/>
  <c r="M37" i="46"/>
  <c r="E179" i="46"/>
  <c r="E247" i="46"/>
  <c r="E206"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2" i="46"/>
  <c r="M43" i="46"/>
  <c r="M16" i="46"/>
  <c r="E221" i="46"/>
  <c r="Q45" i="46"/>
  <c r="Q76" i="46"/>
  <c r="M61" i="46"/>
  <c r="M45" i="46"/>
  <c r="M69" i="46"/>
  <c r="M221" i="46"/>
  <c r="M49" i="46"/>
  <c r="M26" i="46"/>
  <c r="CW26" i="46" s="1"/>
  <c r="M50" i="46"/>
  <c r="EP50" i="46" s="1"/>
  <c r="M47" i="46"/>
  <c r="M62" i="46"/>
  <c r="M14" i="46"/>
  <c r="M17" i="46"/>
  <c r="D107" i="36"/>
  <c r="M84" i="34"/>
  <c r="S267" i="46"/>
  <c r="Q60" i="46"/>
  <c r="Q63" i="46"/>
  <c r="M63" i="46"/>
  <c r="M48" i="46"/>
  <c r="M41" i="46"/>
  <c r="M20" i="46"/>
  <c r="M7" i="46"/>
  <c r="Q27" i="46"/>
  <c r="CN27" i="46" s="1"/>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M253" i="46"/>
  <c r="AR253" i="46"/>
  <c r="D263" i="36"/>
  <c r="C60" i="46"/>
  <c r="D75" i="36"/>
  <c r="D92" i="36"/>
  <c r="L12" i="34"/>
  <c r="D104" i="36"/>
  <c r="L32" i="34"/>
  <c r="D169" i="36"/>
  <c r="K99" i="46"/>
  <c r="D194" i="36"/>
  <c r="K124" i="46"/>
  <c r="D463" i="36"/>
  <c r="K230" i="46"/>
  <c r="D175" i="36"/>
  <c r="D189" i="36"/>
  <c r="K119" i="46"/>
  <c r="D174" i="36"/>
  <c r="K104" i="46"/>
  <c r="D272" i="36"/>
  <c r="D484" i="36"/>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M254" i="46"/>
  <c r="EP254" i="46" s="1"/>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K245" i="46"/>
  <c r="H202" i="46"/>
  <c r="AH156" i="3"/>
  <c r="AG156" i="3"/>
  <c r="R7" i="51"/>
  <c r="Q62" i="46"/>
  <c r="Z62" i="46"/>
  <c r="B3" i="30"/>
  <c r="H212" i="46"/>
  <c r="C61" i="46"/>
  <c r="H258" i="46"/>
  <c r="Q25" i="6"/>
  <c r="H251" i="46"/>
  <c r="H205" i="46"/>
  <c r="H204" i="46"/>
  <c r="K196" i="46"/>
  <c r="H211" i="46"/>
  <c r="K259" i="46"/>
  <c r="H207" i="46"/>
  <c r="R4" i="47"/>
  <c r="P202" i="46"/>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H210" i="46"/>
  <c r="H179" i="46"/>
  <c r="H252" i="46"/>
  <c r="Q22" i="6"/>
  <c r="H247" i="46"/>
  <c r="AL5" i="3"/>
  <c r="AL69" i="3"/>
  <c r="AY69" i="3"/>
  <c r="Q53" i="46"/>
  <c r="S7" i="51"/>
  <c r="H257" i="46"/>
  <c r="H216" i="46"/>
  <c r="H200" i="46"/>
  <c r="H187" i="46"/>
  <c r="H215" i="46"/>
  <c r="Q56" i="46"/>
  <c r="AU56" i="46"/>
  <c r="K182" i="46"/>
  <c r="Q9" i="46"/>
  <c r="Q36" i="46"/>
  <c r="BP36" i="46"/>
  <c r="Q40" i="46"/>
  <c r="Q44" i="46"/>
  <c r="T44" i="46"/>
  <c r="Q30" i="46"/>
  <c r="Q65" i="46"/>
  <c r="BD65" i="46"/>
  <c r="Q232" i="46"/>
  <c r="Q33" i="46"/>
  <c r="AO33" i="46"/>
  <c r="Q37" i="46"/>
  <c r="Q41" i="46"/>
  <c r="AR41" i="46"/>
  <c r="Q49" i="46"/>
  <c r="AU49" i="46"/>
  <c r="P247" i="46"/>
  <c r="Q39" i="46"/>
  <c r="P222" i="46"/>
  <c r="M177" i="46"/>
  <c r="M255" i="46"/>
  <c r="DO255" i="46" s="1"/>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M203" i="46"/>
  <c r="M202" i="46"/>
  <c r="W45" i="46"/>
  <c r="W17" i="46"/>
  <c r="W7" i="46"/>
  <c r="W66" i="46"/>
  <c r="W41" i="46"/>
  <c r="W49" i="46"/>
  <c r="W63" i="46"/>
  <c r="W47" i="46"/>
  <c r="W21" i="46"/>
  <c r="W13" i="46"/>
  <c r="W62" i="46"/>
  <c r="W37"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R26" i="46"/>
  <c r="BV26" i="46"/>
  <c r="AX21" i="46"/>
  <c r="BP21" i="46"/>
  <c r="Z21" i="46"/>
  <c r="BG33" i="46"/>
  <c r="CE33" i="46"/>
  <c r="AL33" i="46"/>
  <c r="BJ33"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C56" i="46"/>
  <c r="BA56" i="46"/>
  <c r="AI58" i="46"/>
  <c r="BG58" i="46"/>
  <c r="AC36" i="46"/>
  <c r="BV41" i="46"/>
  <c r="BY44" i="46"/>
  <c r="AI45" i="46"/>
  <c r="BV47" i="46"/>
  <c r="CE49" i="46"/>
  <c r="AF56" i="46"/>
  <c r="CB56" i="46"/>
  <c r="AL58" i="46"/>
  <c r="BJ58" i="46"/>
  <c r="CH58" i="46"/>
  <c r="AF36" i="46"/>
  <c r="BY41" i="46"/>
  <c r="BD45" i="46"/>
  <c r="BY47" i="46"/>
  <c r="AF49" i="46"/>
  <c r="CH49" i="46"/>
  <c r="AI56" i="46"/>
  <c r="BG56" i="46"/>
  <c r="CE56" i="46"/>
  <c r="CK58" i="46"/>
  <c r="AX36" i="46"/>
  <c r="Z37" i="46"/>
  <c r="BG45" i="46"/>
  <c r="Z47" i="46"/>
  <c r="CB47" i="46"/>
  <c r="CB37" i="46"/>
  <c r="BJ45" i="46"/>
  <c r="AC47" i="46"/>
  <c r="AL49" i="46"/>
  <c r="BV52" i="46"/>
  <c r="AO56" i="46"/>
  <c r="BM56" i="46"/>
  <c r="CN45" i="46"/>
  <c r="AX47" i="46"/>
  <c r="Z58" i="46"/>
  <c r="BP58" i="46"/>
  <c r="BS62" i="46"/>
  <c r="AL63" i="46"/>
  <c r="BJ63" i="46"/>
  <c r="CH63" i="46"/>
  <c r="BA47" i="46"/>
  <c r="BG52" i="46"/>
  <c r="AC58" i="46"/>
  <c r="BS58" i="46"/>
  <c r="AX62" i="46"/>
  <c r="BV62" i="46"/>
  <c r="AO63" i="46"/>
  <c r="BM63" i="46"/>
  <c r="CK63" i="46"/>
  <c r="AI41" i="46"/>
  <c r="AR56" i="46"/>
  <c r="BV58" i="46"/>
  <c r="AC62" i="46"/>
  <c r="BA62" i="46"/>
  <c r="BY62" i="46"/>
  <c r="AR63" i="46"/>
  <c r="BP63" i="46"/>
  <c r="CN63" i="46"/>
  <c r="BV65" i="46"/>
  <c r="AL41" i="46"/>
  <c r="BY58" i="46"/>
  <c r="AF62" i="46"/>
  <c r="BD62" i="46"/>
  <c r="CB62" i="46"/>
  <c r="AU63" i="46"/>
  <c r="BS63" i="46"/>
  <c r="CQ63" i="46"/>
  <c r="AU41" i="46"/>
  <c r="BD49"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BA74" i="46"/>
  <c r="BY74" i="46"/>
  <c r="BG65" i="46"/>
  <c r="BD66" i="46"/>
  <c r="AF47" i="46"/>
  <c r="BG66" i="46"/>
  <c r="AC63" i="46"/>
  <c r="BM65" i="46"/>
  <c r="BY66" i="46"/>
  <c r="CE45" i="46"/>
  <c r="AX58" i="46"/>
  <c r="BJ62" i="46"/>
  <c r="AC66" i="46"/>
  <c r="AF63" i="46"/>
  <c r="AI66" i="46"/>
  <c r="AI63" i="46"/>
  <c r="CB66" i="46"/>
  <c r="Z7" i="46"/>
  <c r="CE66" i="46"/>
  <c r="BV56" i="46"/>
  <c r="AR44" i="46"/>
  <c r="Q46" i="46"/>
  <c r="P221" i="46"/>
  <c r="Q68" i="46"/>
  <c r="Q16" i="46"/>
  <c r="T65" i="46"/>
  <c r="Q220" i="46"/>
  <c r="Q14" i="46"/>
  <c r="Q8" i="46"/>
  <c r="P178" i="46"/>
  <c r="P174" i="46"/>
  <c r="Q173" i="46"/>
  <c r="Q169" i="46"/>
  <c r="T47" i="46"/>
  <c r="Q50" i="46"/>
  <c r="Q70" i="46"/>
  <c r="Q71" i="46"/>
  <c r="Q23" i="46"/>
  <c r="M46" i="46"/>
  <c r="M71" i="46"/>
  <c r="M70" i="46"/>
  <c r="M23" i="46"/>
  <c r="Q22" i="46"/>
  <c r="M22" i="46"/>
  <c r="T26" i="46"/>
  <c r="Q43" i="46"/>
  <c r="T17" i="46"/>
  <c r="Q64" i="46"/>
  <c r="T36" i="46"/>
  <c r="T13" i="46"/>
  <c r="Q34" i="46"/>
  <c r="T7" i="46"/>
  <c r="F5" i="48" a="1"/>
  <c r="F5" i="48" s="1"/>
  <c r="V267" i="46"/>
  <c r="M39" i="46"/>
  <c r="Q12" i="46"/>
  <c r="M233" i="46"/>
  <c r="P233" i="46"/>
  <c r="E176" i="46"/>
  <c r="M35" i="46"/>
  <c r="Q35" i="46"/>
  <c r="Q51" i="46"/>
  <c r="T63" i="46"/>
  <c r="Q11" i="46"/>
  <c r="M64" i="46"/>
  <c r="M25" i="46"/>
  <c r="M10" i="46"/>
  <c r="Q18" i="46"/>
  <c r="Q57" i="46"/>
  <c r="T57" i="46"/>
  <c r="Q61" i="46"/>
  <c r="Q69" i="46"/>
  <c r="M12" i="46"/>
  <c r="M24" i="46"/>
  <c r="Q171" i="46"/>
  <c r="M32" i="46"/>
  <c r="M40" i="46"/>
  <c r="T40" i="46"/>
  <c r="Q48" i="46"/>
  <c r="M19" i="46"/>
  <c r="D65" i="46"/>
  <c r="M59" i="46"/>
  <c r="T59" i="46"/>
  <c r="M15" i="46"/>
  <c r="M60" i="46"/>
  <c r="M68" i="46"/>
  <c r="T68" i="46"/>
  <c r="M200" i="46"/>
  <c r="P200" i="46"/>
  <c r="Q221" i="46"/>
  <c r="M223" i="46"/>
  <c r="H153" i="46"/>
  <c r="H144" i="46"/>
  <c r="H145" i="46"/>
  <c r="H160" i="46"/>
  <c r="K189" i="46"/>
  <c r="K242" i="46"/>
  <c r="H154" i="46"/>
  <c r="Q20" i="6"/>
  <c r="H136" i="46"/>
  <c r="K188" i="46"/>
  <c r="K105" i="46"/>
  <c r="H146" i="46"/>
  <c r="K109" i="46"/>
  <c r="K214" i="46"/>
  <c r="K210" i="46"/>
  <c r="K216" i="46"/>
  <c r="K212" i="46"/>
  <c r="K211" i="46"/>
  <c r="K217" i="46"/>
  <c r="P175" i="46"/>
  <c r="P167"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195" i="46"/>
  <c r="K192" i="46"/>
  <c r="K187" i="46"/>
  <c r="M18" i="46"/>
  <c r="T18" i="46"/>
  <c r="T49" i="46"/>
  <c r="M42" i="46"/>
  <c r="T41" i="46"/>
  <c r="Q38" i="46"/>
  <c r="M34" i="46"/>
  <c r="Q32" i="46"/>
  <c r="Q31" i="46"/>
  <c r="Q25" i="46"/>
  <c r="Q24" i="46"/>
  <c r="T21" i="46"/>
  <c r="Q20" i="46"/>
  <c r="Q19" i="46"/>
  <c r="Q15" i="46"/>
  <c r="Q10" i="46"/>
  <c r="M9" i="46"/>
  <c r="T9" i="46"/>
  <c r="Q67" i="46"/>
  <c r="T56"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515" i="36"/>
  <c r="B1" i="52"/>
  <c r="P223" i="46"/>
  <c r="P207" i="46"/>
  <c r="Q206" i="46"/>
  <c r="P205" i="46"/>
  <c r="E200" i="46"/>
  <c r="Q177" i="46"/>
  <c r="E171" i="46"/>
  <c r="Q178" i="46"/>
  <c r="E177" i="46"/>
  <c r="Q175" i="46"/>
  <c r="M55" i="46"/>
  <c r="AL55" i="46"/>
  <c r="M30" i="46"/>
  <c r="Q54" i="46"/>
  <c r="M175" i="46"/>
  <c r="E175" i="46"/>
  <c r="Q170" i="46"/>
  <c r="Q165" i="46"/>
  <c r="M67" i="46"/>
  <c r="L27" i="6"/>
  <c r="M27" i="6"/>
  <c r="O237" i="36"/>
  <c r="J237" i="36"/>
  <c r="G237" i="36" s="1"/>
  <c r="D237" i="36" s="1"/>
  <c r="Q42" i="46"/>
  <c r="T66" i="46"/>
  <c r="M6" i="46"/>
  <c r="E178" i="46"/>
  <c r="E170" i="46"/>
  <c r="M166" i="46"/>
  <c r="M170" i="46"/>
  <c r="P177" i="46"/>
  <c r="M174" i="46"/>
  <c r="P166" i="46"/>
  <c r="P169" i="46"/>
  <c r="P176" i="46"/>
  <c r="M54" i="46"/>
  <c r="M31" i="46"/>
  <c r="F6" i="48" a="1"/>
  <c r="F6" i="48" s="1"/>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Z32" i="3"/>
  <c r="AJ85" i="3"/>
  <c r="AJ21" i="3"/>
  <c r="Z40" i="3"/>
  <c r="AJ77" i="3"/>
  <c r="FJ200" i="46"/>
  <c r="AJ37" i="3"/>
  <c r="CE254" i="46"/>
  <c r="AJ69" i="3"/>
  <c r="FG200" i="46"/>
  <c r="AJ61" i="3"/>
  <c r="AH155" i="3"/>
  <c r="AG155" i="3"/>
  <c r="AJ93" i="3"/>
  <c r="Z49" i="3"/>
  <c r="EM254" i="46"/>
  <c r="Z73" i="3"/>
  <c r="AJ45" i="3"/>
  <c r="Z16" i="3"/>
  <c r="EL200" i="46"/>
  <c r="Z17" i="3"/>
  <c r="K227" i="46"/>
  <c r="Z72" i="3"/>
  <c r="Z97" i="3"/>
  <c r="Z80" i="3"/>
  <c r="Z96" i="3"/>
  <c r="Z81" i="3"/>
  <c r="Z24" i="3"/>
  <c r="H236" i="46"/>
  <c r="Z88" i="3"/>
  <c r="Z56" i="3"/>
  <c r="Z9" i="3"/>
  <c r="Z48" i="3"/>
  <c r="Z57" i="3"/>
  <c r="Z41" i="3"/>
  <c r="Z64" i="3"/>
  <c r="I4" i="47"/>
  <c r="Z25" i="3"/>
  <c r="Z65" i="3"/>
  <c r="M258" i="46"/>
  <c r="AX258" i="46" s="1"/>
  <c r="K132" i="46"/>
  <c r="K238" i="46"/>
  <c r="Y142" i="3"/>
  <c r="Y51" i="3"/>
  <c r="H4" i="47"/>
  <c r="Y91" i="3"/>
  <c r="Y11" i="3"/>
  <c r="Y27" i="3"/>
  <c r="Y43" i="3"/>
  <c r="K136" i="46"/>
  <c r="Y67" i="3"/>
  <c r="DX254" i="46"/>
  <c r="BS254" i="46"/>
  <c r="AD100" i="3"/>
  <c r="AD43" i="3"/>
  <c r="AD75" i="3"/>
  <c r="Y100" i="3"/>
  <c r="CZ254" i="46"/>
  <c r="CT254" i="46"/>
  <c r="Y146" i="3"/>
  <c r="Y75" i="3"/>
  <c r="AM93" i="3"/>
  <c r="AM37" i="3"/>
  <c r="H240" i="46"/>
  <c r="AA142" i="3"/>
  <c r="AM13" i="3"/>
  <c r="DL253" i="46"/>
  <c r="AD51" i="3"/>
  <c r="AA51" i="3"/>
  <c r="DT51" i="3"/>
  <c r="EX200" i="46"/>
  <c r="CK253" i="46"/>
  <c r="AD142" i="3"/>
  <c r="AA130" i="3"/>
  <c r="AI253" i="46"/>
  <c r="AF253" i="46"/>
  <c r="FD200" i="46"/>
  <c r="DC253" i="46"/>
  <c r="BA254" i="46"/>
  <c r="BJ254" i="46"/>
  <c r="H237" i="46"/>
  <c r="ER200" i="46"/>
  <c r="AU253" i="46"/>
  <c r="T253" i="46"/>
  <c r="AM61" i="3"/>
  <c r="AD27" i="3"/>
  <c r="BJ253" i="46"/>
  <c r="DC254" i="46"/>
  <c r="FH254" i="46"/>
  <c r="Q24" i="6"/>
  <c r="AD59" i="3"/>
  <c r="EO200" i="46"/>
  <c r="ED253" i="46"/>
  <c r="EG30" i="46"/>
  <c r="Y59" i="3"/>
  <c r="K229" i="46"/>
  <c r="DF7" i="46"/>
  <c r="DL30" i="46"/>
  <c r="DI30" i="46"/>
  <c r="AF142" i="3"/>
  <c r="H232" i="46"/>
  <c r="AF100" i="3"/>
  <c r="AF91" i="3"/>
  <c r="DT91" i="3"/>
  <c r="FG30" i="46"/>
  <c r="FH30" i="46"/>
  <c r="CW30" i="46"/>
  <c r="DR30" i="46"/>
  <c r="Y119" i="3"/>
  <c r="H229" i="46"/>
  <c r="AF19" i="3"/>
  <c r="AF35" i="3"/>
  <c r="EJ66" i="46"/>
  <c r="EG45" i="46"/>
  <c r="BM253"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DF41" i="46"/>
  <c r="FB66" i="46"/>
  <c r="ED45" i="46"/>
  <c r="CT17" i="46"/>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ES21" i="46"/>
  <c r="FB17" i="46"/>
  <c r="DF13" i="46"/>
  <c r="DX13" i="46"/>
  <c r="ES7" i="46"/>
  <c r="DC6" i="46"/>
  <c r="DF36" i="46"/>
  <c r="AD83" i="3"/>
  <c r="Z51" i="3"/>
  <c r="AD91" i="3"/>
  <c r="AA11" i="3"/>
  <c r="AA27" i="3"/>
  <c r="AA43" i="3"/>
  <c r="AM45" i="3"/>
  <c r="FE65" i="46"/>
  <c r="DL66" i="46"/>
  <c r="EG66" i="46"/>
  <c r="DF63" i="46"/>
  <c r="EM45" i="46"/>
  <c r="DL45" i="46"/>
  <c r="DC45" i="46"/>
  <c r="EY47" i="46"/>
  <c r="EP41" i="46"/>
  <c r="FE45" i="46"/>
  <c r="EM21" i="46"/>
  <c r="FB21" i="46"/>
  <c r="EV17" i="46"/>
  <c r="DU21" i="46"/>
  <c r="FH17" i="46"/>
  <c r="ED17" i="46"/>
  <c r="DC13" i="46"/>
  <c r="CZ13" i="46"/>
  <c r="EV7" i="46"/>
  <c r="FH7" i="46"/>
  <c r="DU7" i="46"/>
  <c r="BG253" i="46"/>
  <c r="BS253" i="46"/>
  <c r="CN253" i="46"/>
  <c r="FG6" i="46"/>
  <c r="FH6" i="46"/>
  <c r="EU6" i="46"/>
  <c r="EV6" i="46"/>
  <c r="K237" i="46"/>
  <c r="K128" i="46"/>
  <c r="Z91" i="3"/>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DO45" i="46"/>
  <c r="FH47" i="46"/>
  <c r="DU41" i="46"/>
  <c r="DX45" i="46"/>
  <c r="FE41"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L21" i="46"/>
  <c r="DU17" i="46"/>
  <c r="DX21" i="46"/>
  <c r="EP17" i="46"/>
  <c r="EY17" i="46"/>
  <c r="DU13" i="46"/>
  <c r="EL253" i="46"/>
  <c r="EM253" i="46"/>
  <c r="CE253" i="46"/>
  <c r="CZ253" i="46"/>
  <c r="FD6" i="46"/>
  <c r="FE6" i="46"/>
  <c r="CW6" i="46"/>
  <c r="AR21" i="3"/>
  <c r="AA67" i="3"/>
  <c r="AM29" i="3"/>
  <c r="EV66" i="46"/>
  <c r="EM65" i="46"/>
  <c r="DX66" i="46"/>
  <c r="CT66" i="46"/>
  <c r="CZ65" i="46"/>
  <c r="DX65" i="46"/>
  <c r="DR47" i="46"/>
  <c r="EJ45" i="46"/>
  <c r="FK47" i="46"/>
  <c r="FB41" i="46"/>
  <c r="DL47" i="46"/>
  <c r="ED47" i="46"/>
  <c r="DO41" i="46"/>
  <c r="ES45" i="46"/>
  <c r="DI41"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AM21" i="3"/>
  <c r="DI45" i="46"/>
  <c r="ED74" i="46"/>
  <c r="EP63" i="46"/>
  <c r="FK41" i="46"/>
  <c r="AA83" i="3"/>
  <c r="AM85" i="3"/>
  <c r="CZ66" i="46"/>
  <c r="DO65" i="46"/>
  <c r="DL65" i="46"/>
  <c r="EY66" i="46"/>
  <c r="EM66" i="46"/>
  <c r="DX63" i="46"/>
  <c r="EM63" i="46"/>
  <c r="CZ47" i="46"/>
  <c r="DI63" i="46"/>
  <c r="FK52" i="46"/>
  <c r="DL52" i="46"/>
  <c r="FH41" i="46"/>
  <c r="CT21" i="46"/>
  <c r="EA21" i="46"/>
  <c r="DO17" i="46"/>
  <c r="DI17" i="46"/>
  <c r="EJ13" i="46"/>
  <c r="DC7" i="46"/>
  <c r="CH253" i="46"/>
  <c r="CB253" i="46"/>
  <c r="AL253" i="46"/>
  <c r="ED6" i="46"/>
  <c r="AA19" i="3"/>
  <c r="AA35" i="3"/>
  <c r="AD19" i="3"/>
  <c r="EY63" i="46"/>
  <c r="CW66" i="46"/>
  <c r="FH65" i="46"/>
  <c r="DO66" i="46"/>
  <c r="DU63" i="46"/>
  <c r="DO63" i="46"/>
  <c r="EP45" i="46"/>
  <c r="EV49" i="46"/>
  <c r="DF45" i="46"/>
  <c r="FB45" i="46"/>
  <c r="EV41" i="46"/>
  <c r="FE49" i="46"/>
  <c r="EJ41" i="46"/>
  <c r="FH21" i="46"/>
  <c r="DO21" i="46"/>
  <c r="DC21" i="46"/>
  <c r="ES17" i="46"/>
  <c r="DI13" i="46"/>
  <c r="EP13" i="46"/>
  <c r="DL13" i="46"/>
  <c r="DL7" i="46"/>
  <c r="EA253" i="46"/>
  <c r="FJ253" i="46"/>
  <c r="FK253" i="46"/>
  <c r="DO6" i="46"/>
  <c r="DF6" i="46"/>
  <c r="T1" i="6"/>
  <c r="ED66" i="46"/>
  <c r="EJ7" i="46"/>
  <c r="Z67" i="3"/>
  <c r="Z83" i="3"/>
  <c r="AA100" i="3"/>
  <c r="AD130" i="3"/>
  <c r="CW63" i="46"/>
  <c r="EJ74" i="46"/>
  <c r="DI65" i="46"/>
  <c r="EV63" i="46"/>
  <c r="CZ63" i="46"/>
  <c r="EG65" i="46"/>
  <c r="DC41" i="46"/>
  <c r="EP65" i="46"/>
  <c r="EV47" i="46"/>
  <c r="DO52" i="46"/>
  <c r="FE58" i="46"/>
  <c r="EA45" i="46"/>
  <c r="FE47" i="46"/>
  <c r="DR41" i="46"/>
  <c r="EV45" i="46"/>
  <c r="DL41" i="46"/>
  <c r="FE13" i="46"/>
  <c r="DR13" i="46"/>
  <c r="EP7" i="46"/>
  <c r="DX253" i="46"/>
  <c r="EU253" i="46"/>
  <c r="EV253" i="46"/>
  <c r="FD253" i="46"/>
  <c r="FE253" i="46"/>
  <c r="DL6" i="46"/>
  <c r="EX6" i="46"/>
  <c r="EY6" i="46"/>
  <c r="J4" i="47"/>
  <c r="AZ53" i="3"/>
  <c r="AZ77" i="3"/>
  <c r="K139" i="46"/>
  <c r="EP47" i="46"/>
  <c r="DF21" i="46"/>
  <c r="FK13" i="46"/>
  <c r="EL6" i="46"/>
  <c r="EM6" i="46"/>
  <c r="ED41" i="46"/>
  <c r="FH63" i="46"/>
  <c r="EY45" i="46"/>
  <c r="DR21" i="46"/>
  <c r="EM13" i="46"/>
  <c r="CW56" i="46"/>
  <c r="DF65" i="46"/>
  <c r="FH66" i="46"/>
  <c r="DC63" i="46"/>
  <c r="DR65" i="46"/>
  <c r="FB63" i="46"/>
  <c r="CT47" i="46"/>
  <c r="DX47" i="46"/>
  <c r="FH45" i="46"/>
  <c r="CZ45" i="46"/>
  <c r="EG47" i="46"/>
  <c r="DU45"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FB44" i="46"/>
  <c r="FH58" i="46"/>
  <c r="CT58" i="46"/>
  <c r="EV58" i="46"/>
  <c r="ES58" i="46"/>
  <c r="ED58" i="46"/>
  <c r="DO58" i="46"/>
  <c r="DI67" i="46"/>
  <c r="BP253" i="46"/>
  <c r="AX253" i="46"/>
  <c r="EY44" i="46"/>
  <c r="EV44" i="46"/>
  <c r="DX44" i="46"/>
  <c r="ED53" i="46"/>
  <c r="DU53" i="46"/>
  <c r="DU44" i="46"/>
  <c r="CQ44" i="46"/>
  <c r="DC44" i="46"/>
  <c r="ED44" i="46"/>
  <c r="ES44" i="46"/>
  <c r="EA44" i="46"/>
  <c r="DO44" i="46"/>
  <c r="EM44" i="46"/>
  <c r="FE44" i="46"/>
  <c r="EY53" i="46"/>
  <c r="CN44" i="46"/>
  <c r="DL44" i="46"/>
  <c r="FK44" i="46"/>
  <c r="CW44" i="46"/>
  <c r="CK44" i="46"/>
  <c r="EJ44" i="46"/>
  <c r="FH44" i="46"/>
  <c r="EP44" i="46"/>
  <c r="AL85" i="3"/>
  <c r="AY85" i="3"/>
  <c r="AL13" i="3"/>
  <c r="AY13" i="3"/>
  <c r="CZ44" i="46"/>
  <c r="DI44" i="46"/>
  <c r="EG44" i="46"/>
  <c r="DR44" i="46"/>
  <c r="AL37" i="3"/>
  <c r="AY37" i="3"/>
  <c r="AL53" i="3"/>
  <c r="AY53" i="3"/>
  <c r="AL93" i="3"/>
  <c r="AY93" i="3"/>
  <c r="DF44" i="46"/>
  <c r="CT44" i="46"/>
  <c r="DC33"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G56" i="46"/>
  <c r="BP255" i="46"/>
  <c r="CN56" i="46"/>
  <c r="CK56" i="46"/>
  <c r="DF56" i="46"/>
  <c r="EV56" i="46"/>
  <c r="EV37" i="46"/>
  <c r="AU255" i="46"/>
  <c r="CH255" i="46"/>
  <c r="CH56" i="46"/>
  <c r="DX56" i="46"/>
  <c r="FH33" i="46"/>
  <c r="EY255" i="46"/>
  <c r="CW255" i="46"/>
  <c r="EJ37" i="46"/>
  <c r="CZ56" i="46"/>
  <c r="FE37" i="46"/>
  <c r="CZ33" i="46"/>
  <c r="EJ33" i="46"/>
  <c r="FB33" i="46"/>
  <c r="AR255" i="46"/>
  <c r="AG160" i="3"/>
  <c r="DR37" i="46"/>
  <c r="FH37" i="46"/>
  <c r="DU37" i="46"/>
  <c r="DL33" i="46"/>
  <c r="ED33" i="46"/>
  <c r="FE255" i="46"/>
  <c r="FB56" i="46"/>
  <c r="DR56" i="46"/>
  <c r="DX37" i="46"/>
  <c r="CQ37" i="46"/>
  <c r="EV33" i="46"/>
  <c r="CN33" i="46"/>
  <c r="DF33" i="46"/>
  <c r="CE255" i="46"/>
  <c r="AC255" i="46"/>
  <c r="DF37" i="46"/>
  <c r="EJ56" i="46"/>
  <c r="DO37" i="46"/>
  <c r="FK37" i="46"/>
  <c r="CT37" i="46"/>
  <c r="CT33" i="46"/>
  <c r="CH33" i="46"/>
  <c r="DI255" i="46"/>
  <c r="BG255" i="46"/>
  <c r="EG37" i="46"/>
  <c r="DL255" i="46"/>
  <c r="CK255" i="46"/>
  <c r="AI255" i="46"/>
  <c r="CQ64" i="46"/>
  <c r="EP33" i="46"/>
  <c r="EY56" i="46"/>
  <c r="DL37" i="46"/>
  <c r="CW37" i="46"/>
  <c r="CQ255" i="46"/>
  <c r="BM255" i="46"/>
  <c r="DC37" i="46"/>
  <c r="EA56" i="46"/>
  <c r="ES56" i="46"/>
  <c r="ES37" i="46"/>
  <c r="DU33" i="46"/>
  <c r="DR33" i="46"/>
  <c r="FK33" i="46"/>
  <c r="BD253" i="46"/>
  <c r="BY253" i="46"/>
  <c r="AO255" i="46"/>
  <c r="DX255" i="46"/>
  <c r="FK56" i="46"/>
  <c r="EA46" i="46"/>
  <c r="DL56" i="46"/>
  <c r="EP37" i="46"/>
  <c r="DC56" i="46"/>
  <c r="DU56" i="46"/>
  <c r="DX33" i="46"/>
  <c r="DI37" i="46"/>
  <c r="ES33" i="46"/>
  <c r="EM33" i="46"/>
  <c r="FE33" i="46"/>
  <c r="EY33" i="46"/>
  <c r="FK255" i="46"/>
  <c r="AX255" i="46"/>
  <c r="FH56" i="46"/>
  <c r="EM37" i="46"/>
  <c r="DO56" i="46"/>
  <c r="CN37" i="46"/>
  <c r="CK37" i="46"/>
  <c r="FB37" i="46"/>
  <c r="CW33" i="46"/>
  <c r="DO33" i="46"/>
  <c r="EG33" i="46"/>
  <c r="CQ253" i="46"/>
  <c r="BS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AR72" i="46"/>
  <c r="BA69" i="46"/>
  <c r="Z61" i="46"/>
  <c r="AR69" i="46"/>
  <c r="DR67" i="46"/>
  <c r="EV69" i="46"/>
  <c r="EM67" i="46"/>
  <c r="DO69" i="46"/>
  <c r="CB69" i="46"/>
  <c r="DI70" i="46"/>
  <c r="EV27" i="46"/>
  <c r="EY27" i="46"/>
  <c r="FK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E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W72" i="46"/>
  <c r="DI72" i="46"/>
  <c r="CT72" i="46"/>
  <c r="AC72" i="46"/>
  <c r="DX72" i="46"/>
  <c r="BY72" i="46"/>
  <c r="EJ72" i="46"/>
  <c r="CH72" i="46"/>
  <c r="AI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BG72" i="46"/>
  <c r="AU70" i="46"/>
  <c r="BP67" i="46"/>
  <c r="EP61" i="46"/>
  <c r="DX64" i="46"/>
  <c r="CW71" i="46"/>
  <c r="DU6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DU50" i="46"/>
  <c r="CT50" i="46"/>
  <c r="EG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DC71" i="46"/>
  <c r="DR73" i="46"/>
  <c r="BJ64" i="46"/>
  <c r="FH72"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FE68" i="46"/>
  <c r="EM61"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ED73" i="46"/>
  <c r="CE73" i="46"/>
  <c r="AU73" i="46"/>
  <c r="FB73" i="46"/>
  <c r="EA73" i="46"/>
  <c r="CQ73" i="46"/>
  <c r="AX73" i="46"/>
  <c r="BA73" i="46"/>
  <c r="AO73" i="46"/>
  <c r="EP73" i="46"/>
  <c r="ES73" i="46"/>
  <c r="BD73" i="46"/>
  <c r="BM73" i="46"/>
  <c r="CN73" i="46"/>
  <c r="DC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EA72" i="46"/>
  <c r="CQ70"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8" i="46"/>
  <c r="T14" i="46"/>
  <c r="T22" i="46"/>
  <c r="T46" i="46"/>
  <c r="T71" i="46"/>
  <c r="T23" i="46"/>
  <c r="T25" i="46"/>
  <c r="T20" i="46"/>
  <c r="T69" i="46"/>
  <c r="T43" i="46"/>
  <c r="T64" i="46"/>
  <c r="T15" i="46"/>
  <c r="T12" i="46"/>
  <c r="T10" i="46"/>
  <c r="T55" i="46"/>
  <c r="T11" i="46"/>
  <c r="T39" i="46"/>
  <c r="T42" i="46"/>
  <c r="T24" i="46"/>
  <c r="T67" i="46"/>
  <c r="T38" i="46"/>
  <c r="T30" i="46"/>
  <c r="T6" i="46"/>
  <c r="T54" i="46"/>
  <c r="F7" i="48" a="1"/>
  <c r="F7" i="48" s="1"/>
  <c r="E8" i="48"/>
  <c r="F8" i="48" s="1" a="1"/>
  <c r="F8" i="48" s="1"/>
  <c r="AC100" i="3"/>
  <c r="CT258" i="46"/>
  <c r="DT67" i="3"/>
  <c r="DX258" i="46"/>
  <c r="EG258" i="46"/>
  <c r="W258" i="46"/>
  <c r="DI258" i="46"/>
  <c r="AF258" i="46"/>
  <c r="EY258" i="46"/>
  <c r="DF258" i="46"/>
  <c r="FB258" i="46"/>
  <c r="DT100" i="3"/>
  <c r="CE258" i="46"/>
  <c r="FH258" i="46"/>
  <c r="DC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E9" i="48"/>
  <c r="W42" i="46"/>
  <c r="D16" i="51" l="1"/>
  <c r="D14" i="51"/>
  <c r="D17" i="51"/>
  <c r="D15" i="51"/>
  <c r="D9" i="51"/>
  <c r="D10" i="51"/>
  <c r="P244" i="46"/>
  <c r="Q233" i="46"/>
  <c r="Q222" i="46"/>
  <c r="Q223" i="46"/>
  <c r="Q207" i="46"/>
  <c r="Q203" i="46"/>
  <c r="Q205" i="46"/>
  <c r="E201" i="46"/>
  <c r="M204" i="46"/>
  <c r="M201" i="46"/>
  <c r="Q172" i="46"/>
  <c r="P164" i="46"/>
  <c r="Q168" i="46"/>
  <c r="E167" i="46"/>
  <c r="M171" i="46"/>
  <c r="Q164" i="46"/>
  <c r="Q174" i="46"/>
  <c r="P173" i="46"/>
  <c r="AU29" i="46"/>
  <c r="BP29" i="46"/>
  <c r="BA29" i="46"/>
  <c r="CZ29" i="46"/>
  <c r="EV29" i="46"/>
  <c r="AC29" i="46"/>
  <c r="BS29" i="46"/>
  <c r="EP29" i="46"/>
  <c r="BG29" i="46"/>
  <c r="BD29" i="46"/>
  <c r="DR29" i="46"/>
  <c r="CW29" i="46"/>
  <c r="EY29" i="46"/>
  <c r="DU29" i="46"/>
  <c r="CH29" i="46"/>
  <c r="EJ29" i="46"/>
  <c r="CK29" i="46"/>
  <c r="W29" i="46"/>
  <c r="BM29" i="46"/>
  <c r="Z29" i="46"/>
  <c r="DX29" i="46"/>
  <c r="DF29" i="46"/>
  <c r="CQ29" i="46"/>
  <c r="AI29" i="46"/>
  <c r="EM29" i="46"/>
  <c r="FE29" i="46"/>
  <c r="CN29" i="46"/>
  <c r="AX29" i="46"/>
  <c r="T29" i="46"/>
  <c r="FH29" i="46"/>
  <c r="CT29" i="46"/>
  <c r="BV29" i="46"/>
  <c r="CE29" i="46"/>
  <c r="CB29" i="46"/>
  <c r="EG29" i="46"/>
  <c r="AL29" i="46"/>
  <c r="ED29" i="46"/>
  <c r="FB29" i="46"/>
  <c r="DC29" i="46"/>
  <c r="DI29" i="46"/>
  <c r="BJ29" i="46"/>
  <c r="DL29" i="46"/>
  <c r="AO29" i="46"/>
  <c r="FK29" i="46"/>
  <c r="AR29" i="46"/>
  <c r="DO29" i="46"/>
  <c r="K49" i="6"/>
  <c r="AB50" i="32"/>
  <c r="B5" i="6"/>
  <c r="BD9" i="3" s="1"/>
  <c r="BY29" i="46"/>
  <c r="ES29" i="46"/>
  <c r="EA29" i="46"/>
  <c r="AF29" i="46"/>
  <c r="CB53" i="46"/>
  <c r="AR53" i="46"/>
  <c r="AI53" i="46"/>
  <c r="BV53" i="46"/>
  <c r="BG53" i="46"/>
  <c r="AL53" i="46"/>
  <c r="FE53" i="46"/>
  <c r="DL53" i="46"/>
  <c r="CE53" i="46"/>
  <c r="BJ53" i="46"/>
  <c r="EV53" i="46"/>
  <c r="DI53" i="46"/>
  <c r="CH53" i="46"/>
  <c r="T53" i="46"/>
  <c r="EP53" i="46"/>
  <c r="BP53" i="46"/>
  <c r="CZ53" i="46"/>
  <c r="CN53" i="46"/>
  <c r="Z53" i="46"/>
  <c r="DO53" i="46"/>
  <c r="EJ53" i="46"/>
  <c r="DC53" i="46"/>
  <c r="CT53" i="46"/>
  <c r="AC53" i="46"/>
  <c r="AX53" i="46"/>
  <c r="DR53" i="46"/>
  <c r="EM53" i="46"/>
  <c r="CQ53" i="46"/>
  <c r="BA53" i="46"/>
  <c r="DF53" i="46"/>
  <c r="BY53" i="46"/>
  <c r="AF53" i="46"/>
  <c r="AU53" i="46"/>
  <c r="BS53" i="46"/>
  <c r="CW53" i="46"/>
  <c r="EA53" i="46"/>
  <c r="W53" i="46"/>
  <c r="BD53" i="46"/>
  <c r="DX53" i="46"/>
  <c r="FB53" i="46"/>
  <c r="ES53" i="46"/>
  <c r="FH53" i="46"/>
  <c r="AO53" i="46"/>
  <c r="CK53" i="46"/>
  <c r="BM53" i="46"/>
  <c r="EG53" i="46"/>
  <c r="FK53" i="46"/>
  <c r="W52" i="46"/>
  <c r="CN52" i="46"/>
  <c r="BS52" i="46"/>
  <c r="DI52" i="46"/>
  <c r="DF52" i="46"/>
  <c r="CQ52" i="46"/>
  <c r="AF52" i="46"/>
  <c r="EP52" i="46"/>
  <c r="EY52" i="46"/>
  <c r="CZ52" i="46"/>
  <c r="BD52" i="46"/>
  <c r="AC52" i="46"/>
  <c r="EA52" i="46"/>
  <c r="FE52" i="46"/>
  <c r="EM52" i="46"/>
  <c r="M28" i="46"/>
  <c r="CW52" i="46"/>
  <c r="DU52" i="46"/>
  <c r="Z52" i="46"/>
  <c r="Q28" i="46"/>
  <c r="BY52" i="46"/>
  <c r="AR52" i="46"/>
  <c r="CK52" i="46"/>
  <c r="DC52" i="46"/>
  <c r="CB52" i="46"/>
  <c r="AO52" i="46"/>
  <c r="CH52" i="46"/>
  <c r="M76" i="46"/>
  <c r="BA52" i="46"/>
  <c r="AU52" i="46"/>
  <c r="BJ52" i="46"/>
  <c r="M77" i="46"/>
  <c r="CT52" i="46"/>
  <c r="T52" i="46"/>
  <c r="AL52" i="46"/>
  <c r="BP52" i="46"/>
  <c r="BM52" i="46"/>
  <c r="DX52" i="46"/>
  <c r="FB52" i="46"/>
  <c r="AI52" i="46"/>
  <c r="CE52" i="46"/>
  <c r="BP75" i="46"/>
  <c r="CK75" i="46"/>
  <c r="EV75" i="46"/>
  <c r="EJ75" i="46"/>
  <c r="Z75" i="46"/>
  <c r="AX75" i="46"/>
  <c r="CT75" i="46"/>
  <c r="BD75" i="46"/>
  <c r="DR75" i="46"/>
  <c r="CZ75" i="46"/>
  <c r="ED75" i="46"/>
  <c r="BJ75" i="46"/>
  <c r="BY75" i="46"/>
  <c r="BG75" i="46"/>
  <c r="EM75" i="46"/>
  <c r="CN75" i="46"/>
  <c r="CH75" i="46"/>
  <c r="EY75" i="46"/>
  <c r="BS75" i="46"/>
  <c r="ES75" i="46"/>
  <c r="DL75" i="46"/>
  <c r="AI75" i="46"/>
  <c r="CE75" i="46"/>
  <c r="BA75" i="46"/>
  <c r="DI75" i="46"/>
  <c r="DX75" i="46"/>
  <c r="FK75" i="46"/>
  <c r="EG75" i="46"/>
  <c r="CB75" i="46"/>
  <c r="DU75" i="46"/>
  <c r="CW75" i="46"/>
  <c r="EP75" i="46"/>
  <c r="FE75" i="46"/>
  <c r="AO75" i="46"/>
  <c r="AF75" i="46"/>
  <c r="AR75" i="46"/>
  <c r="FH75" i="46"/>
  <c r="FB75" i="46"/>
  <c r="CQ51" i="46"/>
  <c r="FE51" i="46"/>
  <c r="CK51" i="46"/>
  <c r="BP51" i="46"/>
  <c r="CT51" i="46"/>
  <c r="AR51" i="46"/>
  <c r="AO51" i="46"/>
  <c r="BM51" i="46"/>
  <c r="DO51" i="46"/>
  <c r="AU51" i="46"/>
  <c r="BA51" i="46"/>
  <c r="EM51" i="46"/>
  <c r="EP51" i="46"/>
  <c r="AF51" i="46"/>
  <c r="CH51" i="46"/>
  <c r="AC51" i="46"/>
  <c r="DR51" i="46"/>
  <c r="EA51" i="46"/>
  <c r="DU51" i="46"/>
  <c r="FB51" i="46"/>
  <c r="ED51" i="46"/>
  <c r="CZ51" i="46"/>
  <c r="DF51" i="46"/>
  <c r="EJ51" i="46"/>
  <c r="EG51" i="46"/>
  <c r="CN51" i="46"/>
  <c r="DC51" i="46"/>
  <c r="EV51" i="46"/>
  <c r="BG51" i="46"/>
  <c r="W51" i="46"/>
  <c r="CE51" i="46"/>
  <c r="T51" i="46"/>
  <c r="BS51" i="46"/>
  <c r="BY51" i="46"/>
  <c r="BV51" i="46"/>
  <c r="FH51" i="46"/>
  <c r="CW51" i="46"/>
  <c r="BD51" i="46"/>
  <c r="CB51" i="46"/>
  <c r="ES51" i="46"/>
  <c r="AL51" i="46"/>
  <c r="DX51" i="46"/>
  <c r="FK51" i="46"/>
  <c r="Z51" i="46"/>
  <c r="AX51" i="46"/>
  <c r="DL51" i="46"/>
  <c r="EY51" i="46"/>
  <c r="DI51" i="46"/>
  <c r="AI51" i="46"/>
  <c r="BJ51" i="46"/>
  <c r="BV50" i="46"/>
  <c r="BG50" i="46"/>
  <c r="DL27" i="46"/>
  <c r="AL27" i="46"/>
  <c r="CW27" i="46"/>
  <c r="DC27" i="46"/>
  <c r="Q75" i="46"/>
  <c r="T75" i="46" s="1"/>
  <c r="AU74" i="46"/>
  <c r="CE74" i="46"/>
  <c r="CT74" i="46"/>
  <c r="DX74" i="46"/>
  <c r="BS74" i="46"/>
  <c r="AL74" i="46"/>
  <c r="ES74" i="46"/>
  <c r="EA74" i="46"/>
  <c r="DI74" i="46"/>
  <c r="CQ74" i="46"/>
  <c r="CH74" i="46"/>
  <c r="AR74" i="46"/>
  <c r="DL74" i="46"/>
  <c r="DR74" i="46"/>
  <c r="CN74" i="46"/>
  <c r="EV74" i="46"/>
  <c r="AF74" i="46"/>
  <c r="T74" i="46"/>
  <c r="CB74" i="46"/>
  <c r="BV74" i="46"/>
  <c r="BM74" i="46"/>
  <c r="FE74" i="46"/>
  <c r="BP74" i="46"/>
  <c r="DF74" i="46"/>
  <c r="DU74" i="46"/>
  <c r="BJ74" i="46"/>
  <c r="FB74" i="46"/>
  <c r="DO74" i="46"/>
  <c r="BD74" i="46"/>
  <c r="Z74" i="46"/>
  <c r="EG74" i="46"/>
  <c r="FK74" i="46"/>
  <c r="BD50" i="46"/>
  <c r="BV27" i="46"/>
  <c r="DX26" i="46"/>
  <c r="BG74" i="46"/>
  <c r="T27" i="46"/>
  <c r="BP50" i="46"/>
  <c r="CK74" i="46"/>
  <c r="AI74" i="46"/>
  <c r="AF50" i="46"/>
  <c r="ED50" i="46"/>
  <c r="DL50" i="46"/>
  <c r="DC50" i="46"/>
  <c r="FH50" i="46"/>
  <c r="DO50" i="46"/>
  <c r="DF50" i="46"/>
  <c r="EJ50" i="46"/>
  <c r="CK50" i="46"/>
  <c r="FB50" i="46"/>
  <c r="AX50" i="46"/>
  <c r="CW50" i="46"/>
  <c r="CB50" i="46"/>
  <c r="AU50" i="46"/>
  <c r="W50" i="46"/>
  <c r="CZ50" i="46"/>
  <c r="DX50" i="46"/>
  <c r="EY50" i="46"/>
  <c r="CQ50" i="46"/>
  <c r="EV50" i="46"/>
  <c r="AL50" i="46"/>
  <c r="BM50" i="46"/>
  <c r="T50" i="46"/>
  <c r="AI50" i="46"/>
  <c r="AC50" i="46"/>
  <c r="EM50" i="46"/>
  <c r="EA50" i="46"/>
  <c r="FK50" i="46"/>
  <c r="DR50" i="46"/>
  <c r="CK27" i="46"/>
  <c r="EA27" i="46"/>
  <c r="BS27" i="46"/>
  <c r="W27" i="46"/>
  <c r="FH27" i="46"/>
  <c r="ED27" i="46"/>
  <c r="DU27" i="46"/>
  <c r="CB27" i="46"/>
  <c r="CQ27" i="46"/>
  <c r="FE27" i="46"/>
  <c r="BA27" i="46"/>
  <c r="CZ27" i="46"/>
  <c r="AX27" i="46"/>
  <c r="AR27" i="46"/>
  <c r="AU27" i="46"/>
  <c r="CH27" i="46"/>
  <c r="AI27" i="46"/>
  <c r="BM27" i="46"/>
  <c r="BG27" i="46"/>
  <c r="EG27" i="46"/>
  <c r="EM27" i="46"/>
  <c r="AF27" i="46"/>
  <c r="BY27" i="46"/>
  <c r="Z27" i="46"/>
  <c r="CE27" i="46"/>
  <c r="EP27" i="46"/>
  <c r="BD27" i="46"/>
  <c r="AC27" i="46"/>
  <c r="AO27" i="46"/>
  <c r="DF27" i="46"/>
  <c r="EJ27" i="46"/>
  <c r="AR50" i="46"/>
  <c r="CT27" i="46"/>
  <c r="AC74" i="46"/>
  <c r="AC26" i="46"/>
  <c r="AI26" i="46"/>
  <c r="FB26" i="46"/>
  <c r="FK26" i="46"/>
  <c r="BA26" i="46"/>
  <c r="EA26" i="46"/>
  <c r="DC26" i="46"/>
  <c r="FE26" i="46"/>
  <c r="AO26" i="46"/>
  <c r="BY26" i="46"/>
  <c r="DU26" i="46"/>
  <c r="CZ26" i="46"/>
  <c r="BM26" i="46"/>
  <c r="BJ26" i="46"/>
  <c r="DO26" i="46"/>
  <c r="ES26" i="46"/>
  <c r="CK26" i="46"/>
  <c r="AL26" i="46"/>
  <c r="DI26" i="46"/>
  <c r="BP26" i="46"/>
  <c r="AU26" i="46"/>
  <c r="BS26" i="46"/>
  <c r="DF26" i="46"/>
  <c r="CQ26" i="46"/>
  <c r="CT26" i="46"/>
  <c r="Z26" i="46"/>
  <c r="EV26" i="46"/>
  <c r="DL26" i="46"/>
  <c r="W26" i="46"/>
  <c r="AX26" i="46"/>
  <c r="CN26" i="46"/>
  <c r="AF26" i="46"/>
  <c r="AO50" i="46"/>
  <c r="BP27" i="46"/>
  <c r="FH74" i="46"/>
  <c r="FH26" i="46"/>
  <c r="EY74" i="46"/>
  <c r="CN50" i="46"/>
  <c r="FB27" i="46"/>
  <c r="EP26" i="46"/>
  <c r="EM74" i="46"/>
  <c r="EP74" i="46"/>
  <c r="W74" i="46"/>
  <c r="Z50" i="46"/>
  <c r="ES50" i="46"/>
  <c r="DO27" i="46"/>
  <c r="CZ74" i="46"/>
  <c r="AX74" i="46"/>
  <c r="AO74" i="46"/>
  <c r="FE50" i="46"/>
  <c r="DI50" i="46"/>
  <c r="ES27" i="46"/>
  <c r="ED26" i="46"/>
  <c r="EJ26" i="46"/>
  <c r="CE26" i="46"/>
  <c r="BA50" i="46"/>
  <c r="CH50" i="46"/>
  <c r="DI27" i="46"/>
  <c r="EY26" i="46"/>
  <c r="DR26" i="46"/>
  <c r="CB26" i="46"/>
  <c r="BS50" i="46"/>
  <c r="CE50" i="46"/>
  <c r="BJ27" i="46"/>
  <c r="BG26" i="46"/>
  <c r="BY50" i="46"/>
  <c r="BJ50" i="46"/>
  <c r="DR27" i="46"/>
  <c r="DC74" i="46"/>
  <c r="BD26" i="46"/>
  <c r="K44" i="6"/>
  <c r="AB45" i="32"/>
  <c r="BD72" i="46"/>
  <c r="BM72" i="46"/>
  <c r="CW72" i="46"/>
  <c r="DL72" i="46"/>
  <c r="DF72" i="46"/>
  <c r="EP72" i="46"/>
  <c r="EY72" i="46"/>
  <c r="AF72" i="46"/>
  <c r="ED72" i="46"/>
  <c r="BA72" i="46"/>
  <c r="CN72" i="46"/>
  <c r="T72" i="46"/>
  <c r="BJ72" i="46"/>
  <c r="EV72" i="46"/>
  <c r="DC72" i="46"/>
  <c r="EM72" i="46"/>
  <c r="CE72" i="46"/>
  <c r="FB72" i="46"/>
  <c r="AX72" i="46"/>
  <c r="CK72" i="46"/>
  <c r="BP72" i="46"/>
  <c r="CB72" i="46"/>
  <c r="AU72" i="46"/>
  <c r="DR72" i="46"/>
  <c r="AO72" i="46"/>
  <c r="DU72" i="46"/>
  <c r="FE72" i="46"/>
  <c r="CZ72" i="46"/>
  <c r="CQ72" i="46"/>
  <c r="BV72" i="46"/>
  <c r="FK72" i="46"/>
  <c r="BP73" i="46"/>
  <c r="BS72" i="46"/>
  <c r="ES72" i="46"/>
  <c r="EG72" i="46"/>
  <c r="Z72" i="46"/>
  <c r="AL72" i="46"/>
  <c r="DO72" i="46"/>
  <c r="BY73" i="46"/>
  <c r="W73" i="46"/>
  <c r="BS73" i="46"/>
  <c r="CB73" i="46"/>
  <c r="BG73" i="46"/>
  <c r="DX73" i="46"/>
  <c r="AR73" i="46"/>
  <c r="CK73" i="46"/>
  <c r="FH73" i="46"/>
  <c r="DU73" i="46"/>
  <c r="AL73" i="46"/>
  <c r="EM73" i="46"/>
  <c r="DL73" i="46"/>
  <c r="FE73" i="46"/>
  <c r="AC73" i="46"/>
  <c r="EG73" i="46"/>
  <c r="CT73" i="46"/>
  <c r="CZ73" i="46"/>
  <c r="CH73" i="46"/>
  <c r="BV73" i="46"/>
  <c r="EV73" i="46"/>
  <c r="CW73" i="46"/>
  <c r="BJ73" i="46"/>
  <c r="AI73" i="46"/>
  <c r="DF73" i="46"/>
  <c r="AF73" i="46"/>
  <c r="DI73" i="46"/>
  <c r="T73" i="46"/>
  <c r="BJ258" i="46"/>
  <c r="CZ258" i="46"/>
  <c r="DR258" i="46"/>
  <c r="DU258" i="46"/>
  <c r="FE258" i="46"/>
  <c r="B26" i="6"/>
  <c r="A53" i="3" s="1"/>
  <c r="DL258" i="46"/>
  <c r="BS258" i="46"/>
  <c r="AU258" i="46"/>
  <c r="BG258" i="46"/>
  <c r="DO258" i="46"/>
  <c r="AR258" i="46"/>
  <c r="BY258" i="46"/>
  <c r="CB258" i="46"/>
  <c r="AB9" i="32"/>
  <c r="ED258" i="46"/>
  <c r="BA258" i="46"/>
  <c r="AO258" i="46"/>
  <c r="K4" i="6"/>
  <c r="CH258" i="46"/>
  <c r="EA258" i="46"/>
  <c r="EV258" i="46"/>
  <c r="CN258" i="46"/>
  <c r="BP258" i="46"/>
  <c r="EP258" i="46"/>
  <c r="T258" i="46"/>
  <c r="BV258" i="46"/>
  <c r="Z258" i="46"/>
  <c r="AL258" i="46"/>
  <c r="BD258" i="46"/>
  <c r="BM258" i="46"/>
  <c r="AC258" i="46"/>
  <c r="CW258" i="46"/>
  <c r="EM258" i="46"/>
  <c r="CK258" i="46"/>
  <c r="CQ258" i="46"/>
  <c r="ES258" i="46"/>
  <c r="EJ258" i="46"/>
  <c r="AI258" i="46"/>
  <c r="FK258" i="46"/>
  <c r="B40" i="6"/>
  <c r="A79" i="3" s="1"/>
  <c r="K7" i="6"/>
  <c r="AB8" i="32"/>
  <c r="A77" i="3"/>
  <c r="AA78" i="3" s="1"/>
  <c r="O29" i="45" s="1"/>
  <c r="BD42" i="3"/>
  <c r="AB46" i="32"/>
  <c r="K45" i="6"/>
  <c r="B36" i="6"/>
  <c r="EG254" i="46"/>
  <c r="AF254" i="46"/>
  <c r="CN255" i="46"/>
  <c r="W255" i="46"/>
  <c r="EJ255" i="46"/>
  <c r="DF255" i="46"/>
  <c r="W254" i="46"/>
  <c r="DF254" i="46"/>
  <c r="DL254" i="46"/>
  <c r="B43" i="6"/>
  <c r="BD47" i="3" s="1"/>
  <c r="ES255" i="46"/>
  <c r="EJ254" i="46"/>
  <c r="EY254" i="46"/>
  <c r="BM254" i="46"/>
  <c r="AR254" i="46"/>
  <c r="BD10" i="3"/>
  <c r="EV254" i="46"/>
  <c r="BY254" i="46"/>
  <c r="DI254" i="46"/>
  <c r="BY255" i="46"/>
  <c r="BJ255" i="46"/>
  <c r="BG254" i="46"/>
  <c r="ED254" i="46"/>
  <c r="DO254" i="46"/>
  <c r="FB254" i="46"/>
  <c r="CQ254" i="46"/>
  <c r="CB254" i="46"/>
  <c r="EA255" i="46"/>
  <c r="EM255" i="46"/>
  <c r="FE254" i="46"/>
  <c r="AL254" i="46"/>
  <c r="AC254" i="46"/>
  <c r="AX254" i="46"/>
  <c r="CN254" i="46"/>
  <c r="B39" i="6"/>
  <c r="Z255" i="46"/>
  <c r="Z254" i="46"/>
  <c r="BD254" i="46"/>
  <c r="CW254" i="46"/>
  <c r="BP254" i="46"/>
  <c r="AI254" i="46"/>
  <c r="T255" i="46"/>
  <c r="BA255" i="46"/>
  <c r="DU255" i="46"/>
  <c r="DU254" i="46"/>
  <c r="DR255" i="46"/>
  <c r="DC255" i="46"/>
  <c r="AL255" i="46"/>
  <c r="AU254" i="46"/>
  <c r="AO254" i="46"/>
  <c r="FK254" i="46"/>
  <c r="BV254" i="46"/>
  <c r="CH254" i="46"/>
  <c r="EA254" i="46"/>
  <c r="ES254" i="46"/>
  <c r="CB255" i="46"/>
  <c r="CZ255" i="46"/>
  <c r="CT255" i="46"/>
  <c r="EG255" i="46"/>
  <c r="AF255" i="46"/>
  <c r="CK254" i="46"/>
  <c r="AF16" i="3"/>
  <c r="F15" i="45" s="1"/>
  <c r="ED255" i="46"/>
  <c r="FB255" i="46"/>
  <c r="BV255" i="46"/>
  <c r="EV255" i="46"/>
  <c r="EP255" i="46"/>
  <c r="DR254" i="46"/>
  <c r="AB17" i="32"/>
  <c r="B47" i="6"/>
  <c r="K16" i="6"/>
  <c r="AB42" i="32"/>
  <c r="B25" i="6"/>
  <c r="K41" i="6"/>
  <c r="AB37" i="32"/>
  <c r="K36" i="6"/>
  <c r="B15" i="6"/>
  <c r="K14" i="6"/>
  <c r="AB15" i="32"/>
  <c r="B4" i="6"/>
  <c r="B37" i="6"/>
  <c r="K32" i="6"/>
  <c r="AB33" i="32"/>
  <c r="B32" i="6"/>
  <c r="AB4" i="32"/>
  <c r="K3" i="6"/>
  <c r="K17" i="6"/>
  <c r="B19" i="6"/>
  <c r="AB18" i="32"/>
  <c r="B13" i="6"/>
  <c r="K20" i="6"/>
  <c r="AB21" i="32"/>
  <c r="AB40" i="32"/>
  <c r="B3" i="6"/>
  <c r="K39" i="6"/>
  <c r="B14" i="6"/>
  <c r="AB23" i="32"/>
  <c r="K22" i="6"/>
  <c r="B23" i="6"/>
  <c r="K28" i="6"/>
  <c r="AB29" i="32"/>
  <c r="B10" i="6"/>
  <c r="K9" i="6"/>
  <c r="AB10" i="32"/>
  <c r="B24" i="6"/>
  <c r="AB48" i="32"/>
  <c r="K47" i="6"/>
  <c r="B20" i="6"/>
  <c r="AB16" i="32"/>
  <c r="K15" i="6"/>
  <c r="B48" i="6"/>
  <c r="AB25" i="32"/>
  <c r="K24" i="6"/>
  <c r="B45" i="6"/>
  <c r="AB14" i="32"/>
  <c r="K13" i="6"/>
  <c r="AB39" i="32"/>
  <c r="K38" i="6"/>
  <c r="B35" i="6"/>
  <c r="AB35" i="32"/>
  <c r="K34" i="6"/>
  <c r="B22" i="6"/>
  <c r="B12" i="6"/>
  <c r="K25" i="6"/>
  <c r="AB26" i="32"/>
  <c r="AB34" i="32"/>
  <c r="K33" i="6"/>
  <c r="B29" i="6"/>
  <c r="BD25" i="3"/>
  <c r="A40" i="3"/>
  <c r="K30" i="6"/>
  <c r="AB31" i="32"/>
  <c r="B11" i="6"/>
  <c r="K31" i="6"/>
  <c r="B2" i="6"/>
  <c r="AB32" i="32"/>
  <c r="A69" i="3"/>
  <c r="BD38" i="3"/>
  <c r="B44" i="6"/>
  <c r="AB44" i="32"/>
  <c r="K43" i="6"/>
  <c r="B33" i="6"/>
  <c r="AB43" i="32"/>
  <c r="K42" i="6"/>
  <c r="K18" i="6"/>
  <c r="AB19" i="32"/>
  <c r="F9" i="48" a="1"/>
  <c r="F9" i="48" s="1"/>
  <c r="E10" i="48"/>
  <c r="B30" i="6"/>
  <c r="K21" i="6"/>
  <c r="AB38" i="32"/>
  <c r="B42" i="6"/>
  <c r="B31" i="6"/>
  <c r="AB11" i="32"/>
  <c r="K10" i="6"/>
  <c r="B18" i="6"/>
  <c r="AB3" i="32"/>
  <c r="K2" i="6"/>
  <c r="AB41" i="32"/>
  <c r="K40" i="6"/>
  <c r="B9" i="6"/>
  <c r="AB20" i="32"/>
  <c r="B27" i="6"/>
  <c r="K19" i="6"/>
  <c r="B28" i="6"/>
  <c r="AB28" i="32"/>
  <c r="K27" i="6"/>
  <c r="AB30" i="32"/>
  <c r="K29" i="6"/>
  <c r="B41" i="6"/>
  <c r="B7" i="6"/>
  <c r="AB47" i="32"/>
  <c r="AB7" i="32"/>
  <c r="B16" i="6"/>
  <c r="A93" i="3"/>
  <c r="BD50" i="3"/>
  <c r="AA15" i="3"/>
  <c r="AA12" i="3"/>
  <c r="B8" i="6"/>
  <c r="K12" i="6"/>
  <c r="AB49" i="32"/>
  <c r="B17" i="6"/>
  <c r="B49" i="6"/>
  <c r="AB36" i="32"/>
  <c r="K5" i="6"/>
  <c r="AB6" i="32"/>
  <c r="K23" i="6"/>
  <c r="AB24" i="32"/>
  <c r="K26" i="6"/>
  <c r="AB27" i="32"/>
  <c r="K11" i="6"/>
  <c r="AB12" i="32"/>
  <c r="BD30" i="3" l="1"/>
  <c r="BC30" i="3" s="1"/>
  <c r="A8" i="3"/>
  <c r="AA6" i="3" s="1"/>
  <c r="C5" i="45" s="1"/>
  <c r="A86" i="3"/>
  <c r="AY87" i="3" s="1"/>
  <c r="DC76" i="46"/>
  <c r="BY76" i="46"/>
  <c r="FH76" i="46"/>
  <c r="ED76" i="46"/>
  <c r="W76" i="46"/>
  <c r="CB76" i="46"/>
  <c r="AO76" i="46"/>
  <c r="CN76" i="46"/>
  <c r="BV76" i="46"/>
  <c r="CE76" i="46"/>
  <c r="DL76" i="46"/>
  <c r="AC76" i="46"/>
  <c r="AC78" i="46" s="1"/>
  <c r="EP76" i="46"/>
  <c r="FK76" i="46"/>
  <c r="AL76" i="46"/>
  <c r="BP76" i="46"/>
  <c r="CH76" i="46"/>
  <c r="DR76" i="46"/>
  <c r="CW76" i="46"/>
  <c r="CZ76" i="46"/>
  <c r="AX76" i="46"/>
  <c r="EJ76" i="46"/>
  <c r="BM76" i="46"/>
  <c r="DU76" i="46"/>
  <c r="DU78" i="46" s="1"/>
  <c r="EM76" i="46"/>
  <c r="EM78" i="46" s="1"/>
  <c r="DX76" i="46"/>
  <c r="AF76" i="46"/>
  <c r="EA76" i="46"/>
  <c r="T76" i="46"/>
  <c r="FB76" i="46"/>
  <c r="AI76" i="46"/>
  <c r="AI78" i="46" s="1"/>
  <c r="DF76" i="46"/>
  <c r="CK76" i="46"/>
  <c r="ES76" i="46"/>
  <c r="ES78" i="46" s="1"/>
  <c r="DI76" i="46"/>
  <c r="EV76" i="46"/>
  <c r="EV78" i="46" s="1"/>
  <c r="CQ76" i="46"/>
  <c r="CT76" i="46"/>
  <c r="CT78" i="46" s="1"/>
  <c r="EY76" i="46"/>
  <c r="AU76" i="46"/>
  <c r="DO76" i="46"/>
  <c r="BA76" i="46"/>
  <c r="Z76" i="46"/>
  <c r="FE76" i="46"/>
  <c r="BJ76" i="46"/>
  <c r="BD76" i="46"/>
  <c r="BG76" i="46"/>
  <c r="BS76" i="46"/>
  <c r="EG76" i="46"/>
  <c r="EG78" i="46" s="1"/>
  <c r="AR76" i="46"/>
  <c r="AF81" i="3"/>
  <c r="R32" i="45" s="1"/>
  <c r="FB78" i="46"/>
  <c r="BM77" i="46"/>
  <c r="CH77" i="46"/>
  <c r="CH78" i="46" s="1"/>
  <c r="EV77" i="46"/>
  <c r="EJ77" i="46"/>
  <c r="AC77" i="46"/>
  <c r="AI77" i="46"/>
  <c r="ED77" i="46"/>
  <c r="DR77" i="46"/>
  <c r="FE77" i="46"/>
  <c r="AR77" i="46"/>
  <c r="BA77" i="46"/>
  <c r="AL77" i="46"/>
  <c r="CZ77" i="46"/>
  <c r="CZ78" i="46" s="1"/>
  <c r="BP77" i="46"/>
  <c r="BY77" i="46"/>
  <c r="DF77" i="46"/>
  <c r="DF78" i="46" s="1"/>
  <c r="DU77" i="46"/>
  <c r="FB77" i="46"/>
  <c r="CQ77" i="46"/>
  <c r="EY77" i="46"/>
  <c r="BG77" i="46"/>
  <c r="CT77" i="46"/>
  <c r="CN77" i="46"/>
  <c r="CK77" i="46"/>
  <c r="T77" i="46"/>
  <c r="Z77" i="46"/>
  <c r="BD77" i="46"/>
  <c r="FK77" i="46"/>
  <c r="CB77" i="46"/>
  <c r="AX77" i="46"/>
  <c r="AX78" i="46" s="1"/>
  <c r="EA77" i="46"/>
  <c r="BV77" i="46"/>
  <c r="CW77" i="46"/>
  <c r="EM77" i="46"/>
  <c r="DI77" i="46"/>
  <c r="EP77" i="46"/>
  <c r="DX77" i="46"/>
  <c r="W77" i="46"/>
  <c r="ES77" i="46"/>
  <c r="DO77" i="46"/>
  <c r="AF77" i="46"/>
  <c r="AF78" i="46" s="1"/>
  <c r="DL77" i="46"/>
  <c r="DC77" i="46"/>
  <c r="EG77" i="46"/>
  <c r="AU77" i="46"/>
  <c r="FH77" i="46"/>
  <c r="BS77" i="46"/>
  <c r="AO77" i="46"/>
  <c r="CE77" i="46"/>
  <c r="BJ77" i="46"/>
  <c r="ED78" i="46"/>
  <c r="FH78" i="46"/>
  <c r="AY78" i="3"/>
  <c r="AA76" i="3"/>
  <c r="O27" i="45" s="1"/>
  <c r="AU28" i="46"/>
  <c r="DX28" i="46"/>
  <c r="DX78" i="46" s="1"/>
  <c r="AR28" i="46"/>
  <c r="CK28" i="46"/>
  <c r="BV28" i="46"/>
  <c r="BY28" i="46"/>
  <c r="EG28" i="46"/>
  <c r="EV28" i="46"/>
  <c r="BS28" i="46"/>
  <c r="BS78" i="46" s="1"/>
  <c r="BG28" i="46"/>
  <c r="BG78" i="46" s="1"/>
  <c r="DI28" i="46"/>
  <c r="DI78" i="46" s="1"/>
  <c r="CT28" i="46"/>
  <c r="BD28" i="46"/>
  <c r="BD78" i="46" s="1"/>
  <c r="DL28" i="46"/>
  <c r="DL78" i="46" s="1"/>
  <c r="BA28" i="46"/>
  <c r="BA78" i="46" s="1"/>
  <c r="EY28" i="46"/>
  <c r="EY78" i="46" s="1"/>
  <c r="W28" i="46"/>
  <c r="AI28" i="46"/>
  <c r="FB28" i="46"/>
  <c r="DO28" i="46"/>
  <c r="AF28" i="46"/>
  <c r="ED28" i="46"/>
  <c r="EM28" i="46"/>
  <c r="CH28" i="46"/>
  <c r="FE28" i="46"/>
  <c r="FE78" i="46" s="1"/>
  <c r="T28" i="46"/>
  <c r="T78" i="46" s="1"/>
  <c r="Z28" i="46"/>
  <c r="Z78" i="46" s="1"/>
  <c r="EA28" i="46"/>
  <c r="EP28" i="46"/>
  <c r="EP78" i="46" s="1"/>
  <c r="CW28" i="46"/>
  <c r="CW78" i="46" s="1"/>
  <c r="DU28" i="46"/>
  <c r="FH28" i="46"/>
  <c r="CQ28" i="46"/>
  <c r="CE28" i="46"/>
  <c r="BM28" i="46"/>
  <c r="BM78" i="46" s="1"/>
  <c r="DR28" i="46"/>
  <c r="DR78" i="46" s="1"/>
  <c r="CZ28" i="46"/>
  <c r="BJ28" i="46"/>
  <c r="FK28" i="46"/>
  <c r="BP28" i="46"/>
  <c r="BP78" i="46" s="1"/>
  <c r="DC28" i="46"/>
  <c r="DC78" i="46" s="1"/>
  <c r="CB28" i="46"/>
  <c r="CB78" i="46" s="1"/>
  <c r="AC28" i="46"/>
  <c r="AL28" i="46"/>
  <c r="AL78" i="46" s="1"/>
  <c r="EJ28" i="46"/>
  <c r="ES28" i="46"/>
  <c r="AX28" i="46"/>
  <c r="CN28" i="46"/>
  <c r="CN78" i="46" s="1"/>
  <c r="DF28" i="46"/>
  <c r="AO28" i="46"/>
  <c r="AO78" i="46" s="1"/>
  <c r="AB78" i="3" a="1"/>
  <c r="AB78" i="3" s="1"/>
  <c r="W75" i="46"/>
  <c r="W78" i="46" s="1"/>
  <c r="AC75" i="46"/>
  <c r="BM75" i="46"/>
  <c r="BV75" i="46"/>
  <c r="DF75" i="46"/>
  <c r="AU75" i="46"/>
  <c r="AL75" i="46"/>
  <c r="DC75" i="46"/>
  <c r="AR78" i="46"/>
  <c r="FK78" i="46"/>
  <c r="CE78" i="46"/>
  <c r="DO75" i="46"/>
  <c r="DO78" i="46" s="1"/>
  <c r="EA75" i="46"/>
  <c r="BJ78" i="46"/>
  <c r="CQ75" i="46"/>
  <c r="CQ78" i="46" s="1"/>
  <c r="BY78" i="46"/>
  <c r="CK78" i="46"/>
  <c r="BV78" i="46"/>
  <c r="BD44" i="3"/>
  <c r="BC44" i="3" s="1"/>
  <c r="AI45" i="32"/>
  <c r="BD40" i="3"/>
  <c r="BC40" i="3" s="1"/>
  <c r="A71" i="3"/>
  <c r="AI8" i="32"/>
  <c r="AI27" i="32"/>
  <c r="BD43" i="3"/>
  <c r="BC43" i="3" s="1"/>
  <c r="A78" i="3"/>
  <c r="AI47" i="32"/>
  <c r="A61" i="3"/>
  <c r="BD34" i="3"/>
  <c r="BC9" i="3"/>
  <c r="A47" i="3"/>
  <c r="BD28" i="3"/>
  <c r="AI6" i="32"/>
  <c r="C14" i="45"/>
  <c r="AB15" i="3" a="1"/>
  <c r="AB15" i="3" s="1"/>
  <c r="BD31" i="3"/>
  <c r="A54" i="3"/>
  <c r="A16" i="3"/>
  <c r="BD13" i="3"/>
  <c r="BC10" i="3"/>
  <c r="AI43" i="32"/>
  <c r="AI22" i="32"/>
  <c r="AI35" i="32"/>
  <c r="A46" i="3"/>
  <c r="BD27" i="3"/>
  <c r="A6" i="3"/>
  <c r="BD7" i="3"/>
  <c r="BD19" i="3"/>
  <c r="A30" i="3"/>
  <c r="AI20" i="32"/>
  <c r="A64" i="3"/>
  <c r="BD37" i="3"/>
  <c r="AI32" i="32"/>
  <c r="BD33" i="3"/>
  <c r="A56" i="3"/>
  <c r="BD39" i="3"/>
  <c r="A70" i="3"/>
  <c r="AI10" i="32"/>
  <c r="AI40" i="32"/>
  <c r="BD21" i="3"/>
  <c r="A32" i="3"/>
  <c r="A23" i="3"/>
  <c r="BD16" i="3"/>
  <c r="A15" i="3"/>
  <c r="BD12" i="3"/>
  <c r="AI48" i="32"/>
  <c r="C11" i="45"/>
  <c r="AB12" i="3" a="1"/>
  <c r="AB12" i="3" s="1"/>
  <c r="AI5" i="32"/>
  <c r="AI41" i="32"/>
  <c r="BD6" i="3"/>
  <c r="A5" i="3"/>
  <c r="BC42" i="3"/>
  <c r="AI25" i="32"/>
  <c r="AI23" i="32"/>
  <c r="AI37" i="32"/>
  <c r="AA94" i="3"/>
  <c r="AF96" i="3"/>
  <c r="AA92" i="3"/>
  <c r="AY94" i="3"/>
  <c r="F10" i="48" a="1"/>
  <c r="F10" i="48" s="1"/>
  <c r="E11" i="48"/>
  <c r="AI44" i="32"/>
  <c r="AI34" i="32"/>
  <c r="AI39" i="32"/>
  <c r="A95" i="3"/>
  <c r="BD52" i="3"/>
  <c r="BD14" i="3"/>
  <c r="A21" i="3"/>
  <c r="A29" i="3"/>
  <c r="BD18" i="3"/>
  <c r="AI18" i="32"/>
  <c r="AI38" i="32"/>
  <c r="AI24" i="32"/>
  <c r="AI13" i="32"/>
  <c r="A87" i="3"/>
  <c r="BD48" i="3"/>
  <c r="BD29" i="3"/>
  <c r="A48" i="3"/>
  <c r="BD20" i="3"/>
  <c r="A31" i="3"/>
  <c r="BD22" i="3"/>
  <c r="A37" i="3"/>
  <c r="BC38" i="3"/>
  <c r="AI31" i="32"/>
  <c r="AI14" i="32"/>
  <c r="AI33" i="32"/>
  <c r="AI42" i="32"/>
  <c r="AI26" i="32"/>
  <c r="A80" i="3"/>
  <c r="BD45" i="3"/>
  <c r="A24" i="3"/>
  <c r="BD17" i="3"/>
  <c r="AA39" i="3"/>
  <c r="AY41" i="3"/>
  <c r="AF37" i="3"/>
  <c r="AA41" i="3"/>
  <c r="A45" i="3"/>
  <c r="BD26" i="3"/>
  <c r="AF78" i="3"/>
  <c r="AA77" i="3"/>
  <c r="AY80" i="3"/>
  <c r="AF80" i="3"/>
  <c r="AY54" i="3"/>
  <c r="AA52" i="3"/>
  <c r="AF57" i="3"/>
  <c r="AA54" i="3"/>
  <c r="AI7" i="32"/>
  <c r="AI28" i="32"/>
  <c r="AF72" i="3"/>
  <c r="AY70" i="3"/>
  <c r="AA68" i="3"/>
  <c r="AA70" i="3"/>
  <c r="A88" i="3"/>
  <c r="BD49" i="3"/>
  <c r="AI12" i="32"/>
  <c r="AI36" i="32"/>
  <c r="AE16" i="3" a="1"/>
  <c r="AE16" i="3" s="1"/>
  <c r="BD32" i="3"/>
  <c r="A55" i="3"/>
  <c r="AI11" i="32"/>
  <c r="AI4" i="32"/>
  <c r="A72" i="3"/>
  <c r="BD41" i="3"/>
  <c r="A94" i="3"/>
  <c r="BD51" i="3"/>
  <c r="BD46" i="3"/>
  <c r="A85" i="3"/>
  <c r="AI16" i="32"/>
  <c r="AI49" i="32"/>
  <c r="BD24" i="3"/>
  <c r="A39" i="3"/>
  <c r="AI9" i="32"/>
  <c r="AI19" i="32"/>
  <c r="BD8" i="3"/>
  <c r="A7" i="3"/>
  <c r="AI30" i="32"/>
  <c r="BC25" i="3"/>
  <c r="AI29" i="32"/>
  <c r="AI15" i="32"/>
  <c r="BD11" i="3"/>
  <c r="A14" i="3"/>
  <c r="BC50" i="3"/>
  <c r="BC47" i="3"/>
  <c r="T84" i="32"/>
  <c r="S80" i="32"/>
  <c r="S55" i="32"/>
  <c r="T78" i="32"/>
  <c r="R65" i="32"/>
  <c r="S68" i="32"/>
  <c r="S79" i="32"/>
  <c r="S53" i="32"/>
  <c r="S61" i="32"/>
  <c r="R63" i="32"/>
  <c r="T77" i="32"/>
  <c r="T61" i="32"/>
  <c r="R86" i="32"/>
  <c r="R68" i="32"/>
  <c r="S51" i="32"/>
  <c r="T65" i="32"/>
  <c r="R82" i="32"/>
  <c r="R61" i="32"/>
  <c r="R57" i="32"/>
  <c r="S75" i="32"/>
  <c r="R79" i="32"/>
  <c r="S86" i="32"/>
  <c r="R72" i="32"/>
  <c r="T72" i="32"/>
  <c r="S57" i="32"/>
  <c r="S82" i="32"/>
  <c r="T57" i="32"/>
  <c r="S64" i="32"/>
  <c r="S72" i="32"/>
  <c r="T62" i="32"/>
  <c r="R70" i="32"/>
  <c r="R69" i="32"/>
  <c r="R76" i="32"/>
  <c r="R73" i="32"/>
  <c r="R78" i="32"/>
  <c r="T51" i="32"/>
  <c r="S71" i="32"/>
  <c r="S65" i="32"/>
  <c r="R74" i="32"/>
  <c r="T67" i="32"/>
  <c r="S59" i="32"/>
  <c r="S85" i="32"/>
  <c r="AI3" i="32"/>
  <c r="T86" i="32"/>
  <c r="T63" i="32"/>
  <c r="S63" i="32"/>
  <c r="S84" i="32"/>
  <c r="S56" i="32"/>
  <c r="T70" i="32"/>
  <c r="S60" i="32"/>
  <c r="R54" i="32"/>
  <c r="T54" i="32"/>
  <c r="R62" i="32"/>
  <c r="R81" i="32"/>
  <c r="R84" i="32"/>
  <c r="T68" i="32"/>
  <c r="T76" i="32"/>
  <c r="T82" i="32"/>
  <c r="S54" i="32"/>
  <c r="R58" i="32"/>
  <c r="R80" i="32"/>
  <c r="S76" i="32"/>
  <c r="R51" i="32"/>
  <c r="R75" i="32"/>
  <c r="R77" i="32"/>
  <c r="T60" i="32"/>
  <c r="S78" i="32"/>
  <c r="R67" i="32"/>
  <c r="AI50" i="32"/>
  <c r="T75" i="32"/>
  <c r="R59" i="32"/>
  <c r="R71" i="32"/>
  <c r="T66" i="32"/>
  <c r="R60" i="32"/>
  <c r="R52" i="32"/>
  <c r="T80" i="32"/>
  <c r="T52" i="32"/>
  <c r="T56" i="32"/>
  <c r="T53" i="32"/>
  <c r="T64" i="32"/>
  <c r="S69" i="32"/>
  <c r="S81" i="32"/>
  <c r="R85" i="32"/>
  <c r="S66" i="32"/>
  <c r="R56" i="32"/>
  <c r="T58" i="32"/>
  <c r="S74" i="32"/>
  <c r="S62" i="32"/>
  <c r="R64" i="32"/>
  <c r="R66" i="32"/>
  <c r="T71" i="32"/>
  <c r="T74" i="32"/>
  <c r="T55" i="32"/>
  <c r="AI46" i="32"/>
  <c r="S58" i="32"/>
  <c r="R55" i="32"/>
  <c r="T73" i="32"/>
  <c r="T85" i="32"/>
  <c r="T83" i="32"/>
  <c r="S83" i="32"/>
  <c r="T59" i="32"/>
  <c r="S52" i="32"/>
  <c r="T81" i="32"/>
  <c r="R53" i="32"/>
  <c r="T69" i="32"/>
  <c r="S70" i="32"/>
  <c r="R83" i="32"/>
  <c r="T79" i="32"/>
  <c r="S67" i="32"/>
  <c r="S73" i="32"/>
  <c r="S77" i="32"/>
  <c r="A22" i="3"/>
  <c r="BD15" i="3"/>
  <c r="A38" i="3"/>
  <c r="BD23" i="3"/>
  <c r="BD53" i="3"/>
  <c r="A96" i="3"/>
  <c r="BD35" i="3"/>
  <c r="A62" i="3"/>
  <c r="AI21" i="32"/>
  <c r="A63" i="3"/>
  <c r="BD36" i="3"/>
  <c r="AI17" i="32"/>
  <c r="AF87" i="3" l="1"/>
  <c r="AE87" i="3" s="1" a="1"/>
  <c r="AE87" i="3" s="1"/>
  <c r="AF84" i="3"/>
  <c r="R35" i="45" s="1"/>
  <c r="AF5" i="3"/>
  <c r="AB76" i="3" a="1"/>
  <c r="AB76" i="3" s="1"/>
  <c r="AA8" i="3"/>
  <c r="C7" i="45" s="1"/>
  <c r="AA89" i="3"/>
  <c r="AB89" i="3" s="1" a="1"/>
  <c r="AB89" i="3" s="1"/>
  <c r="AB6" i="3" a="1"/>
  <c r="AB6" i="3" s="1"/>
  <c r="AY9" i="3"/>
  <c r="AU78" i="46"/>
  <c r="AE81" i="3" a="1"/>
  <c r="AE81" i="3" s="1"/>
  <c r="EA78" i="46"/>
  <c r="EJ78" i="46"/>
  <c r="AA80" i="3"/>
  <c r="DT80" i="3" s="1"/>
  <c r="AY79" i="3"/>
  <c r="AF76" i="3"/>
  <c r="AF79" i="3"/>
  <c r="AA69" i="3"/>
  <c r="AF73" i="3"/>
  <c r="AY72" i="3"/>
  <c r="AF70" i="3"/>
  <c r="DT70" i="3" s="1"/>
  <c r="O3" i="45"/>
  <c r="AB52" i="3" a="1"/>
  <c r="AB52" i="3" s="1"/>
  <c r="AF21" i="3"/>
  <c r="AY25" i="3"/>
  <c r="AA22" i="3"/>
  <c r="AA24" i="3"/>
  <c r="BC23" i="3"/>
  <c r="AY39" i="3"/>
  <c r="AA40" i="3"/>
  <c r="AF39" i="3"/>
  <c r="K39" i="46" s="1"/>
  <c r="AF36" i="3"/>
  <c r="BC14" i="3"/>
  <c r="AF55" i="3"/>
  <c r="AF52" i="3"/>
  <c r="K18" i="46" s="1"/>
  <c r="AY55" i="3"/>
  <c r="AA56" i="3"/>
  <c r="AY48" i="3"/>
  <c r="AF48" i="3"/>
  <c r="AA45" i="3"/>
  <c r="AF46" i="3"/>
  <c r="AF92" i="3"/>
  <c r="AA97" i="3"/>
  <c r="AY95" i="3"/>
  <c r="AF95" i="3"/>
  <c r="R29" i="45"/>
  <c r="AE78" i="3" a="1"/>
  <c r="AE78" i="3" s="1"/>
  <c r="K48" i="46"/>
  <c r="DT78" i="3"/>
  <c r="AY38" i="3"/>
  <c r="AF41" i="3"/>
  <c r="AA36" i="3"/>
  <c r="AA38" i="3"/>
  <c r="BC52" i="3"/>
  <c r="BC31" i="3"/>
  <c r="BC29" i="3"/>
  <c r="AF63" i="3"/>
  <c r="AF60" i="3"/>
  <c r="AA64" i="3"/>
  <c r="AY63" i="3"/>
  <c r="BC24" i="3"/>
  <c r="BC35" i="3"/>
  <c r="BC18" i="3"/>
  <c r="R31" i="45"/>
  <c r="AE80" i="3" a="1"/>
  <c r="AE80" i="3" s="1"/>
  <c r="BC20" i="3"/>
  <c r="AF32" i="3"/>
  <c r="AY30" i="3"/>
  <c r="AA30" i="3"/>
  <c r="AA28" i="3"/>
  <c r="BC51" i="3"/>
  <c r="AA84" i="3"/>
  <c r="AF88" i="3"/>
  <c r="AA86" i="3"/>
  <c r="AY86" i="3"/>
  <c r="BC12" i="3"/>
  <c r="BC8" i="3"/>
  <c r="BC46" i="3"/>
  <c r="AA72" i="3"/>
  <c r="AF69" i="3"/>
  <c r="AA71" i="3"/>
  <c r="AY73" i="3"/>
  <c r="BC26" i="3"/>
  <c r="BC48" i="3"/>
  <c r="AB92" i="3" a="1"/>
  <c r="AB92" i="3" s="1"/>
  <c r="O43" i="45"/>
  <c r="AF17" i="3"/>
  <c r="AF15" i="3"/>
  <c r="AY16" i="3"/>
  <c r="AA13" i="3"/>
  <c r="AA60" i="3"/>
  <c r="AF65" i="3"/>
  <c r="AA62" i="3"/>
  <c r="AY62" i="3"/>
  <c r="BC39" i="3"/>
  <c r="AE57" i="3" a="1"/>
  <c r="AE57" i="3" s="1"/>
  <c r="R8" i="45"/>
  <c r="AA95" i="3"/>
  <c r="AF93" i="3"/>
  <c r="AY97" i="3"/>
  <c r="AA96" i="3"/>
  <c r="BC53" i="3"/>
  <c r="BC7" i="3"/>
  <c r="BC45" i="3"/>
  <c r="AA79" i="3"/>
  <c r="AY81" i="3"/>
  <c r="AA81" i="3"/>
  <c r="AF77" i="3"/>
  <c r="K25" i="46" s="1"/>
  <c r="AY65" i="3"/>
  <c r="AA63" i="3"/>
  <c r="AA65" i="3"/>
  <c r="AF61" i="3"/>
  <c r="BC27" i="3"/>
  <c r="BC13" i="3"/>
  <c r="AA16" i="3"/>
  <c r="AY17" i="3"/>
  <c r="AF13" i="3"/>
  <c r="AA14" i="3"/>
  <c r="AF97" i="3"/>
  <c r="AA93" i="3"/>
  <c r="AF94" i="3"/>
  <c r="AY96" i="3"/>
  <c r="AF49" i="3"/>
  <c r="AY46" i="3"/>
  <c r="AA46" i="3"/>
  <c r="AA44" i="3"/>
  <c r="AF89" i="3"/>
  <c r="AY88" i="3"/>
  <c r="AF86" i="3"/>
  <c r="AA85" i="3"/>
  <c r="AE96" i="3" a="1"/>
  <c r="AE96" i="3" s="1"/>
  <c r="R47" i="45"/>
  <c r="BC16" i="3"/>
  <c r="AB54" i="3" a="1"/>
  <c r="AB54" i="3" s="1"/>
  <c r="O5" i="45"/>
  <c r="BC36" i="3"/>
  <c r="AB39" i="3" a="1"/>
  <c r="AB39" i="3" s="1"/>
  <c r="C38" i="45"/>
  <c r="BC6" i="3"/>
  <c r="AA55" i="3"/>
  <c r="AY57" i="3"/>
  <c r="AA57" i="3"/>
  <c r="AF53" i="3"/>
  <c r="AA61" i="3"/>
  <c r="AF62" i="3"/>
  <c r="AY64" i="3"/>
  <c r="AF64" i="3"/>
  <c r="AF14" i="3"/>
  <c r="AA17" i="3"/>
  <c r="AY15" i="3"/>
  <c r="AF12" i="3"/>
  <c r="BC33" i="3"/>
  <c r="BC11" i="3"/>
  <c r="BC37" i="3"/>
  <c r="AF4" i="3"/>
  <c r="AA9" i="3"/>
  <c r="AF6" i="3"/>
  <c r="AY7" i="3"/>
  <c r="AA32" i="3"/>
  <c r="AA31" i="3"/>
  <c r="AF29" i="3"/>
  <c r="AY33" i="3"/>
  <c r="AA23" i="3"/>
  <c r="AF24" i="3"/>
  <c r="AY22" i="3"/>
  <c r="AA20" i="3"/>
  <c r="BC21" i="3"/>
  <c r="AY47" i="3"/>
  <c r="AF47" i="3"/>
  <c r="AF44" i="3"/>
  <c r="AA48" i="3"/>
  <c r="BC28" i="3"/>
  <c r="BC32" i="3"/>
  <c r="R23" i="45"/>
  <c r="AE72" i="3" a="1"/>
  <c r="AE72" i="3" s="1"/>
  <c r="AF7" i="3"/>
  <c r="AA5" i="3"/>
  <c r="AF9" i="3"/>
  <c r="AY8" i="3"/>
  <c r="BC41" i="3"/>
  <c r="BC15" i="3"/>
  <c r="AF22" i="3"/>
  <c r="AY23" i="3"/>
  <c r="AA25" i="3"/>
  <c r="AF20" i="3"/>
  <c r="C40" i="45"/>
  <c r="AB41" i="3" a="1"/>
  <c r="AB41" i="3" s="1"/>
  <c r="O45" i="45"/>
  <c r="AB94" i="3" a="1"/>
  <c r="AB94" i="3" s="1"/>
  <c r="AY24" i="3"/>
  <c r="AA21" i="3"/>
  <c r="AF23" i="3"/>
  <c r="AF25" i="3"/>
  <c r="AF31" i="3"/>
  <c r="AF28" i="3"/>
  <c r="AY31" i="3"/>
  <c r="AA33" i="3"/>
  <c r="AA4" i="3"/>
  <c r="AA7" i="3"/>
  <c r="AY6" i="3"/>
  <c r="AF8" i="3"/>
  <c r="BC49" i="3"/>
  <c r="BC17" i="3"/>
  <c r="AF85" i="3"/>
  <c r="AA88" i="3"/>
  <c r="AY89" i="3"/>
  <c r="AA87" i="3"/>
  <c r="AB70" i="3" a="1"/>
  <c r="AB70" i="3" s="1"/>
  <c r="O21" i="45"/>
  <c r="AA29" i="3"/>
  <c r="AF30" i="3"/>
  <c r="AY32" i="3"/>
  <c r="AF33" i="3"/>
  <c r="O19" i="45"/>
  <c r="AB68" i="3" a="1"/>
  <c r="AB68" i="3" s="1"/>
  <c r="AY56" i="3"/>
  <c r="AA53" i="3"/>
  <c r="AF54" i="3"/>
  <c r="AF56" i="3"/>
  <c r="AB77" i="3" a="1"/>
  <c r="AB77" i="3" s="1"/>
  <c r="O28" i="45"/>
  <c r="BC22" i="3"/>
  <c r="BC34" i="3"/>
  <c r="Q35" i="32"/>
  <c r="Q9" i="32"/>
  <c r="Q33" i="32"/>
  <c r="Q22" i="32"/>
  <c r="Q31" i="32"/>
  <c r="Q25" i="32"/>
  <c r="Q39" i="32"/>
  <c r="Q4" i="32"/>
  <c r="Q30" i="32"/>
  <c r="Q12" i="32"/>
  <c r="Q11" i="32"/>
  <c r="Q13" i="32"/>
  <c r="Q17" i="32"/>
  <c r="Q48" i="32"/>
  <c r="Q19" i="32"/>
  <c r="Q14" i="32"/>
  <c r="Q8" i="32"/>
  <c r="Q27" i="32"/>
  <c r="Q23" i="32"/>
  <c r="Q36" i="32"/>
  <c r="Q49" i="32"/>
  <c r="Q50" i="32"/>
  <c r="Q16" i="32"/>
  <c r="Q37" i="32"/>
  <c r="Q5" i="32"/>
  <c r="Q43" i="32"/>
  <c r="Q29" i="32"/>
  <c r="Q18" i="32"/>
  <c r="Q46" i="32"/>
  <c r="Q15" i="32"/>
  <c r="Q7" i="32"/>
  <c r="Q42" i="32"/>
  <c r="Q21" i="32"/>
  <c r="Q32" i="32"/>
  <c r="Q6" i="32"/>
  <c r="Q45" i="32"/>
  <c r="Q38" i="32"/>
  <c r="Q40" i="32"/>
  <c r="Q24" i="32"/>
  <c r="Q26" i="32"/>
  <c r="Q20" i="32"/>
  <c r="Q10" i="32"/>
  <c r="Q28" i="32"/>
  <c r="Q41" i="32"/>
  <c r="Q34" i="32"/>
  <c r="Q3" i="32"/>
  <c r="Q44" i="32"/>
  <c r="Q47" i="32"/>
  <c r="AF38" i="3"/>
  <c r="AA37" i="3"/>
  <c r="AF40" i="3"/>
  <c r="AY40" i="3"/>
  <c r="AE37" i="3" a="1"/>
  <c r="AE37" i="3" s="1"/>
  <c r="F36" i="45"/>
  <c r="AY49" i="3"/>
  <c r="AF45" i="3"/>
  <c r="AA49" i="3"/>
  <c r="AA47" i="3"/>
  <c r="F11" i="48" a="1"/>
  <c r="F11" i="48" s="1"/>
  <c r="E12" i="48"/>
  <c r="AA73" i="3"/>
  <c r="AF71" i="3"/>
  <c r="AF68" i="3"/>
  <c r="DT68" i="3" s="1"/>
  <c r="AY71" i="3"/>
  <c r="BC19" i="3"/>
  <c r="AB8" i="3" l="1" a="1"/>
  <c r="AB8" i="3" s="1"/>
  <c r="R38" i="45"/>
  <c r="AE5" i="3" a="1"/>
  <c r="AE5" i="3" s="1"/>
  <c r="F4" i="45"/>
  <c r="AE84" i="3" a="1"/>
  <c r="AE84" i="3" s="1"/>
  <c r="O40" i="45"/>
  <c r="K72" i="46"/>
  <c r="K75" i="46"/>
  <c r="DT77" i="3"/>
  <c r="K46" i="46"/>
  <c r="K22" i="46"/>
  <c r="DT89" i="3"/>
  <c r="BG49" i="3"/>
  <c r="BG19" i="3"/>
  <c r="BG22" i="3"/>
  <c r="BI37" i="3"/>
  <c r="R21" i="45"/>
  <c r="AE70" i="3" a="1"/>
  <c r="AE70" i="3" s="1"/>
  <c r="R24" i="45"/>
  <c r="AE73" i="3" a="1"/>
  <c r="AE73" i="3" s="1"/>
  <c r="AB69" i="3" a="1"/>
  <c r="AB69" i="3" s="1"/>
  <c r="O20" i="45"/>
  <c r="BG20" i="3"/>
  <c r="BG37" i="3"/>
  <c r="R30" i="45"/>
  <c r="AE79" i="3" a="1"/>
  <c r="AE79" i="3" s="1"/>
  <c r="R27" i="45"/>
  <c r="DT76" i="3"/>
  <c r="K24" i="46"/>
  <c r="AE76" i="3" a="1"/>
  <c r="AE76" i="3" s="1"/>
  <c r="O31" i="45"/>
  <c r="AB80" i="3" a="1"/>
  <c r="AB80" i="3" s="1"/>
  <c r="AE61" i="3" a="1"/>
  <c r="AE61" i="3" s="1"/>
  <c r="R12" i="45"/>
  <c r="BI7" i="3"/>
  <c r="O24" i="45"/>
  <c r="DT73" i="3"/>
  <c r="K71" i="46"/>
  <c r="AB73" i="3" a="1"/>
  <c r="AB73" i="3" s="1"/>
  <c r="S47" i="32"/>
  <c r="X47" i="32"/>
  <c r="L52" i="51"/>
  <c r="T47" i="32"/>
  <c r="BG48" i="45"/>
  <c r="R47" i="32"/>
  <c r="BG33" i="45"/>
  <c r="S32" i="32"/>
  <c r="T32" i="32"/>
  <c r="L37" i="51"/>
  <c r="X32" i="32"/>
  <c r="R32" i="32"/>
  <c r="S36" i="32"/>
  <c r="L41" i="51"/>
  <c r="R36" i="32"/>
  <c r="BG37" i="45"/>
  <c r="T36" i="32"/>
  <c r="X36" i="32"/>
  <c r="S25" i="32"/>
  <c r="T25" i="32"/>
  <c r="BG26" i="45"/>
  <c r="X25" i="32"/>
  <c r="L30" i="51"/>
  <c r="R25" i="32"/>
  <c r="BK34" i="3"/>
  <c r="AE54" i="3" a="1"/>
  <c r="AE54" i="3" s="1"/>
  <c r="R5" i="45"/>
  <c r="K42" i="46"/>
  <c r="DT54" i="3"/>
  <c r="BK41" i="3"/>
  <c r="BJ39" i="3"/>
  <c r="BJ51" i="3"/>
  <c r="C44" i="45"/>
  <c r="K17" i="46"/>
  <c r="AB45" i="3" a="1"/>
  <c r="AB45" i="3" s="1"/>
  <c r="DT45" i="3"/>
  <c r="DT7" i="3"/>
  <c r="AB7" i="3" a="1"/>
  <c r="AB7" i="3" s="1"/>
  <c r="K31" i="46"/>
  <c r="C6" i="45"/>
  <c r="BH46" i="3"/>
  <c r="F27" i="45"/>
  <c r="AE28" i="3" a="1"/>
  <c r="AE28" i="3" s="1"/>
  <c r="AE9" i="3" a="1"/>
  <c r="AE9" i="3" s="1"/>
  <c r="F8" i="45"/>
  <c r="BK7" i="3"/>
  <c r="BK16" i="3"/>
  <c r="BI41" i="3"/>
  <c r="O46" i="45"/>
  <c r="DT95" i="3"/>
  <c r="K53" i="46"/>
  <c r="AB95" i="3" a="1"/>
  <c r="AB95" i="3" s="1"/>
  <c r="C4" i="45"/>
  <c r="AB5" i="3" a="1"/>
  <c r="AB5" i="3" s="1"/>
  <c r="DT5" i="3"/>
  <c r="K7" i="46"/>
  <c r="K41" i="46"/>
  <c r="DT47" i="3"/>
  <c r="C46" i="45"/>
  <c r="AB47" i="3" a="1"/>
  <c r="AB47" i="3" s="1"/>
  <c r="C24" i="45"/>
  <c r="K59" i="46"/>
  <c r="AB25" i="3" a="1"/>
  <c r="AB25" i="3" s="1"/>
  <c r="DT25" i="3"/>
  <c r="BI22" i="3"/>
  <c r="AB87" i="3" a="1"/>
  <c r="AB87" i="3" s="1"/>
  <c r="DT87" i="3"/>
  <c r="K51" i="46"/>
  <c r="O38" i="45"/>
  <c r="T3" i="32"/>
  <c r="S3" i="32"/>
  <c r="BG4" i="45"/>
  <c r="R3" i="32"/>
  <c r="C3" i="32"/>
  <c r="X3" i="32"/>
  <c r="L8" i="51"/>
  <c r="BI46" i="3"/>
  <c r="K6" i="46"/>
  <c r="BG40" i="3"/>
  <c r="BH40" i="3"/>
  <c r="BJ40" i="3"/>
  <c r="BH42" i="3"/>
  <c r="DT4" i="3"/>
  <c r="C3" i="45"/>
  <c r="AB4" i="3" a="1"/>
  <c r="AB4" i="3" s="1"/>
  <c r="BJ43" i="3"/>
  <c r="BJ9" i="3"/>
  <c r="BJ10" i="3"/>
  <c r="BG43" i="3"/>
  <c r="BG9" i="3"/>
  <c r="BG42" i="3"/>
  <c r="BH43" i="3"/>
  <c r="BH10" i="3"/>
  <c r="BJ42" i="3"/>
  <c r="BG10" i="3"/>
  <c r="BH9" i="3"/>
  <c r="BH50" i="3"/>
  <c r="BJ44" i="3"/>
  <c r="BG44" i="3"/>
  <c r="BG25" i="3"/>
  <c r="BH30" i="3"/>
  <c r="BG50" i="3"/>
  <c r="BJ30" i="3"/>
  <c r="BJ38" i="3"/>
  <c r="BH25" i="3"/>
  <c r="BG38" i="3"/>
  <c r="BG47" i="3"/>
  <c r="BH38" i="3"/>
  <c r="BJ25" i="3"/>
  <c r="BH44" i="3"/>
  <c r="BJ50" i="3"/>
  <c r="BH47" i="3"/>
  <c r="BJ47" i="3"/>
  <c r="BG30" i="3"/>
  <c r="BJ29" i="3"/>
  <c r="BG18" i="3"/>
  <c r="BJ48" i="3"/>
  <c r="BJ33" i="3"/>
  <c r="BG21" i="3"/>
  <c r="BJ13" i="3"/>
  <c r="BJ19" i="3"/>
  <c r="BH23" i="3"/>
  <c r="BG7" i="3"/>
  <c r="BG52" i="3"/>
  <c r="BH45" i="3"/>
  <c r="BG29" i="3"/>
  <c r="BG12" i="3"/>
  <c r="BG48" i="3"/>
  <c r="BJ53" i="3"/>
  <c r="BH28" i="3"/>
  <c r="BJ17" i="3"/>
  <c r="BJ36" i="3"/>
  <c r="BG6" i="3"/>
  <c r="BJ21" i="3"/>
  <c r="BG32" i="3"/>
  <c r="BG45" i="3"/>
  <c r="BH13" i="3"/>
  <c r="BG28" i="3"/>
  <c r="BG26" i="3"/>
  <c r="BJ11" i="3"/>
  <c r="BH22" i="3"/>
  <c r="BH52" i="3"/>
  <c r="BH29" i="3"/>
  <c r="BH24" i="3"/>
  <c r="BH12" i="3"/>
  <c r="BJ8" i="3"/>
  <c r="BG16" i="3"/>
  <c r="BH36" i="3"/>
  <c r="BJ6" i="3"/>
  <c r="BH33" i="3"/>
  <c r="BH21" i="3"/>
  <c r="BG17" i="3"/>
  <c r="BH31" i="3"/>
  <c r="BH32" i="3"/>
  <c r="BH19" i="3"/>
  <c r="BJ32" i="3"/>
  <c r="BJ22" i="3"/>
  <c r="BG35" i="3"/>
  <c r="BH8" i="3"/>
  <c r="BH16" i="3"/>
  <c r="BG13" i="3"/>
  <c r="BG11" i="3"/>
  <c r="BJ31" i="3"/>
  <c r="BJ12" i="3"/>
  <c r="BH48" i="3"/>
  <c r="BJ45" i="3"/>
  <c r="BJ16" i="3"/>
  <c r="BG15" i="3"/>
  <c r="BJ15" i="3"/>
  <c r="BG31" i="3"/>
  <c r="BG36" i="3"/>
  <c r="BG23" i="3"/>
  <c r="BJ35" i="3"/>
  <c r="BG8" i="3"/>
  <c r="BG14" i="3"/>
  <c r="BJ52" i="3"/>
  <c r="BH35" i="3"/>
  <c r="BG51" i="3"/>
  <c r="BH26" i="3"/>
  <c r="BG39" i="3"/>
  <c r="BJ23" i="3"/>
  <c r="BJ14" i="3"/>
  <c r="BJ20" i="3"/>
  <c r="BH51" i="3"/>
  <c r="BJ7" i="3"/>
  <c r="BH41" i="3"/>
  <c r="BG34" i="3"/>
  <c r="BH53" i="3"/>
  <c r="BJ27" i="3"/>
  <c r="BJ18" i="3"/>
  <c r="BH20" i="3"/>
  <c r="BG46" i="3"/>
  <c r="BJ26" i="3"/>
  <c r="BH27" i="3"/>
  <c r="BH37" i="3"/>
  <c r="BJ41" i="3"/>
  <c r="BJ49" i="3"/>
  <c r="BH34" i="3"/>
  <c r="BH14" i="3"/>
  <c r="BJ24" i="3"/>
  <c r="BJ46" i="3"/>
  <c r="BH39" i="3"/>
  <c r="BH7" i="3"/>
  <c r="BH11" i="3"/>
  <c r="BJ37" i="3"/>
  <c r="BJ34" i="3"/>
  <c r="BJ28" i="3"/>
  <c r="BK11" i="3"/>
  <c r="AB61" i="3" a="1"/>
  <c r="AB61" i="3" s="1"/>
  <c r="O12" i="45"/>
  <c r="DT61" i="3"/>
  <c r="K21" i="46"/>
  <c r="BH6" i="3"/>
  <c r="AE94" i="3" a="1"/>
  <c r="AE94" i="3" s="1"/>
  <c r="R45" i="45"/>
  <c r="DT94" i="3"/>
  <c r="K52" i="46"/>
  <c r="AB79" i="3" a="1"/>
  <c r="AB79" i="3" s="1"/>
  <c r="K49" i="46"/>
  <c r="DT79" i="3"/>
  <c r="O30" i="45"/>
  <c r="AB20" i="3" a="1"/>
  <c r="AB20" i="3" s="1"/>
  <c r="DT20" i="3"/>
  <c r="K10" i="46"/>
  <c r="C19" i="45"/>
  <c r="L33" i="51"/>
  <c r="BG29" i="45"/>
  <c r="X28" i="32"/>
  <c r="R28" i="32"/>
  <c r="S28" i="32"/>
  <c r="T28" i="32"/>
  <c r="L40" i="51"/>
  <c r="T35" i="32"/>
  <c r="X35" i="32"/>
  <c r="BG36" i="45"/>
  <c r="S35" i="32"/>
  <c r="R35" i="32"/>
  <c r="BG11" i="45"/>
  <c r="L15" i="51"/>
  <c r="T10" i="32"/>
  <c r="S10" i="32"/>
  <c r="R10" i="32"/>
  <c r="X10" i="32"/>
  <c r="R18" i="32"/>
  <c r="L23" i="51"/>
  <c r="BG19" i="45"/>
  <c r="S18" i="32"/>
  <c r="X18" i="32"/>
  <c r="T18" i="32"/>
  <c r="L53" i="51"/>
  <c r="T48" i="32"/>
  <c r="X48" i="32"/>
  <c r="BG49" i="45"/>
  <c r="R48" i="32"/>
  <c r="S48" i="32"/>
  <c r="BI32" i="3"/>
  <c r="BG33" i="3"/>
  <c r="K14" i="46"/>
  <c r="AB36" i="3" a="1"/>
  <c r="AB36" i="3" s="1"/>
  <c r="DT36" i="3"/>
  <c r="C35" i="45"/>
  <c r="F19" i="45"/>
  <c r="AE20" i="3" a="1"/>
  <c r="AE20" i="3" s="1"/>
  <c r="T31" i="32"/>
  <c r="X31" i="32"/>
  <c r="S31" i="32"/>
  <c r="L36" i="51"/>
  <c r="BG32" i="45"/>
  <c r="R31" i="32"/>
  <c r="X42" i="32"/>
  <c r="L47" i="51"/>
  <c r="R42" i="32"/>
  <c r="S42" i="32"/>
  <c r="T42" i="32"/>
  <c r="BG43" i="45"/>
  <c r="L27" i="51"/>
  <c r="BG23" i="45"/>
  <c r="X22" i="32"/>
  <c r="R22" i="32"/>
  <c r="S22" i="32"/>
  <c r="T22" i="32"/>
  <c r="X46" i="32"/>
  <c r="S46" i="32"/>
  <c r="R46" i="32"/>
  <c r="L51" i="51"/>
  <c r="T46" i="32"/>
  <c r="BG47" i="45"/>
  <c r="S19" i="32"/>
  <c r="R19" i="32"/>
  <c r="BG20" i="45"/>
  <c r="L24" i="51"/>
  <c r="X19" i="32"/>
  <c r="T19" i="32"/>
  <c r="BH17" i="3"/>
  <c r="BI45" i="3"/>
  <c r="BK27" i="3"/>
  <c r="BI18" i="3"/>
  <c r="AE41" i="3" a="1"/>
  <c r="AE41" i="3" s="1"/>
  <c r="F40" i="45"/>
  <c r="K63" i="46"/>
  <c r="DT41" i="3"/>
  <c r="BG53" i="3"/>
  <c r="C48" i="45"/>
  <c r="AB49" i="3" a="1"/>
  <c r="AB49" i="3" s="1"/>
  <c r="DT49" i="3"/>
  <c r="K65" i="46"/>
  <c r="BG41" i="3"/>
  <c r="AE46" i="3" a="1"/>
  <c r="AE46" i="3" s="1"/>
  <c r="F45" i="45"/>
  <c r="S44" i="32"/>
  <c r="T44" i="32"/>
  <c r="R44" i="32"/>
  <c r="BG45" i="45"/>
  <c r="L49" i="51"/>
  <c r="X44" i="32"/>
  <c r="T21" i="32"/>
  <c r="BG22" i="45"/>
  <c r="X21" i="32"/>
  <c r="S21" i="32"/>
  <c r="R21" i="32"/>
  <c r="L26" i="51"/>
  <c r="T23" i="32"/>
  <c r="BG24" i="45"/>
  <c r="L28" i="51"/>
  <c r="S23" i="32"/>
  <c r="R23" i="32"/>
  <c r="X23" i="32"/>
  <c r="DT53" i="3"/>
  <c r="AB53" i="3" a="1"/>
  <c r="AB53" i="3" s="1"/>
  <c r="K19" i="46"/>
  <c r="O4" i="45"/>
  <c r="BG24" i="3"/>
  <c r="K77" i="46"/>
  <c r="O48" i="45"/>
  <c r="AB97" i="3" a="1"/>
  <c r="AB97" i="3" s="1"/>
  <c r="DT97" i="3"/>
  <c r="S27" i="32"/>
  <c r="R27" i="32"/>
  <c r="T27" i="32"/>
  <c r="L32" i="51"/>
  <c r="BG28" i="45"/>
  <c r="X27" i="32"/>
  <c r="C47" i="45"/>
  <c r="DT48" i="3"/>
  <c r="AB48" i="3" a="1"/>
  <c r="AB48" i="3" s="1"/>
  <c r="K64" i="46"/>
  <c r="BI13" i="3"/>
  <c r="R4" i="45"/>
  <c r="AE53" i="3" a="1"/>
  <c r="AE53" i="3" s="1"/>
  <c r="BI6" i="3"/>
  <c r="DT93" i="3"/>
  <c r="K29" i="46"/>
  <c r="O44" i="45"/>
  <c r="AB93" i="3" a="1"/>
  <c r="AB93" i="3" s="1"/>
  <c r="F39" i="45"/>
  <c r="AE40" i="3" a="1"/>
  <c r="AE40" i="3" s="1"/>
  <c r="C36" i="45"/>
  <c r="AB37" i="3" a="1"/>
  <c r="AB37" i="3" s="1"/>
  <c r="DT37" i="3"/>
  <c r="K15" i="46"/>
  <c r="BK19" i="3"/>
  <c r="BH49" i="3"/>
  <c r="BH15" i="3"/>
  <c r="DT44" i="3"/>
  <c r="C43" i="45"/>
  <c r="AB44" i="3" a="1"/>
  <c r="AB44" i="3" s="1"/>
  <c r="K16" i="46"/>
  <c r="BG27" i="3"/>
  <c r="AE93" i="3" a="1"/>
  <c r="AE93" i="3" s="1"/>
  <c r="R44" i="45"/>
  <c r="BH18" i="3"/>
  <c r="F30" i="45"/>
  <c r="AE31" i="3" a="1"/>
  <c r="AE31" i="3" s="1"/>
  <c r="AE7" i="3" a="1"/>
  <c r="AE7" i="3" s="1"/>
  <c r="F6" i="45"/>
  <c r="DT57" i="3"/>
  <c r="K67" i="46"/>
  <c r="AB57" i="3" a="1"/>
  <c r="AB57" i="3" s="1"/>
  <c r="O8" i="45"/>
  <c r="K40" i="46"/>
  <c r="DT46" i="3"/>
  <c r="C45" i="45"/>
  <c r="AB46" i="3" a="1"/>
  <c r="AB46" i="3" s="1"/>
  <c r="BK26" i="3"/>
  <c r="BK51" i="3"/>
  <c r="BI20" i="3"/>
  <c r="BK18" i="3"/>
  <c r="R43" i="45"/>
  <c r="AE92" i="3" a="1"/>
  <c r="AE92" i="3" s="1"/>
  <c r="F47" i="45"/>
  <c r="AE48" i="3" a="1"/>
  <c r="AE48" i="3" s="1"/>
  <c r="E13" i="48"/>
  <c r="F12" i="48" a="1"/>
  <c r="F12" i="48" s="1"/>
  <c r="T34" i="32"/>
  <c r="X34" i="32"/>
  <c r="L39" i="51"/>
  <c r="S34" i="32"/>
  <c r="R34" i="32"/>
  <c r="BG35" i="45"/>
  <c r="L12" i="51"/>
  <c r="X7" i="32"/>
  <c r="BG8" i="45"/>
  <c r="R7" i="32"/>
  <c r="S7" i="32"/>
  <c r="T7" i="32"/>
  <c r="T8" i="32"/>
  <c r="R8" i="32"/>
  <c r="L13" i="51"/>
  <c r="BG9" i="45"/>
  <c r="S8" i="32"/>
  <c r="X8" i="32"/>
  <c r="X33" i="32"/>
  <c r="S33" i="32"/>
  <c r="L38" i="51"/>
  <c r="BG34" i="45"/>
  <c r="R33" i="32"/>
  <c r="T33" i="32"/>
  <c r="R36" i="45"/>
  <c r="AE85" i="3" a="1"/>
  <c r="AE85" i="3" s="1"/>
  <c r="AE8" i="3" a="1"/>
  <c r="AE8" i="3" s="1"/>
  <c r="F7" i="45"/>
  <c r="K54" i="46"/>
  <c r="DT8" i="3"/>
  <c r="F46" i="45"/>
  <c r="AE47" i="3" a="1"/>
  <c r="AE47" i="3" s="1"/>
  <c r="AE24" i="3" a="1"/>
  <c r="AE24" i="3" s="1"/>
  <c r="F23" i="45"/>
  <c r="BK53" i="3"/>
  <c r="BI39" i="3"/>
  <c r="BI51" i="3"/>
  <c r="DT88" i="3"/>
  <c r="K74" i="46"/>
  <c r="O39" i="45"/>
  <c r="AB88" i="3" a="1"/>
  <c r="AB88" i="3" s="1"/>
  <c r="F43" i="45"/>
  <c r="AE44" i="3" a="1"/>
  <c r="AE44" i="3" s="1"/>
  <c r="R48" i="45"/>
  <c r="AE97" i="3" a="1"/>
  <c r="AE97" i="3" s="1"/>
  <c r="L46" i="51"/>
  <c r="X41" i="32"/>
  <c r="S41" i="32"/>
  <c r="R41" i="32"/>
  <c r="BG42" i="45"/>
  <c r="T41" i="32"/>
  <c r="X15" i="32"/>
  <c r="R15" i="32"/>
  <c r="S15" i="32"/>
  <c r="BG16" i="45"/>
  <c r="T15" i="32"/>
  <c r="L20" i="51"/>
  <c r="R14" i="32"/>
  <c r="X14" i="32"/>
  <c r="BG15" i="45"/>
  <c r="L19" i="51"/>
  <c r="T14" i="32"/>
  <c r="S14" i="32"/>
  <c r="R9" i="32"/>
  <c r="L14" i="51"/>
  <c r="T9" i="32"/>
  <c r="S9" i="32"/>
  <c r="BG10" i="45"/>
  <c r="X9" i="32"/>
  <c r="BK22" i="3"/>
  <c r="BK49" i="3"/>
  <c r="BI15" i="3"/>
  <c r="C22" i="45"/>
  <c r="K35" i="46"/>
  <c r="DT23" i="3"/>
  <c r="AB23" i="3" a="1"/>
  <c r="AB23" i="3" s="1"/>
  <c r="BI11" i="3"/>
  <c r="K43" i="46"/>
  <c r="AB55" i="3" a="1"/>
  <c r="AB55" i="3" s="1"/>
  <c r="O6" i="45"/>
  <c r="DT55" i="3"/>
  <c r="F48" i="45"/>
  <c r="AE49" i="3" a="1"/>
  <c r="AE49" i="3" s="1"/>
  <c r="BK39" i="3"/>
  <c r="DT92" i="3"/>
  <c r="BI31" i="3"/>
  <c r="AB56" i="3" a="1"/>
  <c r="AB56" i="3" s="1"/>
  <c r="O7" i="45"/>
  <c r="K66" i="46"/>
  <c r="DT56" i="3"/>
  <c r="K28" i="46"/>
  <c r="BK8" i="3"/>
  <c r="DT64" i="3"/>
  <c r="AB64" i="3" a="1"/>
  <c r="AB64" i="3" s="1"/>
  <c r="O15" i="45"/>
  <c r="K68" i="46"/>
  <c r="BK23" i="3"/>
  <c r="BI48" i="3"/>
  <c r="R39" i="45"/>
  <c r="AE88" i="3" a="1"/>
  <c r="AE88" i="3" s="1"/>
  <c r="AB30" i="3" a="1"/>
  <c r="AB30" i="3" s="1"/>
  <c r="C29" i="45"/>
  <c r="K36" i="46"/>
  <c r="DT30" i="3"/>
  <c r="BI29" i="3"/>
  <c r="BK31" i="3"/>
  <c r="BK52" i="3"/>
  <c r="F35" i="45"/>
  <c r="AE36" i="3" a="1"/>
  <c r="AE36" i="3" s="1"/>
  <c r="AB24" i="3" a="1"/>
  <c r="AB24" i="3" s="1"/>
  <c r="K58" i="46"/>
  <c r="C23" i="45"/>
  <c r="DT24" i="3"/>
  <c r="BI19" i="3"/>
  <c r="L34" i="51"/>
  <c r="S29" i="32"/>
  <c r="BG30" i="45"/>
  <c r="R29" i="32"/>
  <c r="T29" i="32"/>
  <c r="X29" i="32"/>
  <c r="BK21" i="3"/>
  <c r="K12" i="46"/>
  <c r="DT28" i="3"/>
  <c r="C27" i="45"/>
  <c r="AB28" i="3" a="1"/>
  <c r="AB28" i="3" s="1"/>
  <c r="BI36" i="3"/>
  <c r="BK45" i="3"/>
  <c r="X5" i="32"/>
  <c r="BG6" i="45"/>
  <c r="R5" i="32"/>
  <c r="L10" i="51"/>
  <c r="S5" i="32"/>
  <c r="T5" i="32"/>
  <c r="F28" i="45"/>
  <c r="AE29" i="3" a="1"/>
  <c r="AE29" i="3" s="1"/>
  <c r="BK48" i="3"/>
  <c r="BK12" i="3"/>
  <c r="AE86" i="3" a="1"/>
  <c r="AE86" i="3" s="1"/>
  <c r="R37" i="45"/>
  <c r="DT62" i="3"/>
  <c r="O13" i="45"/>
  <c r="K44" i="46"/>
  <c r="AB62" i="3" a="1"/>
  <c r="AB62" i="3" s="1"/>
  <c r="AE17" i="3" a="1"/>
  <c r="AE17" i="3" s="1"/>
  <c r="F16" i="45"/>
  <c r="AE69" i="3" a="1"/>
  <c r="AE69" i="3" s="1"/>
  <c r="R20" i="45"/>
  <c r="K23" i="46"/>
  <c r="DT69" i="3"/>
  <c r="AE32" i="3" a="1"/>
  <c r="AE32" i="3" s="1"/>
  <c r="F31" i="45"/>
  <c r="BK29" i="3"/>
  <c r="C39" i="45"/>
  <c r="DT40" i="3"/>
  <c r="K62" i="46"/>
  <c r="AB40" i="3" a="1"/>
  <c r="AB40" i="3" s="1"/>
  <c r="BI26" i="3"/>
  <c r="BK20" i="3"/>
  <c r="AE60" i="3" a="1"/>
  <c r="AE60" i="3" s="1"/>
  <c r="R11" i="45"/>
  <c r="F37" i="45"/>
  <c r="AE38" i="3" a="1"/>
  <c r="AE38" i="3" s="1"/>
  <c r="BK15" i="3"/>
  <c r="K45" i="46"/>
  <c r="DT63" i="3"/>
  <c r="O14" i="45"/>
  <c r="AB63" i="3" a="1"/>
  <c r="AB63" i="3" s="1"/>
  <c r="O37" i="45"/>
  <c r="K50" i="46"/>
  <c r="DT86" i="3"/>
  <c r="AB86" i="3" a="1"/>
  <c r="AB86" i="3" s="1"/>
  <c r="AE55" i="3" a="1"/>
  <c r="AE55" i="3" s="1"/>
  <c r="R6" i="45"/>
  <c r="BG27" i="45"/>
  <c r="R26" i="32"/>
  <c r="S26" i="32"/>
  <c r="T26" i="32"/>
  <c r="L31" i="51"/>
  <c r="X26" i="32"/>
  <c r="X43" i="32"/>
  <c r="S43" i="32"/>
  <c r="T43" i="32"/>
  <c r="R43" i="32"/>
  <c r="BG44" i="45"/>
  <c r="L48" i="51"/>
  <c r="L18" i="51"/>
  <c r="T13" i="32"/>
  <c r="S13" i="32"/>
  <c r="X13" i="32"/>
  <c r="BG14" i="45"/>
  <c r="R13" i="32"/>
  <c r="AE22" i="3" a="1"/>
  <c r="AE22" i="3" s="1"/>
  <c r="F21" i="45"/>
  <c r="BG25" i="45"/>
  <c r="L29" i="51"/>
  <c r="S24" i="32"/>
  <c r="N2" i="32" s="1"/>
  <c r="X24" i="32"/>
  <c r="R24" i="32"/>
  <c r="M2" i="32" s="1"/>
  <c r="T24" i="32"/>
  <c r="K27" i="46"/>
  <c r="O36" i="45"/>
  <c r="DT85" i="3"/>
  <c r="AB85" i="3" a="1"/>
  <c r="AB85" i="3" s="1"/>
  <c r="F12" i="45"/>
  <c r="AE13" i="3" a="1"/>
  <c r="AE13" i="3" s="1"/>
  <c r="BK35" i="3"/>
  <c r="K34" i="46"/>
  <c r="AB22" i="3" a="1"/>
  <c r="AB22" i="3" s="1"/>
  <c r="C21" i="45"/>
  <c r="DT22" i="3"/>
  <c r="L42" i="51"/>
  <c r="X37" i="32"/>
  <c r="S37" i="32"/>
  <c r="T37" i="32"/>
  <c r="BG38" i="45"/>
  <c r="R37" i="32"/>
  <c r="BI28" i="3"/>
  <c r="BK33" i="3"/>
  <c r="X38" i="32"/>
  <c r="BG39" i="45"/>
  <c r="L43" i="51"/>
  <c r="T38" i="32"/>
  <c r="S38" i="32"/>
  <c r="R38" i="32"/>
  <c r="L21" i="51"/>
  <c r="X16" i="32"/>
  <c r="T16" i="32"/>
  <c r="R16" i="32"/>
  <c r="BG17" i="45"/>
  <c r="S16" i="32"/>
  <c r="R30" i="32"/>
  <c r="L35" i="51"/>
  <c r="T30" i="32"/>
  <c r="X30" i="32"/>
  <c r="BG31" i="45"/>
  <c r="S30" i="32"/>
  <c r="AE23" i="3" a="1"/>
  <c r="AE23" i="3" s="1"/>
  <c r="F22" i="45"/>
  <c r="K60" i="46"/>
  <c r="C31" i="45"/>
  <c r="DT32" i="3"/>
  <c r="AB32" i="3" a="1"/>
  <c r="AB32" i="3" s="1"/>
  <c r="K55" i="46"/>
  <c r="AB9" i="3" a="1"/>
  <c r="AB9" i="3" s="1"/>
  <c r="C8" i="45"/>
  <c r="DT9" i="3"/>
  <c r="AE64" i="3" a="1"/>
  <c r="AE64" i="3" s="1"/>
  <c r="R15" i="45"/>
  <c r="K56" i="46"/>
  <c r="AB16" i="3" a="1"/>
  <c r="AB16" i="3" s="1"/>
  <c r="DT16" i="3"/>
  <c r="C15" i="45"/>
  <c r="R28" i="45"/>
  <c r="AE77" i="3" a="1"/>
  <c r="AE77" i="3" s="1"/>
  <c r="R16" i="45"/>
  <c r="AE65" i="3" a="1"/>
  <c r="AE65" i="3" s="1"/>
  <c r="O23" i="45"/>
  <c r="K70" i="46"/>
  <c r="AB72" i="3" a="1"/>
  <c r="AB72" i="3" s="1"/>
  <c r="DT72" i="3"/>
  <c r="AE21" i="3" a="1"/>
  <c r="AE21" i="3" s="1"/>
  <c r="F20" i="45"/>
  <c r="F11" i="45"/>
  <c r="AE12" i="3" a="1"/>
  <c r="AE12" i="3" s="1"/>
  <c r="K8" i="46"/>
  <c r="DT12" i="3"/>
  <c r="BI12" i="3"/>
  <c r="R3" i="45"/>
  <c r="AE52" i="3" a="1"/>
  <c r="AE52" i="3" s="1"/>
  <c r="BI23" i="3"/>
  <c r="L25" i="51"/>
  <c r="R20" i="32"/>
  <c r="T20" i="32"/>
  <c r="X20" i="32"/>
  <c r="S20" i="32"/>
  <c r="BG21" i="45"/>
  <c r="BI49" i="3"/>
  <c r="BK32" i="3"/>
  <c r="BK13" i="3"/>
  <c r="K9" i="46"/>
  <c r="DT13" i="3"/>
  <c r="AB13" i="3" a="1"/>
  <c r="AB13" i="3" s="1"/>
  <c r="C12" i="45"/>
  <c r="AE63" i="3" a="1"/>
  <c r="AE63" i="3" s="1"/>
  <c r="R14" i="45"/>
  <c r="BI52" i="3"/>
  <c r="BK14" i="3"/>
  <c r="DT52" i="3"/>
  <c r="DT17" i="3"/>
  <c r="K57" i="46"/>
  <c r="AB17" i="3" a="1"/>
  <c r="AB17" i="3" s="1"/>
  <c r="C16" i="45"/>
  <c r="C13" i="45"/>
  <c r="K32" i="46"/>
  <c r="DT14" i="3"/>
  <c r="AB14" i="3" a="1"/>
  <c r="AB14" i="3" s="1"/>
  <c r="L16" i="51"/>
  <c r="S11" i="32"/>
  <c r="X11" i="32"/>
  <c r="T11" i="32"/>
  <c r="R11" i="32"/>
  <c r="BG12" i="45"/>
  <c r="BI17" i="3"/>
  <c r="F13" i="45"/>
  <c r="AE14" i="3" a="1"/>
  <c r="AE14" i="3" s="1"/>
  <c r="BK36" i="3"/>
  <c r="BI16" i="3"/>
  <c r="F14" i="45"/>
  <c r="AE15" i="3" a="1"/>
  <c r="AE15" i="3" s="1"/>
  <c r="K33" i="46"/>
  <c r="DT15" i="3"/>
  <c r="O22" i="45"/>
  <c r="K47" i="46"/>
  <c r="AB71" i="3" a="1"/>
  <c r="AB71" i="3" s="1"/>
  <c r="DT71" i="3"/>
  <c r="BI8" i="3"/>
  <c r="O35" i="45"/>
  <c r="K26" i="46"/>
  <c r="AB84" i="3" a="1"/>
  <c r="AB84" i="3" s="1"/>
  <c r="DT84" i="3"/>
  <c r="S40" i="32"/>
  <c r="R40" i="32"/>
  <c r="T40" i="32"/>
  <c r="BG41" i="45"/>
  <c r="X40" i="32"/>
  <c r="L45" i="51"/>
  <c r="S12" i="32"/>
  <c r="BG13" i="45"/>
  <c r="L17" i="51"/>
  <c r="T12" i="32"/>
  <c r="R12" i="32"/>
  <c r="X12" i="32"/>
  <c r="AE33" i="3" a="1"/>
  <c r="AE33" i="3" s="1"/>
  <c r="F32" i="45"/>
  <c r="AE25" i="3" a="1"/>
  <c r="AE25" i="3" s="1"/>
  <c r="F24" i="45"/>
  <c r="K37" i="46"/>
  <c r="AB31" i="3" a="1"/>
  <c r="AB31" i="3" s="1"/>
  <c r="DT31" i="3"/>
  <c r="C30" i="45"/>
  <c r="F5" i="45"/>
  <c r="AE6" i="3" a="1"/>
  <c r="AE6" i="3" s="1"/>
  <c r="K30" i="46"/>
  <c r="DT6" i="3"/>
  <c r="AE68" i="3" a="1"/>
  <c r="AE68" i="3" s="1"/>
  <c r="R19" i="45"/>
  <c r="T45" i="32"/>
  <c r="L50" i="51"/>
  <c r="X45" i="32"/>
  <c r="R45" i="32"/>
  <c r="S45" i="32"/>
  <c r="BG46" i="45"/>
  <c r="L55" i="51"/>
  <c r="S50" i="32"/>
  <c r="BG51" i="45"/>
  <c r="R50" i="32"/>
  <c r="T50" i="32"/>
  <c r="X50" i="32"/>
  <c r="X4" i="32"/>
  <c r="BG5" i="45"/>
  <c r="L9" i="51"/>
  <c r="R4" i="32"/>
  <c r="T4" i="32"/>
  <c r="S4" i="32"/>
  <c r="F29" i="45"/>
  <c r="AE30" i="3" a="1"/>
  <c r="AE30" i="3" s="1"/>
  <c r="AB21" i="3" a="1"/>
  <c r="AB21" i="3" s="1"/>
  <c r="DT21" i="3"/>
  <c r="C20" i="45"/>
  <c r="K11" i="46"/>
  <c r="F3" i="45"/>
  <c r="AE4" i="3" a="1"/>
  <c r="AE4" i="3" s="1"/>
  <c r="BK40" i="3"/>
  <c r="BI40" i="3"/>
  <c r="BK42" i="3"/>
  <c r="BK43" i="3"/>
  <c r="BI10" i="3"/>
  <c r="BI9" i="3"/>
  <c r="BI43" i="3"/>
  <c r="BK9" i="3"/>
  <c r="BI42" i="3"/>
  <c r="BK10" i="3"/>
  <c r="BI47" i="3"/>
  <c r="BI38" i="3"/>
  <c r="BK47" i="3"/>
  <c r="BK38" i="3"/>
  <c r="BK50" i="3"/>
  <c r="BI30" i="3"/>
  <c r="BI44" i="3"/>
  <c r="BK25" i="3"/>
  <c r="BK44" i="3"/>
  <c r="BK30" i="3"/>
  <c r="BI25" i="3"/>
  <c r="BI50" i="3"/>
  <c r="BI33" i="3"/>
  <c r="R40" i="45"/>
  <c r="AE89" i="3" a="1"/>
  <c r="AE89" i="3" s="1"/>
  <c r="O32" i="45"/>
  <c r="AB81" i="3" a="1"/>
  <c r="AB81" i="3" s="1"/>
  <c r="DT81" i="3"/>
  <c r="K73" i="46"/>
  <c r="DT96" i="3"/>
  <c r="O47" i="45"/>
  <c r="K76" i="46"/>
  <c r="AB96" i="3" a="1"/>
  <c r="AB96" i="3" s="1"/>
  <c r="DT60" i="3"/>
  <c r="AB60" i="3" a="1"/>
  <c r="AB60" i="3" s="1"/>
  <c r="K20" i="46"/>
  <c r="O11" i="45"/>
  <c r="BK46" i="3"/>
  <c r="BK24" i="3"/>
  <c r="O16" i="45"/>
  <c r="K69" i="46"/>
  <c r="AB65" i="3" a="1"/>
  <c r="AB65" i="3" s="1"/>
  <c r="DT65" i="3"/>
  <c r="BI35" i="3"/>
  <c r="BI14" i="3"/>
  <c r="AE45" i="3" a="1"/>
  <c r="AE45" i="3" s="1"/>
  <c r="F44" i="45"/>
  <c r="BG18" i="45"/>
  <c r="X17" i="32"/>
  <c r="R17" i="32"/>
  <c r="L22" i="51"/>
  <c r="T17" i="32"/>
  <c r="S17" i="32"/>
  <c r="BI21" i="3"/>
  <c r="AE39" i="3" a="1"/>
  <c r="AE39" i="3" s="1"/>
  <c r="F38" i="45"/>
  <c r="R22" i="45"/>
  <c r="AE71" i="3" a="1"/>
  <c r="AE71" i="3" s="1"/>
  <c r="T6" i="32"/>
  <c r="BG7" i="45"/>
  <c r="R6" i="32"/>
  <c r="S6" i="32"/>
  <c r="L11" i="51"/>
  <c r="X6" i="32"/>
  <c r="L54" i="51"/>
  <c r="S49" i="32"/>
  <c r="R49" i="32"/>
  <c r="T49" i="32"/>
  <c r="BG50" i="45"/>
  <c r="X49" i="32"/>
  <c r="L44" i="51"/>
  <c r="R39" i="32"/>
  <c r="X39" i="32"/>
  <c r="S39" i="32"/>
  <c r="BG40" i="45"/>
  <c r="T39" i="32"/>
  <c r="BI34" i="3"/>
  <c r="R7" i="45"/>
  <c r="AE56" i="3" a="1"/>
  <c r="AE56" i="3" s="1"/>
  <c r="AB29" i="3" a="1"/>
  <c r="AB29" i="3" s="1"/>
  <c r="C28" i="45"/>
  <c r="K13" i="46"/>
  <c r="DT29" i="3"/>
  <c r="BK17" i="3"/>
  <c r="C32" i="45"/>
  <c r="DT33" i="3"/>
  <c r="K61" i="46"/>
  <c r="AB33" i="3" a="1"/>
  <c r="AB33" i="3" s="1"/>
  <c r="BK28" i="3"/>
  <c r="BK37" i="3"/>
  <c r="R13" i="45"/>
  <c r="AE62" i="3" a="1"/>
  <c r="AE62" i="3" s="1"/>
  <c r="BK6" i="3"/>
  <c r="DT39" i="3"/>
  <c r="BI27" i="3"/>
  <c r="BI53" i="3"/>
  <c r="BI24" i="3"/>
  <c r="AB38" i="3" a="1"/>
  <c r="AB38" i="3" s="1"/>
  <c r="K38" i="46"/>
  <c r="DT38" i="3"/>
  <c r="C37" i="45"/>
  <c r="R46" i="45"/>
  <c r="AE95" i="3" a="1"/>
  <c r="AE95" i="3" s="1"/>
  <c r="BL28" i="3" l="1"/>
  <c r="BL26" i="3"/>
  <c r="BE37" i="3"/>
  <c r="BE22" i="3"/>
  <c r="BF49" i="3"/>
  <c r="BO49" i="3" s="1"/>
  <c r="BF19" i="3"/>
  <c r="BO19" i="3" s="1"/>
  <c r="BE19" i="3"/>
  <c r="BL7" i="3"/>
  <c r="BF37" i="3"/>
  <c r="BO37" i="3" s="1"/>
  <c r="BL45" i="3"/>
  <c r="BL34" i="3"/>
  <c r="BE49" i="3"/>
  <c r="BL37" i="3"/>
  <c r="BF20" i="3"/>
  <c r="BO20" i="3" s="1"/>
  <c r="BL31" i="3"/>
  <c r="BL6" i="3"/>
  <c r="BL19" i="3"/>
  <c r="BL52" i="3"/>
  <c r="BL41" i="3"/>
  <c r="BL16" i="3"/>
  <c r="BE27" i="3"/>
  <c r="BF27" i="3"/>
  <c r="BO27" i="3" s="1"/>
  <c r="AH66" i="32"/>
  <c r="AF69" i="32"/>
  <c r="AH36" i="32"/>
  <c r="W38" i="32" s="1"/>
  <c r="AF85" i="32"/>
  <c r="AF71" i="32"/>
  <c r="AH75" i="32"/>
  <c r="AH65" i="32"/>
  <c r="AF86" i="32"/>
  <c r="AH73" i="32"/>
  <c r="AF61" i="32"/>
  <c r="AF6" i="32"/>
  <c r="AF80" i="32"/>
  <c r="AH55" i="32"/>
  <c r="AH37" i="32"/>
  <c r="W39" i="32" s="1"/>
  <c r="AH18" i="32"/>
  <c r="W19" i="32" s="1"/>
  <c r="AH56" i="32"/>
  <c r="AH85" i="32"/>
  <c r="AF27" i="32"/>
  <c r="AF50" i="32"/>
  <c r="AF58" i="32"/>
  <c r="AH80" i="32"/>
  <c r="AH24" i="32"/>
  <c r="W25" i="32" s="1"/>
  <c r="AH5" i="32"/>
  <c r="W5" i="32" s="1"/>
  <c r="AH43" i="32"/>
  <c r="W49" i="32" s="1"/>
  <c r="AF34" i="32"/>
  <c r="AH48" i="32"/>
  <c r="W45" i="32" s="1"/>
  <c r="AH4" i="32"/>
  <c r="W4" i="32" s="1"/>
  <c r="AF59" i="32"/>
  <c r="AH41" i="32"/>
  <c r="W46" i="32" s="1"/>
  <c r="AH33" i="32"/>
  <c r="W35" i="32" s="1"/>
  <c r="AH8" i="32"/>
  <c r="W8" i="32" s="1"/>
  <c r="AF9" i="32"/>
  <c r="AF84" i="32"/>
  <c r="AF8" i="32"/>
  <c r="AF75" i="32"/>
  <c r="AH44" i="32"/>
  <c r="W50" i="32" s="1"/>
  <c r="AH54" i="32"/>
  <c r="AH13" i="32"/>
  <c r="W14" i="32" s="1"/>
  <c r="AF65" i="32"/>
  <c r="AF42" i="32"/>
  <c r="AH51" i="32"/>
  <c r="AH32" i="32"/>
  <c r="W34" i="32" s="1"/>
  <c r="AH78" i="32"/>
  <c r="AF12" i="32"/>
  <c r="AF4" i="32"/>
  <c r="AH77" i="32"/>
  <c r="AF23" i="32"/>
  <c r="AF18" i="32"/>
  <c r="AF26" i="32"/>
  <c r="AF79" i="32"/>
  <c r="AH64" i="32"/>
  <c r="AH28" i="32"/>
  <c r="W30" i="32" s="1"/>
  <c r="AF14" i="32"/>
  <c r="AH39" i="32"/>
  <c r="W43" i="32" s="1"/>
  <c r="AF25" i="32"/>
  <c r="AH58" i="32"/>
  <c r="AF22" i="32"/>
  <c r="AH16" i="32"/>
  <c r="W17" i="32" s="1"/>
  <c r="AF52" i="32"/>
  <c r="AH10" i="32"/>
  <c r="W11" i="32" s="1"/>
  <c r="AH27" i="32"/>
  <c r="W28" i="32" s="1"/>
  <c r="AF30" i="32"/>
  <c r="AH6" i="32"/>
  <c r="W6" i="32" s="1"/>
  <c r="AH72" i="32"/>
  <c r="AF64" i="32"/>
  <c r="AF72" i="32"/>
  <c r="AF38" i="32"/>
  <c r="AF45" i="32"/>
  <c r="AH61" i="32"/>
  <c r="AH49" i="32"/>
  <c r="W48" i="32" s="1"/>
  <c r="AH69" i="32"/>
  <c r="AH9" i="32"/>
  <c r="W9" i="32" s="1"/>
  <c r="AH52" i="32"/>
  <c r="AF57" i="32"/>
  <c r="AF41" i="32"/>
  <c r="AH83" i="32"/>
  <c r="AH47" i="32"/>
  <c r="W10" i="32" s="1"/>
  <c r="AH67" i="32"/>
  <c r="AF68" i="32"/>
  <c r="AH20" i="32"/>
  <c r="W21" i="32" s="1"/>
  <c r="AH26" i="32"/>
  <c r="W27" i="32" s="1"/>
  <c r="AF16" i="32"/>
  <c r="AF7" i="32"/>
  <c r="AF73" i="32"/>
  <c r="AH23" i="32"/>
  <c r="W24" i="32" s="1"/>
  <c r="AH62" i="32"/>
  <c r="AF83" i="32"/>
  <c r="AF37" i="32"/>
  <c r="AF21" i="32"/>
  <c r="AF13" i="32"/>
  <c r="AF20" i="32"/>
  <c r="AF62" i="32"/>
  <c r="AH15" i="32"/>
  <c r="W16" i="32" s="1"/>
  <c r="AH11" i="32"/>
  <c r="W12" i="32" s="1"/>
  <c r="AH7" i="32"/>
  <c r="W7" i="32" s="1"/>
  <c r="AF70" i="32"/>
  <c r="AH3" i="32"/>
  <c r="W3" i="32" s="1"/>
  <c r="AH63" i="32"/>
  <c r="AF17" i="32"/>
  <c r="AH60" i="32"/>
  <c r="AF24" i="32"/>
  <c r="AH45" i="32"/>
  <c r="W41" i="32" s="1"/>
  <c r="AH35" i="32"/>
  <c r="W37" i="32" s="1"/>
  <c r="AH86" i="32"/>
  <c r="AH82" i="32"/>
  <c r="AH57" i="32"/>
  <c r="AH42" i="32"/>
  <c r="W47" i="32" s="1"/>
  <c r="AF48" i="32"/>
  <c r="AH19" i="32"/>
  <c r="W20" i="32" s="1"/>
  <c r="AF31" i="32"/>
  <c r="AF63" i="32"/>
  <c r="AF51" i="32"/>
  <c r="AH74" i="32"/>
  <c r="AH12" i="32"/>
  <c r="W13" i="32" s="1"/>
  <c r="AH70" i="32"/>
  <c r="AH50" i="32"/>
  <c r="W42" i="32" s="1"/>
  <c r="AH22" i="32"/>
  <c r="W23" i="32" s="1"/>
  <c r="AH14" i="32"/>
  <c r="W15" i="32" s="1"/>
  <c r="AF74" i="32"/>
  <c r="AH30" i="32"/>
  <c r="W32" i="32" s="1"/>
  <c r="AF47" i="32"/>
  <c r="AF36" i="32"/>
  <c r="AF28" i="32"/>
  <c r="AF19" i="32"/>
  <c r="AF10" i="32"/>
  <c r="AH59" i="32"/>
  <c r="AH68" i="32"/>
  <c r="AF32" i="32"/>
  <c r="AH79" i="32"/>
  <c r="AF3" i="32"/>
  <c r="AH29" i="32"/>
  <c r="W31" i="32" s="1"/>
  <c r="AH76" i="32"/>
  <c r="AF15" i="32"/>
  <c r="AF82" i="32"/>
  <c r="AF33" i="32"/>
  <c r="AF39" i="32"/>
  <c r="AF11" i="32"/>
  <c r="AF53" i="32"/>
  <c r="AF55" i="32"/>
  <c r="AH38" i="32"/>
  <c r="W40" i="32" s="1"/>
  <c r="AH84" i="32"/>
  <c r="AF76" i="32"/>
  <c r="AF40" i="32"/>
  <c r="AF67" i="32"/>
  <c r="AF46" i="32"/>
  <c r="AF29" i="32"/>
  <c r="AH34" i="32"/>
  <c r="W36" i="32" s="1"/>
  <c r="AF60" i="32"/>
  <c r="AF81" i="32"/>
  <c r="AH25" i="32"/>
  <c r="W26" i="32" s="1"/>
  <c r="AH81" i="32"/>
  <c r="AF66" i="32"/>
  <c r="AF5" i="32"/>
  <c r="AF77" i="32"/>
  <c r="AH53" i="32"/>
  <c r="AF54" i="32"/>
  <c r="AH21" i="32"/>
  <c r="W22" i="32" s="1"/>
  <c r="AH46" i="32"/>
  <c r="W29" i="32" s="1"/>
  <c r="AF44" i="32"/>
  <c r="AF43" i="32"/>
  <c r="AF49" i="32"/>
  <c r="AH40" i="32"/>
  <c r="W44" i="32" s="1"/>
  <c r="AF35" i="32"/>
  <c r="AH17" i="32"/>
  <c r="W18" i="32" s="1"/>
  <c r="AH71" i="32"/>
  <c r="AF56" i="32"/>
  <c r="AH31" i="32"/>
  <c r="W33" i="32" s="1"/>
  <c r="AF78" i="32"/>
  <c r="W76" i="32"/>
  <c r="W61" i="32"/>
  <c r="W84" i="32"/>
  <c r="W57" i="32"/>
  <c r="W63" i="32"/>
  <c r="W71" i="32"/>
  <c r="W79" i="32"/>
  <c r="W55" i="32"/>
  <c r="W70" i="32"/>
  <c r="W62" i="32"/>
  <c r="W81" i="32"/>
  <c r="W74" i="32"/>
  <c r="W68" i="32"/>
  <c r="W80" i="32"/>
  <c r="W72" i="32"/>
  <c r="W82" i="32"/>
  <c r="W54" i="32"/>
  <c r="W73" i="32"/>
  <c r="W83" i="32"/>
  <c r="W58" i="32"/>
  <c r="W53" i="32"/>
  <c r="W64" i="32"/>
  <c r="W52" i="32"/>
  <c r="W60" i="32"/>
  <c r="W65" i="32"/>
  <c r="W66" i="32"/>
  <c r="W85" i="32"/>
  <c r="W51" i="32"/>
  <c r="W86" i="32"/>
  <c r="W56" i="32"/>
  <c r="W69" i="32"/>
  <c r="W78" i="32"/>
  <c r="W75" i="32"/>
  <c r="W59" i="32"/>
  <c r="W77" i="32"/>
  <c r="W67" i="32"/>
  <c r="BE41" i="3"/>
  <c r="BF41" i="3"/>
  <c r="BO41" i="3" s="1"/>
  <c r="BF39" i="3"/>
  <c r="BO39" i="3" s="1"/>
  <c r="BE39" i="3"/>
  <c r="BE17" i="3"/>
  <c r="BF17" i="3"/>
  <c r="BO17" i="3" s="1"/>
  <c r="BF28" i="3"/>
  <c r="BO28" i="3" s="1"/>
  <c r="BE28" i="3"/>
  <c r="BE52" i="3"/>
  <c r="BF52" i="3"/>
  <c r="BO52" i="3" s="1"/>
  <c r="BL23" i="3"/>
  <c r="BE26" i="3"/>
  <c r="BF26" i="3"/>
  <c r="BL50" i="3"/>
  <c r="BF7" i="3"/>
  <c r="BO7" i="3" s="1"/>
  <c r="BE7" i="3"/>
  <c r="BL25" i="3"/>
  <c r="BE10" i="3"/>
  <c r="BF10" i="3"/>
  <c r="BF46" i="3"/>
  <c r="BE46" i="3"/>
  <c r="BF51" i="3"/>
  <c r="BO51" i="3" s="1"/>
  <c r="BE51" i="3"/>
  <c r="BL12" i="3"/>
  <c r="BF45" i="3"/>
  <c r="BO45" i="3" s="1"/>
  <c r="BE45" i="3"/>
  <c r="BL42" i="3"/>
  <c r="BL18" i="3"/>
  <c r="BF11" i="3"/>
  <c r="BO11" i="3" s="1"/>
  <c r="BE11" i="3"/>
  <c r="BL21" i="3"/>
  <c r="BL13" i="3"/>
  <c r="BF38" i="3"/>
  <c r="BE38" i="3"/>
  <c r="BF6" i="3"/>
  <c r="BE6" i="3"/>
  <c r="BF8" i="3"/>
  <c r="BO8" i="3" s="1"/>
  <c r="BE8" i="3"/>
  <c r="BL8" i="3"/>
  <c r="BL36" i="3"/>
  <c r="BL33" i="3"/>
  <c r="BL38" i="3"/>
  <c r="BF9" i="3"/>
  <c r="BO9" i="3" s="1"/>
  <c r="BE9" i="3"/>
  <c r="BF14" i="3"/>
  <c r="BE14" i="3"/>
  <c r="BL46" i="3"/>
  <c r="BE34" i="3"/>
  <c r="BF34" i="3"/>
  <c r="BL35" i="3"/>
  <c r="BL17" i="3"/>
  <c r="BL48" i="3"/>
  <c r="BL30" i="3"/>
  <c r="BE43" i="3"/>
  <c r="BF43" i="3"/>
  <c r="BO43" i="3" s="1"/>
  <c r="BL40" i="3"/>
  <c r="BE42" i="3"/>
  <c r="BF42" i="3"/>
  <c r="BL24" i="3"/>
  <c r="BE23" i="3"/>
  <c r="BF23" i="3"/>
  <c r="BO23" i="3" s="1"/>
  <c r="BE35" i="3"/>
  <c r="BF35" i="3"/>
  <c r="BO35" i="3" s="1"/>
  <c r="BF18" i="3"/>
  <c r="BE18" i="3"/>
  <c r="BE50" i="3"/>
  <c r="BF50" i="3"/>
  <c r="BL10" i="3"/>
  <c r="BE32" i="3"/>
  <c r="BF32" i="3"/>
  <c r="BO32" i="3" s="1"/>
  <c r="BF33" i="3"/>
  <c r="BO33" i="3" s="1"/>
  <c r="BE33" i="3"/>
  <c r="BF13" i="3"/>
  <c r="BO13" i="3" s="1"/>
  <c r="BE13" i="3"/>
  <c r="BF24" i="3"/>
  <c r="BO24" i="3" s="1"/>
  <c r="BE24" i="3"/>
  <c r="BE36" i="3"/>
  <c r="BF36" i="3"/>
  <c r="BO36" i="3" s="1"/>
  <c r="BL22" i="3"/>
  <c r="BL53" i="3"/>
  <c r="BL29" i="3"/>
  <c r="BL9" i="3"/>
  <c r="BF40" i="3"/>
  <c r="BO40" i="3" s="1"/>
  <c r="BE40" i="3"/>
  <c r="BL51" i="3"/>
  <c r="BF22" i="3"/>
  <c r="BE21" i="3"/>
  <c r="BF21" i="3"/>
  <c r="BO21" i="3" s="1"/>
  <c r="BE31" i="3"/>
  <c r="BF31" i="3"/>
  <c r="BO31" i="3" s="1"/>
  <c r="BL32" i="3"/>
  <c r="BF48" i="3"/>
  <c r="BO48" i="3" s="1"/>
  <c r="BE48" i="3"/>
  <c r="BE30" i="3"/>
  <c r="BF30" i="3"/>
  <c r="BE25" i="3"/>
  <c r="BF25" i="3"/>
  <c r="BO25" i="3" s="1"/>
  <c r="BL43" i="3"/>
  <c r="G2" i="47"/>
  <c r="E3" i="47"/>
  <c r="E2" i="47"/>
  <c r="F3" i="47"/>
  <c r="F2" i="47"/>
  <c r="BL39" i="3"/>
  <c r="BE16" i="3"/>
  <c r="BF16" i="3"/>
  <c r="BO16" i="3" s="1"/>
  <c r="E14" i="48"/>
  <c r="F13" i="48" a="1"/>
  <c r="F13" i="48" s="1"/>
  <c r="BE53" i="3"/>
  <c r="BF53" i="3"/>
  <c r="BO53" i="3" s="1"/>
  <c r="BL49" i="3"/>
  <c r="BL20" i="3"/>
  <c r="BL15" i="3"/>
  <c r="BF12" i="3"/>
  <c r="BO12" i="3" s="1"/>
  <c r="BE12" i="3"/>
  <c r="BL47" i="3"/>
  <c r="BE44" i="3"/>
  <c r="BF44" i="3"/>
  <c r="BO44" i="3" s="1"/>
  <c r="BE20" i="3"/>
  <c r="BE47" i="3"/>
  <c r="BF47" i="3"/>
  <c r="BO47" i="3" s="1"/>
  <c r="BL27" i="3"/>
  <c r="BL14" i="3"/>
  <c r="BE15" i="3"/>
  <c r="BF15" i="3"/>
  <c r="BO15" i="3" s="1"/>
  <c r="BL11" i="3"/>
  <c r="BF29" i="3"/>
  <c r="BO29" i="3" s="1"/>
  <c r="BE29" i="3"/>
  <c r="BL44" i="3"/>
  <c r="BO26" i="3" l="1"/>
  <c r="DK28" i="3"/>
  <c r="DK26" i="3"/>
  <c r="H106" i="3"/>
  <c r="DK27" i="3"/>
  <c r="DK29" i="3"/>
  <c r="AG66" i="32"/>
  <c r="V66" i="32" s="1"/>
  <c r="U66" i="32"/>
  <c r="BO14" i="3"/>
  <c r="DK14" i="3"/>
  <c r="DK16" i="3"/>
  <c r="DK17" i="3"/>
  <c r="H103" i="3"/>
  <c r="DK15" i="3"/>
  <c r="AG68" i="32"/>
  <c r="V68" i="32" s="1"/>
  <c r="U68" i="32"/>
  <c r="BO38" i="3"/>
  <c r="DK38" i="3"/>
  <c r="H109" i="3"/>
  <c r="DK39" i="3"/>
  <c r="DK40" i="3"/>
  <c r="DK41" i="3"/>
  <c r="BO18" i="3"/>
  <c r="H104" i="3"/>
  <c r="DK21" i="3"/>
  <c r="DK18" i="3"/>
  <c r="DK19" i="3"/>
  <c r="DK20" i="3"/>
  <c r="BO42" i="3"/>
  <c r="DK43" i="3"/>
  <c r="H110" i="3"/>
  <c r="DK42" i="3"/>
  <c r="DK44" i="3"/>
  <c r="DK45" i="3"/>
  <c r="AG44" i="32"/>
  <c r="V50" i="32" s="1"/>
  <c r="U50" i="32"/>
  <c r="AG46" i="32"/>
  <c r="V29" i="32" s="1"/>
  <c r="U29" i="32"/>
  <c r="AG21" i="32"/>
  <c r="V22" i="32" s="1"/>
  <c r="U22" i="32"/>
  <c r="AG41" i="32"/>
  <c r="V46" i="32" s="1"/>
  <c r="U46" i="32"/>
  <c r="AG23" i="32"/>
  <c r="V24" i="32" s="1"/>
  <c r="U24" i="32"/>
  <c r="AG84" i="32"/>
  <c r="V84" i="32" s="1"/>
  <c r="U84" i="32"/>
  <c r="AG50" i="32"/>
  <c r="V42" i="32" s="1"/>
  <c r="U42" i="32"/>
  <c r="AG71" i="32"/>
  <c r="V71" i="32" s="1"/>
  <c r="U71" i="32"/>
  <c r="AG5" i="32"/>
  <c r="V5" i="32" s="1"/>
  <c r="U5" i="32"/>
  <c r="AG55" i="32"/>
  <c r="V55" i="32" s="1"/>
  <c r="U55" i="32"/>
  <c r="AG10" i="32"/>
  <c r="V11" i="32" s="1"/>
  <c r="U11" i="32"/>
  <c r="AG7" i="32"/>
  <c r="V7" i="32" s="1"/>
  <c r="U7" i="32"/>
  <c r="AG25" i="32"/>
  <c r="V26" i="32" s="1"/>
  <c r="U26" i="32"/>
  <c r="AG42" i="32"/>
  <c r="V47" i="32" s="1"/>
  <c r="U47" i="32"/>
  <c r="AG80" i="32"/>
  <c r="V80" i="32" s="1"/>
  <c r="U80" i="32"/>
  <c r="AG11" i="32"/>
  <c r="V12" i="32" s="1"/>
  <c r="U12" i="32"/>
  <c r="AG28" i="32"/>
  <c r="V30" i="32" s="1"/>
  <c r="U30" i="32"/>
  <c r="AG39" i="32"/>
  <c r="V43" i="32" s="1"/>
  <c r="U43" i="32"/>
  <c r="AG36" i="32"/>
  <c r="V38" i="32" s="1"/>
  <c r="U38" i="32"/>
  <c r="AG48" i="32"/>
  <c r="V45" i="32" s="1"/>
  <c r="U45" i="32"/>
  <c r="AG72" i="32"/>
  <c r="V72" i="32" s="1"/>
  <c r="U72" i="32"/>
  <c r="AG61" i="32"/>
  <c r="V61" i="32" s="1"/>
  <c r="U61" i="32"/>
  <c r="BO46" i="3"/>
  <c r="DK48" i="3"/>
  <c r="DK49" i="3"/>
  <c r="H111" i="3"/>
  <c r="DK47" i="3"/>
  <c r="DK46" i="3"/>
  <c r="AG35" i="32"/>
  <c r="V37" i="32" s="1"/>
  <c r="U37" i="32"/>
  <c r="AG81" i="32"/>
  <c r="V81" i="32" s="1"/>
  <c r="U81" i="32"/>
  <c r="AG47" i="32"/>
  <c r="V10" i="32" s="1"/>
  <c r="U10" i="32"/>
  <c r="AG15" i="32"/>
  <c r="V16" i="32" s="1"/>
  <c r="U16" i="32"/>
  <c r="AG74" i="32"/>
  <c r="V74" i="32" s="1"/>
  <c r="U74" i="32"/>
  <c r="AG20" i="32"/>
  <c r="V21" i="32" s="1"/>
  <c r="U21" i="32"/>
  <c r="BO6" i="3"/>
  <c r="DK9" i="3"/>
  <c r="DK8" i="3"/>
  <c r="H101" i="3"/>
  <c r="DK6" i="3"/>
  <c r="DK7" i="3"/>
  <c r="AG67" i="32"/>
  <c r="V67" i="32" s="1"/>
  <c r="U67" i="32"/>
  <c r="AG3" i="32"/>
  <c r="V3" i="32" s="1"/>
  <c r="U3" i="32"/>
  <c r="AG37" i="32"/>
  <c r="V39" i="32" s="1"/>
  <c r="U39" i="32"/>
  <c r="AG57" i="32"/>
  <c r="V57" i="32" s="1"/>
  <c r="U57" i="32"/>
  <c r="AG9" i="32"/>
  <c r="V9" i="32" s="1"/>
  <c r="U9" i="32"/>
  <c r="AG27" i="32"/>
  <c r="V28" i="32" s="1"/>
  <c r="U28" i="32"/>
  <c r="AG85" i="32"/>
  <c r="V85" i="32" s="1"/>
  <c r="U85" i="32"/>
  <c r="BO10" i="3"/>
  <c r="DK11" i="3"/>
  <c r="DK13" i="3"/>
  <c r="DK10" i="3"/>
  <c r="H102" i="3"/>
  <c r="DK12" i="3"/>
  <c r="AG53" i="32"/>
  <c r="V53" i="32" s="1"/>
  <c r="U53" i="32"/>
  <c r="AG33" i="32"/>
  <c r="V35" i="32" s="1"/>
  <c r="U35" i="32"/>
  <c r="AG40" i="32"/>
  <c r="V44" i="32" s="1"/>
  <c r="U44" i="32"/>
  <c r="AG24" i="32"/>
  <c r="V25" i="32" s="1"/>
  <c r="U25" i="32"/>
  <c r="AG83" i="32"/>
  <c r="V83" i="32" s="1"/>
  <c r="U83" i="32"/>
  <c r="AG52" i="32"/>
  <c r="V52" i="32" s="1"/>
  <c r="U52" i="32"/>
  <c r="AG4" i="32"/>
  <c r="V4" i="32" s="1"/>
  <c r="U4" i="32"/>
  <c r="BO34" i="3"/>
  <c r="H108" i="3"/>
  <c r="DK36" i="3"/>
  <c r="DK34" i="3"/>
  <c r="DK37" i="3"/>
  <c r="DK35" i="3"/>
  <c r="AG64" i="32"/>
  <c r="V64" i="32" s="1"/>
  <c r="U64" i="32"/>
  <c r="AG60" i="32"/>
  <c r="V60" i="32" s="1"/>
  <c r="U60" i="32"/>
  <c r="AG82" i="32"/>
  <c r="V82" i="32" s="1"/>
  <c r="U82" i="32"/>
  <c r="AG62" i="32"/>
  <c r="V62" i="32" s="1"/>
  <c r="U62" i="32"/>
  <c r="AG79" i="32"/>
  <c r="V79" i="32" s="1"/>
  <c r="U79" i="32"/>
  <c r="AG86" i="32"/>
  <c r="V86" i="32" s="1"/>
  <c r="U86" i="32"/>
  <c r="AG49" i="32"/>
  <c r="V48" i="32" s="1"/>
  <c r="U48" i="32"/>
  <c r="AG26" i="32"/>
  <c r="V27" i="32" s="1"/>
  <c r="U27" i="32"/>
  <c r="AG75" i="32"/>
  <c r="V75" i="32" s="1"/>
  <c r="U75" i="32"/>
  <c r="AG29" i="32"/>
  <c r="V31" i="32" s="1"/>
  <c r="U31" i="32"/>
  <c r="AG54" i="32"/>
  <c r="V54" i="32" s="1"/>
  <c r="U54" i="32"/>
  <c r="AG76" i="32"/>
  <c r="V76" i="32" s="1"/>
  <c r="U76" i="32"/>
  <c r="AG32" i="32"/>
  <c r="V34" i="32" s="1"/>
  <c r="U34" i="32"/>
  <c r="AG12" i="32"/>
  <c r="V13" i="32" s="1"/>
  <c r="U13" i="32"/>
  <c r="AG69" i="32"/>
  <c r="V69" i="32" s="1"/>
  <c r="U69" i="32"/>
  <c r="AG63" i="32"/>
  <c r="V63" i="32" s="1"/>
  <c r="U63" i="32"/>
  <c r="AG56" i="32"/>
  <c r="V56" i="32" s="1"/>
  <c r="U56" i="32"/>
  <c r="AG19" i="32"/>
  <c r="V20" i="32" s="1"/>
  <c r="U20" i="32"/>
  <c r="AG31" i="32"/>
  <c r="V33" i="32" s="1"/>
  <c r="U33" i="32"/>
  <c r="AG70" i="32"/>
  <c r="V70" i="32" s="1"/>
  <c r="U70" i="32"/>
  <c r="AG16" i="32"/>
  <c r="V17" i="32" s="1"/>
  <c r="U17" i="32"/>
  <c r="AG45" i="32"/>
  <c r="V41" i="32" s="1"/>
  <c r="U41" i="32"/>
  <c r="AG14" i="32"/>
  <c r="V15" i="32" s="1"/>
  <c r="U15" i="32"/>
  <c r="AG65" i="32"/>
  <c r="V65" i="32" s="1"/>
  <c r="U65" i="32"/>
  <c r="AG34" i="32"/>
  <c r="V36" i="32" s="1"/>
  <c r="U36" i="32"/>
  <c r="AG6" i="32"/>
  <c r="V6" i="32" s="1"/>
  <c r="U6" i="32"/>
  <c r="AG17" i="32"/>
  <c r="V18" i="32" s="1"/>
  <c r="U18" i="32"/>
  <c r="AG22" i="32"/>
  <c r="V23" i="32" s="1"/>
  <c r="U23" i="32"/>
  <c r="AG38" i="32"/>
  <c r="V40" i="32" s="1"/>
  <c r="U40" i="32"/>
  <c r="BO50" i="3"/>
  <c r="H112" i="3"/>
  <c r="DK50" i="3"/>
  <c r="DK51" i="3"/>
  <c r="DK52" i="3"/>
  <c r="DK53" i="3"/>
  <c r="AG43" i="32"/>
  <c r="V49" i="32" s="1"/>
  <c r="U49" i="32"/>
  <c r="AG13" i="32"/>
  <c r="V14" i="32" s="1"/>
  <c r="U14" i="32"/>
  <c r="AG30" i="32"/>
  <c r="V32" i="32" s="1"/>
  <c r="U32" i="32"/>
  <c r="AG18" i="32"/>
  <c r="V19" i="32" s="1"/>
  <c r="U19" i="32"/>
  <c r="AG8" i="32"/>
  <c r="V8" i="32" s="1"/>
  <c r="U8" i="32"/>
  <c r="AG58" i="32"/>
  <c r="V58" i="32" s="1"/>
  <c r="U58" i="32"/>
  <c r="F14" i="48" a="1"/>
  <c r="F14" i="48" s="1"/>
  <c r="E15" i="48"/>
  <c r="BO30" i="3"/>
  <c r="DK32" i="3"/>
  <c r="DK33" i="3"/>
  <c r="H107" i="3"/>
  <c r="DK31" i="3"/>
  <c r="DK30" i="3"/>
  <c r="BO22" i="3"/>
  <c r="DK25" i="3"/>
  <c r="DK22" i="3"/>
  <c r="DK23" i="3"/>
  <c r="H105" i="3"/>
  <c r="DK24" i="3"/>
  <c r="AG78" i="32"/>
  <c r="V78" i="32" s="1"/>
  <c r="U78" i="32"/>
  <c r="AG77" i="32"/>
  <c r="V77" i="32" s="1"/>
  <c r="U77" i="32"/>
  <c r="AG51" i="32"/>
  <c r="V51" i="32" s="1"/>
  <c r="U51" i="32"/>
  <c r="AG73" i="32"/>
  <c r="V73" i="32" s="1"/>
  <c r="U73" i="32"/>
  <c r="AG59" i="32"/>
  <c r="V59" i="32" s="1"/>
  <c r="U59" i="32"/>
  <c r="BP52" i="3" l="1"/>
  <c r="BP45" i="3"/>
  <c r="BP15" i="3"/>
  <c r="BP36" i="3"/>
  <c r="BP30" i="3"/>
  <c r="BP35" i="3"/>
  <c r="BP11" i="3"/>
  <c r="BP8" i="3"/>
  <c r="BP29" i="3"/>
  <c r="BP33" i="3"/>
  <c r="BP21" i="3"/>
  <c r="BP38" i="3"/>
  <c r="BP46" i="3"/>
  <c r="BP32" i="3"/>
  <c r="BP50" i="3"/>
  <c r="BP53" i="3"/>
  <c r="BP28" i="3"/>
  <c r="BP13" i="3"/>
  <c r="BP34" i="3"/>
  <c r="BP18" i="3"/>
  <c r="BP25" i="3"/>
  <c r="BP26" i="3"/>
  <c r="BP22" i="3"/>
  <c r="BP23" i="3"/>
  <c r="BP12" i="3"/>
  <c r="BP24" i="3"/>
  <c r="BP17" i="3"/>
  <c r="BP40" i="3"/>
  <c r="BP10" i="3"/>
  <c r="BP6" i="3"/>
  <c r="BP49" i="3"/>
  <c r="BP37" i="3"/>
  <c r="BP19" i="3"/>
  <c r="BP20" i="3"/>
  <c r="C68" i="32"/>
  <c r="C44" i="32"/>
  <c r="C70" i="32"/>
  <c r="C29" i="32"/>
  <c r="C47" i="32"/>
  <c r="C107" i="32"/>
  <c r="C93" i="32"/>
  <c r="C8" i="32"/>
  <c r="C139" i="32"/>
  <c r="C31" i="32"/>
  <c r="C15" i="32"/>
  <c r="C61" i="32"/>
  <c r="C9" i="32"/>
  <c r="C7" i="32"/>
  <c r="C55" i="32"/>
  <c r="C92" i="32"/>
  <c r="C6" i="32"/>
  <c r="C101" i="32"/>
  <c r="C53" i="32"/>
  <c r="C88" i="32"/>
  <c r="C41" i="32"/>
  <c r="C16" i="32"/>
  <c r="C126" i="32"/>
  <c r="C24" i="32"/>
  <c r="C69" i="32"/>
  <c r="C63" i="32"/>
  <c r="C138" i="32"/>
  <c r="C48" i="32"/>
  <c r="C71" i="32"/>
  <c r="C113" i="32"/>
  <c r="C17" i="32"/>
  <c r="C45" i="32"/>
  <c r="C94" i="32"/>
  <c r="C72" i="32"/>
  <c r="C49" i="32"/>
  <c r="C23" i="32"/>
  <c r="C105" i="32"/>
  <c r="C22" i="32"/>
  <c r="C103" i="32"/>
  <c r="C20" i="32"/>
  <c r="C33" i="32"/>
  <c r="C30" i="32"/>
  <c r="C121" i="32"/>
  <c r="C131" i="32"/>
  <c r="C25" i="32"/>
  <c r="C12" i="32"/>
  <c r="C97" i="32"/>
  <c r="C64" i="32"/>
  <c r="C96" i="32"/>
  <c r="C84" i="32"/>
  <c r="C112" i="32"/>
  <c r="C125" i="32"/>
  <c r="C13" i="32"/>
  <c r="C73" i="32"/>
  <c r="C28" i="32"/>
  <c r="C133" i="32"/>
  <c r="C87" i="32"/>
  <c r="C85" i="32"/>
  <c r="C76" i="32"/>
  <c r="C37" i="32"/>
  <c r="C102" i="32"/>
  <c r="C81" i="32"/>
  <c r="C60" i="32"/>
  <c r="C111" i="32"/>
  <c r="C95" i="32"/>
  <c r="C127" i="32"/>
  <c r="C78" i="32"/>
  <c r="C106" i="32"/>
  <c r="C14" i="32"/>
  <c r="C21" i="32"/>
  <c r="C147" i="32"/>
  <c r="C38" i="32"/>
  <c r="C62" i="32"/>
  <c r="C134" i="32"/>
  <c r="C46" i="32"/>
  <c r="C54" i="32"/>
  <c r="C109" i="32"/>
  <c r="C115" i="32"/>
  <c r="C4" i="32"/>
  <c r="C65" i="32"/>
  <c r="C36" i="32"/>
  <c r="C124" i="32"/>
  <c r="C80" i="32"/>
  <c r="C40" i="32"/>
  <c r="C89" i="32"/>
  <c r="C108" i="32"/>
  <c r="C86" i="32"/>
  <c r="C52" i="32"/>
  <c r="C39" i="32"/>
  <c r="C32" i="32"/>
  <c r="C104" i="32"/>
  <c r="C116" i="32"/>
  <c r="C114" i="32"/>
  <c r="C57" i="32"/>
  <c r="C56" i="32"/>
  <c r="C122" i="32"/>
  <c r="C5" i="32"/>
  <c r="C132" i="32"/>
  <c r="C123" i="32"/>
  <c r="C77" i="32"/>
  <c r="C143" i="32"/>
  <c r="C110" i="32"/>
  <c r="C120" i="32"/>
  <c r="C79" i="32"/>
  <c r="BP43" i="3"/>
  <c r="BP16" i="3"/>
  <c r="BP27" i="3"/>
  <c r="BP9" i="3"/>
  <c r="BP47" i="3"/>
  <c r="BP14" i="3"/>
  <c r="BP51" i="3"/>
  <c r="BP31" i="3"/>
  <c r="BP48" i="3"/>
  <c r="BP39" i="3"/>
  <c r="BP41" i="3"/>
  <c r="H113" i="3"/>
  <c r="F15" i="48" a="1"/>
  <c r="F15" i="48" s="1"/>
  <c r="E16" i="48"/>
  <c r="BP42" i="3"/>
  <c r="BP44" i="3"/>
  <c r="BP7" i="3"/>
  <c r="Y114" i="3" l="1"/>
  <c r="X114" i="3"/>
  <c r="Y112" i="3"/>
  <c r="X112" i="3"/>
  <c r="X105" i="3"/>
  <c r="Y105" i="3"/>
  <c r="X139" i="3"/>
  <c r="Y139" i="3"/>
  <c r="Y115" i="3"/>
  <c r="X115" i="3"/>
  <c r="BQ18" i="3"/>
  <c r="BR18" i="3" s="1"/>
  <c r="F16" i="48" a="1"/>
  <c r="F16" i="48" s="1"/>
  <c r="E17" i="48"/>
  <c r="BQ6" i="3"/>
  <c r="BR6" i="3" s="1"/>
  <c r="Y79" i="3"/>
  <c r="X79" i="3"/>
  <c r="H49" i="46" s="1"/>
  <c r="Y32" i="3"/>
  <c r="X32" i="3"/>
  <c r="H60" i="46" s="1"/>
  <c r="Y54" i="3"/>
  <c r="X54" i="3"/>
  <c r="H42" i="46" s="1"/>
  <c r="X81" i="3"/>
  <c r="H73" i="46" s="1"/>
  <c r="Y81" i="3"/>
  <c r="Y64" i="3"/>
  <c r="X64" i="3"/>
  <c r="H68" i="46" s="1"/>
  <c r="X72" i="3"/>
  <c r="H70" i="46" s="1"/>
  <c r="Y72" i="3"/>
  <c r="X88" i="3"/>
  <c r="H74" i="46" s="1"/>
  <c r="Y88" i="3"/>
  <c r="Y107" i="3"/>
  <c r="X107" i="3"/>
  <c r="BQ10" i="3"/>
  <c r="BR10" i="3" s="1"/>
  <c r="BQ12" i="3"/>
  <c r="BR12" i="3" s="1"/>
  <c r="BQ13" i="3"/>
  <c r="BR13" i="3" s="1"/>
  <c r="BQ38" i="3"/>
  <c r="BR38" i="3" s="1"/>
  <c r="BQ11" i="3"/>
  <c r="BR11" i="3" s="1"/>
  <c r="BQ7" i="3"/>
  <c r="BR7" i="3" s="1"/>
  <c r="AK99" i="3"/>
  <c r="AY101" i="3"/>
  <c r="Y120" i="3"/>
  <c r="X120" i="3"/>
  <c r="Y39" i="3"/>
  <c r="X39" i="3"/>
  <c r="H39" i="46" s="1"/>
  <c r="X46" i="3"/>
  <c r="H40" i="46" s="1"/>
  <c r="Y46" i="3"/>
  <c r="X102" i="3"/>
  <c r="Y102" i="3"/>
  <c r="Y97" i="3"/>
  <c r="X97" i="3"/>
  <c r="H77" i="46" s="1"/>
  <c r="X94" i="3"/>
  <c r="H52" i="46" s="1"/>
  <c r="Y94" i="3"/>
  <c r="X53" i="3"/>
  <c r="H19" i="46" s="1"/>
  <c r="Y53" i="3"/>
  <c r="Y47" i="3"/>
  <c r="X47" i="3"/>
  <c r="H41" i="46" s="1"/>
  <c r="BQ28" i="3"/>
  <c r="BR28" i="3" s="1"/>
  <c r="BQ37" i="3"/>
  <c r="BR37" i="3" s="1"/>
  <c r="BQ49" i="3"/>
  <c r="BR49" i="3" s="1"/>
  <c r="Y110" i="3"/>
  <c r="X110" i="3"/>
  <c r="Y76" i="3"/>
  <c r="X76" i="3"/>
  <c r="H24" i="46" s="1"/>
  <c r="BQ22" i="3"/>
  <c r="BR22" i="3" s="1"/>
  <c r="X38" i="3"/>
  <c r="H38" i="46" s="1"/>
  <c r="Y38" i="3"/>
  <c r="X44" i="3"/>
  <c r="H16" i="46" s="1"/>
  <c r="Y44" i="3"/>
  <c r="BQ33" i="3"/>
  <c r="BR33" i="3" s="1"/>
  <c r="BQ30" i="3"/>
  <c r="BQ14" i="3"/>
  <c r="BR14" i="3" s="1"/>
  <c r="X123" i="3"/>
  <c r="Y123" i="3"/>
  <c r="X89" i="3"/>
  <c r="H75" i="46" s="1"/>
  <c r="Y89" i="3"/>
  <c r="Y147" i="3"/>
  <c r="E43" i="30"/>
  <c r="X147" i="3"/>
  <c r="X87" i="3"/>
  <c r="H51" i="46" s="1"/>
  <c r="Y87" i="3"/>
  <c r="X121" i="3"/>
  <c r="Y121" i="3"/>
  <c r="X71" i="3"/>
  <c r="H47" i="46" s="1"/>
  <c r="Y71" i="3"/>
  <c r="X55" i="3"/>
  <c r="H43" i="46" s="1"/>
  <c r="Y55" i="3"/>
  <c r="Y68" i="3"/>
  <c r="X68" i="3"/>
  <c r="H22" i="46" s="1"/>
  <c r="Y4" i="3"/>
  <c r="X4" i="3"/>
  <c r="H6" i="46" s="1"/>
  <c r="E42" i="30"/>
  <c r="BQ31" i="3"/>
  <c r="BR31" i="3" s="1"/>
  <c r="BQ24" i="3"/>
  <c r="BR24" i="3" s="1"/>
  <c r="BQ23" i="3"/>
  <c r="BR23" i="3" s="1"/>
  <c r="X143" i="3"/>
  <c r="Y143" i="3"/>
  <c r="X17" i="3"/>
  <c r="H57" i="46" s="1"/>
  <c r="Y17" i="3"/>
  <c r="BQ21" i="3"/>
  <c r="BR21" i="3" s="1"/>
  <c r="BQ26" i="3"/>
  <c r="BR26" i="3" s="1"/>
  <c r="X132" i="3"/>
  <c r="Y132" i="3"/>
  <c r="BQ35" i="3"/>
  <c r="BR35" i="3" s="1"/>
  <c r="BQ9" i="3"/>
  <c r="BR9" i="3" s="1"/>
  <c r="Y5" i="3"/>
  <c r="X5" i="3"/>
  <c r="H7" i="46" s="1"/>
  <c r="Y80" i="3"/>
  <c r="X80" i="3"/>
  <c r="H72" i="46" s="1"/>
  <c r="X14" i="3"/>
  <c r="H32" i="46" s="1"/>
  <c r="Y14" i="3"/>
  <c r="X28" i="3"/>
  <c r="H12" i="46" s="1"/>
  <c r="Y28" i="3"/>
  <c r="X33" i="3"/>
  <c r="H61" i="46" s="1"/>
  <c r="Y33" i="3"/>
  <c r="X138" i="3"/>
  <c r="Y138" i="3"/>
  <c r="Y9" i="3"/>
  <c r="X9" i="3"/>
  <c r="H55" i="46" s="1"/>
  <c r="X95" i="3"/>
  <c r="H53" i="46" s="1"/>
  <c r="Y95" i="3"/>
  <c r="X126" i="3"/>
  <c r="Y126" i="3"/>
  <c r="Y84" i="3"/>
  <c r="X84" i="3"/>
  <c r="H26" i="46" s="1"/>
  <c r="BQ51" i="3"/>
  <c r="BR51" i="3" s="1"/>
  <c r="X109" i="3"/>
  <c r="Y109" i="3"/>
  <c r="X49" i="3"/>
  <c r="H65" i="46" s="1"/>
  <c r="Y49" i="3"/>
  <c r="BQ8" i="3"/>
  <c r="BR8" i="3" s="1"/>
  <c r="Y52" i="3"/>
  <c r="X52" i="3"/>
  <c r="H18" i="46" s="1"/>
  <c r="X37" i="3"/>
  <c r="H15" i="46" s="1"/>
  <c r="Y37" i="3"/>
  <c r="Y45" i="3"/>
  <c r="X45" i="3"/>
  <c r="H17" i="46" s="1"/>
  <c r="X29" i="3"/>
  <c r="H13" i="46" s="1"/>
  <c r="Y29" i="3"/>
  <c r="Y108" i="3"/>
  <c r="X108" i="3"/>
  <c r="X113" i="3"/>
  <c r="Y113" i="3"/>
  <c r="BQ41" i="3"/>
  <c r="BR41" i="3" s="1"/>
  <c r="X40" i="3"/>
  <c r="H62" i="46" s="1"/>
  <c r="Y40" i="3"/>
  <c r="Y30" i="3"/>
  <c r="X30" i="3"/>
  <c r="H36" i="46" s="1"/>
  <c r="X48" i="3"/>
  <c r="H64" i="46" s="1"/>
  <c r="Y48" i="3"/>
  <c r="BQ39" i="3"/>
  <c r="BR39" i="3" s="1"/>
  <c r="BQ27" i="3"/>
  <c r="BR27" i="3" s="1"/>
  <c r="X122" i="3"/>
  <c r="Y122" i="3"/>
  <c r="Y124" i="3"/>
  <c r="X124" i="3"/>
  <c r="X106" i="3"/>
  <c r="Y106" i="3"/>
  <c r="X73" i="3"/>
  <c r="H71" i="46" s="1"/>
  <c r="Y73" i="3"/>
  <c r="Y20" i="3"/>
  <c r="X20" i="3"/>
  <c r="H10" i="46" s="1"/>
  <c r="X63" i="3"/>
  <c r="H45" i="46" s="1"/>
  <c r="Y63" i="3"/>
  <c r="Y61" i="3"/>
  <c r="X61" i="3"/>
  <c r="H21" i="46" s="1"/>
  <c r="BQ15" i="3"/>
  <c r="BQ25" i="3"/>
  <c r="BR25" i="3" s="1"/>
  <c r="BQ52" i="3"/>
  <c r="BQ17" i="3"/>
  <c r="BR17" i="3" s="1"/>
  <c r="BQ34" i="3"/>
  <c r="BR34" i="3" s="1"/>
  <c r="Y134" i="3"/>
  <c r="X134" i="3"/>
  <c r="Y12" i="3"/>
  <c r="X12" i="3"/>
  <c r="H8" i="46" s="1"/>
  <c r="X101" i="3"/>
  <c r="Y101" i="3"/>
  <c r="BQ45" i="3"/>
  <c r="X131" i="3"/>
  <c r="Y131" i="3"/>
  <c r="BQ47" i="3"/>
  <c r="BR47" i="3" s="1"/>
  <c r="X21" i="3"/>
  <c r="H11" i="46" s="1"/>
  <c r="Y21" i="3"/>
  <c r="Y7" i="3"/>
  <c r="X7" i="3"/>
  <c r="H31" i="46" s="1"/>
  <c r="BQ42" i="3"/>
  <c r="BR42" i="3" s="1"/>
  <c r="BQ16" i="3"/>
  <c r="BR16" i="3" s="1"/>
  <c r="X56" i="3"/>
  <c r="H66" i="46" s="1"/>
  <c r="Y56" i="3"/>
  <c r="X36" i="3"/>
  <c r="H14" i="46" s="1"/>
  <c r="Y36" i="3"/>
  <c r="Y78" i="3"/>
  <c r="X78" i="3"/>
  <c r="H48" i="46" s="1"/>
  <c r="X13" i="3"/>
  <c r="H9" i="46" s="1"/>
  <c r="Y13" i="3"/>
  <c r="Y103" i="3"/>
  <c r="X103" i="3"/>
  <c r="Y69" i="3"/>
  <c r="X69" i="3"/>
  <c r="H23" i="46" s="1"/>
  <c r="Y15" i="3"/>
  <c r="X15" i="3"/>
  <c r="H33" i="46" s="1"/>
  <c r="BQ20" i="3"/>
  <c r="BR20" i="3" s="1"/>
  <c r="BQ32" i="3"/>
  <c r="BR32" i="3" s="1"/>
  <c r="BQ29" i="3"/>
  <c r="BR29" i="3" s="1"/>
  <c r="BQ40" i="3"/>
  <c r="BR40" i="3" s="1"/>
  <c r="X116" i="3"/>
  <c r="Y116" i="3"/>
  <c r="Y111" i="3"/>
  <c r="X111" i="3"/>
  <c r="X23" i="3"/>
  <c r="H35" i="46" s="1"/>
  <c r="Y23" i="3"/>
  <c r="Y16" i="3"/>
  <c r="X16" i="3"/>
  <c r="H56" i="46" s="1"/>
  <c r="X8" i="3"/>
  <c r="H54" i="46" s="1"/>
  <c r="Y8" i="3"/>
  <c r="Y104" i="3"/>
  <c r="X104" i="3"/>
  <c r="Y60" i="3"/>
  <c r="X60" i="3"/>
  <c r="H20" i="46" s="1"/>
  <c r="Y96" i="3"/>
  <c r="X96" i="3"/>
  <c r="H76" i="46" s="1"/>
  <c r="X41" i="3"/>
  <c r="H63" i="46" s="1"/>
  <c r="Y41" i="3"/>
  <c r="Y93" i="3"/>
  <c r="X93" i="3"/>
  <c r="H29" i="46" s="1"/>
  <c r="BQ53" i="3"/>
  <c r="BR53" i="3" s="1"/>
  <c r="Y86" i="3"/>
  <c r="X86" i="3"/>
  <c r="H50" i="46" s="1"/>
  <c r="X62" i="3"/>
  <c r="H44" i="46" s="1"/>
  <c r="Y62" i="3"/>
  <c r="Y25" i="3"/>
  <c r="X25" i="3"/>
  <c r="H59" i="46" s="1"/>
  <c r="X6" i="3"/>
  <c r="H30" i="46" s="1"/>
  <c r="Y6" i="3"/>
  <c r="Y70" i="3"/>
  <c r="X70" i="3"/>
  <c r="H46" i="46" s="1"/>
  <c r="BQ44" i="3"/>
  <c r="BR44" i="3" s="1"/>
  <c r="X77" i="3"/>
  <c r="H25" i="46" s="1"/>
  <c r="Y77" i="3"/>
  <c r="X85" i="3"/>
  <c r="H27" i="46" s="1"/>
  <c r="Y85" i="3"/>
  <c r="X92" i="3"/>
  <c r="H28" i="46" s="1"/>
  <c r="Y92" i="3"/>
  <c r="X133" i="3"/>
  <c r="Y133" i="3"/>
  <c r="BQ50" i="3"/>
  <c r="BR50" i="3" s="1"/>
  <c r="BQ48" i="3"/>
  <c r="BR48" i="3" s="1"/>
  <c r="BQ43" i="3"/>
  <c r="BR43" i="3" s="1"/>
  <c r="X57" i="3"/>
  <c r="H67" i="46" s="1"/>
  <c r="Y57" i="3"/>
  <c r="Y65" i="3"/>
  <c r="X65" i="3"/>
  <c r="H69" i="46" s="1"/>
  <c r="Y127" i="3"/>
  <c r="X127" i="3"/>
  <c r="X125" i="3"/>
  <c r="Y125" i="3"/>
  <c r="X22" i="3"/>
  <c r="H34" i="46" s="1"/>
  <c r="Y22" i="3"/>
  <c r="Y24" i="3"/>
  <c r="X24" i="3"/>
  <c r="H58" i="46" s="1"/>
  <c r="X31" i="3"/>
  <c r="H37" i="46" s="1"/>
  <c r="Y31" i="3"/>
  <c r="BQ19" i="3"/>
  <c r="BR19" i="3" s="1"/>
  <c r="BQ46" i="3"/>
  <c r="BR46" i="3" s="1"/>
  <c r="BQ36" i="3"/>
  <c r="H116" i="46" l="1"/>
  <c r="H117" i="46"/>
  <c r="H119" i="46"/>
  <c r="H118" i="46"/>
  <c r="BR52" i="3"/>
  <c r="BR15" i="3"/>
  <c r="BR30" i="3"/>
  <c r="H104" i="46"/>
  <c r="H106" i="46"/>
  <c r="H105" i="46"/>
  <c r="H107" i="46"/>
  <c r="H122" i="46"/>
  <c r="H121" i="46"/>
  <c r="H120" i="46"/>
  <c r="H123" i="46"/>
  <c r="H91" i="46"/>
  <c r="H90" i="46"/>
  <c r="H88" i="46"/>
  <c r="H89" i="46"/>
  <c r="H86" i="46"/>
  <c r="H85" i="46"/>
  <c r="H84" i="46"/>
  <c r="H87" i="46"/>
  <c r="H94" i="46"/>
  <c r="H93" i="46"/>
  <c r="H92" i="46"/>
  <c r="H95" i="46"/>
  <c r="E18" i="48"/>
  <c r="F17" i="48" a="1"/>
  <c r="F17" i="48" s="1"/>
  <c r="H101" i="46"/>
  <c r="H102" i="46"/>
  <c r="H103" i="46"/>
  <c r="H100" i="46"/>
  <c r="E45" i="51"/>
  <c r="G20" i="30"/>
  <c r="G19" i="30"/>
  <c r="H112" i="46"/>
  <c r="H113" i="46"/>
  <c r="H114" i="46"/>
  <c r="H115" i="46"/>
  <c r="BR45" i="3"/>
  <c r="H125" i="46"/>
  <c r="H124" i="46"/>
  <c r="H126" i="46"/>
  <c r="H127" i="46"/>
  <c r="Q2" i="6" a="1"/>
  <c r="Q2" i="6" s="1"/>
  <c r="H110" i="46"/>
  <c r="H109" i="46"/>
  <c r="H111" i="46"/>
  <c r="H108" i="46"/>
  <c r="H82" i="46"/>
  <c r="H81" i="46"/>
  <c r="H83" i="46"/>
  <c r="H80" i="46"/>
  <c r="H97" i="46"/>
  <c r="H96" i="46"/>
  <c r="H98" i="46"/>
  <c r="H99" i="46"/>
  <c r="BR36" i="3"/>
  <c r="BS33" i="3" l="1"/>
  <c r="BS38" i="3"/>
  <c r="BS15" i="3"/>
  <c r="BS18" i="3"/>
  <c r="BS19" i="3"/>
  <c r="Q3" i="6" a="1"/>
  <c r="Q3" i="6" s="1"/>
  <c r="G8" i="46" s="1"/>
  <c r="BS52" i="3"/>
  <c r="G6" i="46"/>
  <c r="BS21" i="3"/>
  <c r="BS43" i="3"/>
  <c r="BS17" i="3"/>
  <c r="BS32" i="3"/>
  <c r="BS23" i="3"/>
  <c r="BS24" i="3"/>
  <c r="BS16" i="3"/>
  <c r="BS9" i="3"/>
  <c r="BS31" i="3"/>
  <c r="BS10" i="3"/>
  <c r="BS45" i="3"/>
  <c r="BS28" i="3"/>
  <c r="BS12" i="3"/>
  <c r="BS46" i="3"/>
  <c r="BS47" i="3"/>
  <c r="BS6" i="3"/>
  <c r="BS7" i="3"/>
  <c r="BS34" i="3"/>
  <c r="BS20" i="3"/>
  <c r="BS44" i="3"/>
  <c r="BS13" i="3"/>
  <c r="BS51" i="3"/>
  <c r="BS25" i="3"/>
  <c r="BS36" i="3"/>
  <c r="BS49" i="3"/>
  <c r="BS30" i="3"/>
  <c r="BS50" i="3"/>
  <c r="BS40" i="3"/>
  <c r="BS22" i="3"/>
  <c r="BS42" i="3"/>
  <c r="BS53" i="3"/>
  <c r="BS37" i="3"/>
  <c r="F18" i="48" a="1"/>
  <c r="F18" i="48" s="1"/>
  <c r="E19" i="48"/>
  <c r="BS26" i="3"/>
  <c r="BS48" i="3"/>
  <c r="BS27" i="3"/>
  <c r="BS8" i="3"/>
  <c r="BS14" i="3"/>
  <c r="BS41" i="3"/>
  <c r="BS35" i="3"/>
  <c r="BS29" i="3"/>
  <c r="BS11" i="3"/>
  <c r="BS39" i="3"/>
  <c r="Q4" i="6" l="1" a="1"/>
  <c r="Q4" i="6" s="1"/>
  <c r="G9" i="46" s="1"/>
  <c r="G7" i="46"/>
  <c r="BT38" i="3"/>
  <c r="BW38" i="3" s="1"/>
  <c r="BT15" i="3"/>
  <c r="BW15" i="3" s="1"/>
  <c r="BT39" i="3"/>
  <c r="BT33" i="3"/>
  <c r="BT44" i="3"/>
  <c r="F80" i="3" s="1"/>
  <c r="BT31" i="3"/>
  <c r="BT13" i="3"/>
  <c r="BT9" i="3"/>
  <c r="BT36" i="3"/>
  <c r="BT52" i="3"/>
  <c r="F97" i="3" s="1"/>
  <c r="BT16" i="3"/>
  <c r="BT23" i="3"/>
  <c r="BT29" i="3"/>
  <c r="BT27" i="3"/>
  <c r="BT30" i="3"/>
  <c r="BT12" i="3"/>
  <c r="BT42" i="3"/>
  <c r="F81" i="3" s="1"/>
  <c r="BT32" i="3"/>
  <c r="BT25" i="3"/>
  <c r="BT20" i="3"/>
  <c r="BT17" i="3"/>
  <c r="BT45" i="3"/>
  <c r="E81" i="3" s="1"/>
  <c r="BT10" i="3"/>
  <c r="BT6" i="3"/>
  <c r="BT8" i="3"/>
  <c r="BT18" i="3"/>
  <c r="BT24" i="3"/>
  <c r="BT40" i="3"/>
  <c r="BT48" i="3"/>
  <c r="F89" i="3" s="1"/>
  <c r="BT49" i="3"/>
  <c r="E88" i="3" s="1"/>
  <c r="BT50" i="3"/>
  <c r="F96" i="3" s="1"/>
  <c r="BT34" i="3"/>
  <c r="BT28" i="3"/>
  <c r="BT43" i="3"/>
  <c r="E80" i="3" s="1"/>
  <c r="BT37" i="3"/>
  <c r="BT51" i="3"/>
  <c r="E97" i="3" s="1"/>
  <c r="BT7" i="3"/>
  <c r="BT14" i="3"/>
  <c r="BT47" i="3"/>
  <c r="E89" i="3" s="1"/>
  <c r="BT11" i="3"/>
  <c r="BT46" i="3"/>
  <c r="F88" i="3" s="1"/>
  <c r="BT22" i="3"/>
  <c r="BT53" i="3"/>
  <c r="E96" i="3" s="1"/>
  <c r="BT35" i="3"/>
  <c r="BT26" i="3"/>
  <c r="BT41" i="3"/>
  <c r="F19" i="48" a="1"/>
  <c r="F19" i="48" s="1"/>
  <c r="E20" i="48"/>
  <c r="BT19" i="3"/>
  <c r="BT21" i="3"/>
  <c r="Q5" i="6" l="1" a="1"/>
  <c r="Q5" i="6" s="1"/>
  <c r="G14" i="46" s="1"/>
  <c r="G12" i="46"/>
  <c r="F20" i="3"/>
  <c r="BV14" i="3" s="1"/>
  <c r="E25" i="3"/>
  <c r="F22" i="3"/>
  <c r="BV38" i="3"/>
  <c r="E70" i="3"/>
  <c r="F72" i="3"/>
  <c r="E68" i="3"/>
  <c r="BX38" i="3"/>
  <c r="BU38" i="3"/>
  <c r="BU37" i="3"/>
  <c r="F61" i="3"/>
  <c r="E63" i="3"/>
  <c r="E65" i="3"/>
  <c r="BV35" i="3"/>
  <c r="BX35" i="3"/>
  <c r="BW35" i="3"/>
  <c r="BU35" i="3"/>
  <c r="E64" i="3"/>
  <c r="F60" i="3"/>
  <c r="F63" i="3"/>
  <c r="BV48" i="3"/>
  <c r="BU48" i="3"/>
  <c r="BW48" i="3"/>
  <c r="BX48" i="3"/>
  <c r="E85" i="3"/>
  <c r="F86" i="3"/>
  <c r="BW52" i="3"/>
  <c r="F94" i="3"/>
  <c r="BV50" i="3" s="1"/>
  <c r="E93" i="3"/>
  <c r="BV22" i="3"/>
  <c r="E36" i="3"/>
  <c r="E38" i="3"/>
  <c r="BW24" i="3" s="1"/>
  <c r="F41" i="3"/>
  <c r="BV27" i="3"/>
  <c r="BU27" i="3"/>
  <c r="BX27" i="3"/>
  <c r="BW27" i="3"/>
  <c r="E48" i="3"/>
  <c r="F47" i="3"/>
  <c r="F44" i="3"/>
  <c r="BU21" i="3"/>
  <c r="BW21" i="3"/>
  <c r="BX21" i="3"/>
  <c r="BV21" i="3"/>
  <c r="F29" i="3"/>
  <c r="BU20" i="3" s="1"/>
  <c r="E32" i="3"/>
  <c r="E31" i="3"/>
  <c r="BU19" i="3" s="1"/>
  <c r="BW9" i="3"/>
  <c r="BX9" i="3"/>
  <c r="BV9" i="3"/>
  <c r="BU9" i="3"/>
  <c r="F5" i="3"/>
  <c r="E8" i="3"/>
  <c r="E6" i="3"/>
  <c r="E33" i="3"/>
  <c r="BV20" i="3" s="1"/>
  <c r="F28" i="3"/>
  <c r="F31" i="3"/>
  <c r="BX46" i="3"/>
  <c r="BU46" i="3"/>
  <c r="BW46" i="3"/>
  <c r="BV46" i="3"/>
  <c r="E86" i="3"/>
  <c r="E84" i="3"/>
  <c r="BV34" i="3"/>
  <c r="BU34" i="3"/>
  <c r="BW34" i="3"/>
  <c r="BX34" i="3"/>
  <c r="E62" i="3"/>
  <c r="BW36" i="3" s="1"/>
  <c r="F65" i="3"/>
  <c r="BW37" i="3" s="1"/>
  <c r="E60" i="3"/>
  <c r="BV24" i="3"/>
  <c r="F40" i="3"/>
  <c r="E37" i="3"/>
  <c r="F38" i="3"/>
  <c r="BX42" i="3"/>
  <c r="BW42" i="3"/>
  <c r="BV42" i="3"/>
  <c r="BU42" i="3"/>
  <c r="E78" i="3"/>
  <c r="BW44" i="3" s="1"/>
  <c r="E76" i="3"/>
  <c r="BW43" i="3" s="1"/>
  <c r="BW33" i="3"/>
  <c r="BX33" i="3"/>
  <c r="BU33" i="3"/>
  <c r="BV33" i="3"/>
  <c r="F53" i="3"/>
  <c r="E57" i="3"/>
  <c r="BU30" i="3" s="1"/>
  <c r="E55" i="3"/>
  <c r="BU31" i="3" s="1"/>
  <c r="BU7" i="3"/>
  <c r="BW7" i="3"/>
  <c r="BX7" i="3"/>
  <c r="BV7" i="3"/>
  <c r="F4" i="3"/>
  <c r="F6" i="3"/>
  <c r="E9" i="3"/>
  <c r="BU23" i="3"/>
  <c r="BW23" i="3"/>
  <c r="BX23" i="3"/>
  <c r="BV23" i="3"/>
  <c r="F36" i="3"/>
  <c r="E40" i="3"/>
  <c r="F39" i="3"/>
  <c r="BV13" i="3"/>
  <c r="BX13" i="3"/>
  <c r="BU13" i="3"/>
  <c r="BW13" i="3"/>
  <c r="E16" i="3"/>
  <c r="BW10" i="3" s="1"/>
  <c r="E14" i="3"/>
  <c r="BW11" i="3" s="1"/>
  <c r="F13" i="3"/>
  <c r="BU39" i="3"/>
  <c r="BW39" i="3"/>
  <c r="BX39" i="3"/>
  <c r="BV39" i="3"/>
  <c r="F68" i="3"/>
  <c r="E73" i="3"/>
  <c r="F71" i="3"/>
  <c r="BU26" i="3"/>
  <c r="BV26" i="3"/>
  <c r="BW26" i="3"/>
  <c r="BX26" i="3"/>
  <c r="E46" i="3"/>
  <c r="E44" i="3"/>
  <c r="F49" i="3"/>
  <c r="BV28" i="3"/>
  <c r="BW28" i="3"/>
  <c r="BU28" i="3"/>
  <c r="BX28" i="3"/>
  <c r="F46" i="3"/>
  <c r="F48" i="3"/>
  <c r="E45" i="3"/>
  <c r="E29" i="3"/>
  <c r="F33" i="3"/>
  <c r="BV19" i="3" s="1"/>
  <c r="F30" i="3"/>
  <c r="BW50" i="3"/>
  <c r="E92" i="3"/>
  <c r="E94" i="3"/>
  <c r="BV52" i="3" s="1"/>
  <c r="BV6" i="3"/>
  <c r="BX6" i="3"/>
  <c r="BU6" i="3"/>
  <c r="BW6" i="3"/>
  <c r="E4" i="3"/>
  <c r="E7" i="3"/>
  <c r="F8" i="3"/>
  <c r="BW30" i="3"/>
  <c r="E52" i="3"/>
  <c r="F57" i="3"/>
  <c r="E54" i="3"/>
  <c r="BU47" i="3"/>
  <c r="BW47" i="3"/>
  <c r="BX47" i="3"/>
  <c r="BV47" i="3"/>
  <c r="F87" i="3"/>
  <c r="F84" i="3"/>
  <c r="BW45" i="3"/>
  <c r="BV45" i="3"/>
  <c r="BX45" i="3"/>
  <c r="BU45" i="3"/>
  <c r="E79" i="3"/>
  <c r="BU43" i="3" s="1"/>
  <c r="F77" i="3"/>
  <c r="BU44" i="3" s="1"/>
  <c r="BV32" i="3"/>
  <c r="BW32" i="3"/>
  <c r="BX32" i="3"/>
  <c r="BU32" i="3"/>
  <c r="F54" i="3"/>
  <c r="E53" i="3"/>
  <c r="F56" i="3"/>
  <c r="BU49" i="3"/>
  <c r="BW49" i="3"/>
  <c r="BX49" i="3"/>
  <c r="BV49" i="3"/>
  <c r="E87" i="3"/>
  <c r="F85" i="3"/>
  <c r="BW31" i="3"/>
  <c r="F52" i="3"/>
  <c r="E56" i="3"/>
  <c r="F55" i="3"/>
  <c r="BU18" i="3"/>
  <c r="BV18" i="3"/>
  <c r="BW18" i="3"/>
  <c r="BX18" i="3"/>
  <c r="E28" i="3"/>
  <c r="BW19" i="3" s="1"/>
  <c r="F32" i="3"/>
  <c r="E30" i="3"/>
  <c r="BW20" i="3" s="1"/>
  <c r="BV44" i="3"/>
  <c r="F78" i="3"/>
  <c r="E77" i="3"/>
  <c r="BU8" i="3"/>
  <c r="BW8" i="3"/>
  <c r="BV8" i="3"/>
  <c r="BX8" i="3"/>
  <c r="E5" i="3"/>
  <c r="F7" i="3"/>
  <c r="F9" i="3"/>
  <c r="BU25" i="3"/>
  <c r="BX25" i="3"/>
  <c r="BW25" i="3"/>
  <c r="BV25" i="3"/>
  <c r="E41" i="3"/>
  <c r="BW22" i="3" s="1"/>
  <c r="E39" i="3"/>
  <c r="F37" i="3"/>
  <c r="BU41" i="3"/>
  <c r="BX41" i="3"/>
  <c r="BW41" i="3"/>
  <c r="BV41" i="3"/>
  <c r="F69" i="3"/>
  <c r="E72" i="3"/>
  <c r="E71" i="3"/>
  <c r="BU36" i="3"/>
  <c r="F62" i="3"/>
  <c r="E61" i="3"/>
  <c r="F64" i="3"/>
  <c r="BW14" i="3"/>
  <c r="E23" i="3"/>
  <c r="E20" i="3"/>
  <c r="BV15" i="3" s="1"/>
  <c r="F24" i="3"/>
  <c r="BV43" i="3"/>
  <c r="F79" i="3"/>
  <c r="F76" i="3"/>
  <c r="BU17" i="3"/>
  <c r="BX17" i="3"/>
  <c r="BW17" i="3"/>
  <c r="BV17" i="3"/>
  <c r="E22" i="3"/>
  <c r="E24" i="3"/>
  <c r="F21" i="3"/>
  <c r="BX29" i="3"/>
  <c r="BV29" i="3"/>
  <c r="BW29" i="3"/>
  <c r="BU29" i="3"/>
  <c r="E47" i="3"/>
  <c r="E49" i="3"/>
  <c r="F45" i="3"/>
  <c r="G10" i="46"/>
  <c r="Q6" i="6" a="1"/>
  <c r="Q6" i="6" s="1"/>
  <c r="BX40" i="3"/>
  <c r="BU40" i="3"/>
  <c r="BV40" i="3"/>
  <c r="BW40" i="3"/>
  <c r="F73" i="3"/>
  <c r="E69" i="3"/>
  <c r="F70" i="3"/>
  <c r="BU12" i="3"/>
  <c r="BV12" i="3"/>
  <c r="BX12" i="3"/>
  <c r="BW12" i="3"/>
  <c r="F17" i="3"/>
  <c r="BU11" i="3" s="1"/>
  <c r="F15" i="3"/>
  <c r="BU10" i="3" s="1"/>
  <c r="E13" i="3"/>
  <c r="BV53" i="3"/>
  <c r="BX53" i="3"/>
  <c r="BU53" i="3"/>
  <c r="BW53" i="3"/>
  <c r="F93" i="3"/>
  <c r="BU52" i="3" s="1"/>
  <c r="E95" i="3"/>
  <c r="F12" i="3"/>
  <c r="BV10" i="3" s="1"/>
  <c r="E17" i="3"/>
  <c r="F14" i="3"/>
  <c r="E21" i="48"/>
  <c r="F20" i="48" a="1"/>
  <c r="F20" i="48" s="1"/>
  <c r="BW51" i="3"/>
  <c r="BV51" i="3"/>
  <c r="BU51" i="3"/>
  <c r="BX51" i="3"/>
  <c r="F95" i="3"/>
  <c r="F92" i="3"/>
  <c r="BU50" i="3" s="1"/>
  <c r="E15" i="3"/>
  <c r="E12" i="3"/>
  <c r="BV11" i="3" s="1"/>
  <c r="F16" i="3"/>
  <c r="BX16" i="3"/>
  <c r="BV16" i="3"/>
  <c r="BW16" i="3"/>
  <c r="BU16" i="3"/>
  <c r="F25" i="3"/>
  <c r="E21" i="3"/>
  <c r="F23" i="3"/>
  <c r="G11" i="46" l="1"/>
  <c r="G13" i="46"/>
  <c r="BV36" i="3"/>
  <c r="BX36" i="3" s="1"/>
  <c r="BX44" i="3"/>
  <c r="BX43" i="3"/>
  <c r="BV31" i="3"/>
  <c r="BX31" i="3" s="1"/>
  <c r="BV37" i="3"/>
  <c r="BX37" i="3" s="1"/>
  <c r="BU14" i="3"/>
  <c r="BX14" i="3" s="1"/>
  <c r="BX10" i="3"/>
  <c r="BU24" i="3"/>
  <c r="BX24" i="3" s="1"/>
  <c r="BX52" i="3"/>
  <c r="BU22" i="3"/>
  <c r="BX22" i="3" s="1"/>
  <c r="BX50" i="3"/>
  <c r="BV30" i="3"/>
  <c r="BX30" i="3" s="1"/>
  <c r="BX19" i="3"/>
  <c r="BX11" i="3"/>
  <c r="BX20" i="3"/>
  <c r="G16" i="46"/>
  <c r="BU15" i="3"/>
  <c r="BX15" i="3" s="1"/>
  <c r="F21" i="48" a="1"/>
  <c r="F21" i="48" s="1"/>
  <c r="E22" i="48"/>
  <c r="Q7" i="6" a="1"/>
  <c r="Q7" i="6" s="1"/>
  <c r="G15" i="46"/>
  <c r="G20" i="46"/>
  <c r="G17" i="46"/>
  <c r="BY17" i="3" l="1"/>
  <c r="BY53" i="3"/>
  <c r="BY6" i="3"/>
  <c r="BY42" i="3"/>
  <c r="BY46" i="3"/>
  <c r="BY38" i="3"/>
  <c r="BY39" i="3"/>
  <c r="BY26" i="3"/>
  <c r="BY49" i="3"/>
  <c r="BY8" i="3"/>
  <c r="BY9" i="3"/>
  <c r="BY35" i="3"/>
  <c r="BY48" i="3"/>
  <c r="BY28" i="3"/>
  <c r="BY7" i="3"/>
  <c r="BY29" i="3"/>
  <c r="BY41" i="3"/>
  <c r="BY40" i="3"/>
  <c r="BY16" i="3"/>
  <c r="BY32" i="3"/>
  <c r="BY18" i="3"/>
  <c r="BY33" i="3"/>
  <c r="BY47" i="3"/>
  <c r="BY13" i="3"/>
  <c r="BY12" i="3"/>
  <c r="BY34" i="3"/>
  <c r="BY25" i="3"/>
  <c r="BY27" i="3"/>
  <c r="BY23" i="3"/>
  <c r="BY51" i="3"/>
  <c r="BY21" i="3"/>
  <c r="BY45" i="3"/>
  <c r="BY36" i="3"/>
  <c r="BY43" i="3"/>
  <c r="BY37" i="3"/>
  <c r="BY11" i="3"/>
  <c r="BY15" i="3"/>
  <c r="BY44" i="3"/>
  <c r="BY10" i="3"/>
  <c r="BY30" i="3"/>
  <c r="BY52" i="3"/>
  <c r="BY50" i="3"/>
  <c r="Q8" i="6" a="1"/>
  <c r="Q8" i="6" s="1"/>
  <c r="G25" i="46" s="1"/>
  <c r="BY19" i="3"/>
  <c r="F22" i="48" a="1"/>
  <c r="F22" i="48" s="1"/>
  <c r="E23" i="48"/>
  <c r="BY22" i="3"/>
  <c r="BY20" i="3"/>
  <c r="BY31" i="3"/>
  <c r="BY14" i="3"/>
  <c r="BY24" i="3"/>
  <c r="BZ43" i="3" l="1"/>
  <c r="H80" i="3" s="1"/>
  <c r="BZ41" i="3"/>
  <c r="H71" i="3" s="1"/>
  <c r="BZ39" i="3"/>
  <c r="CB39" i="3" s="1"/>
  <c r="BZ7" i="3"/>
  <c r="CC7" i="3" s="1"/>
  <c r="BZ13" i="3"/>
  <c r="CB13" i="3" s="1"/>
  <c r="BZ48" i="3"/>
  <c r="CC48" i="3" s="1"/>
  <c r="BZ25" i="3"/>
  <c r="CA25" i="3" s="1"/>
  <c r="BZ15" i="3"/>
  <c r="H25" i="3" s="1"/>
  <c r="BZ18" i="3"/>
  <c r="CA18" i="3" s="1"/>
  <c r="BZ29" i="3"/>
  <c r="I45" i="3" s="1"/>
  <c r="BZ53" i="3"/>
  <c r="I32" i="3"/>
  <c r="BZ22" i="3"/>
  <c r="BZ14" i="3"/>
  <c r="BZ11" i="3"/>
  <c r="BZ38" i="3"/>
  <c r="BZ26" i="3"/>
  <c r="Q9" i="6" a="1"/>
  <c r="Q9" i="6" s="1"/>
  <c r="BZ37" i="3"/>
  <c r="BZ42" i="3"/>
  <c r="I81" i="3" s="1"/>
  <c r="BZ20" i="3"/>
  <c r="BZ28" i="3"/>
  <c r="BZ32" i="3"/>
  <c r="E24" i="48"/>
  <c r="F23" i="48" a="1"/>
  <c r="F23" i="48" s="1"/>
  <c r="BZ35" i="3"/>
  <c r="BZ40" i="3"/>
  <c r="BZ33" i="3"/>
  <c r="BZ51" i="3"/>
  <c r="H97" i="3" s="1"/>
  <c r="BZ46" i="3"/>
  <c r="I88" i="3" s="1"/>
  <c r="BZ23" i="3"/>
  <c r="BZ52" i="3"/>
  <c r="I97" i="3" s="1"/>
  <c r="BZ30" i="3"/>
  <c r="BZ24" i="3"/>
  <c r="BZ50" i="3"/>
  <c r="I96" i="3" s="1"/>
  <c r="BZ6" i="3"/>
  <c r="BZ17" i="3"/>
  <c r="BZ19" i="3"/>
  <c r="BZ31" i="3"/>
  <c r="BZ36" i="3"/>
  <c r="BZ34" i="3"/>
  <c r="BZ16" i="3"/>
  <c r="BZ12" i="3"/>
  <c r="BZ44" i="3"/>
  <c r="I80" i="3" s="1"/>
  <c r="BZ10" i="3"/>
  <c r="BZ21" i="3"/>
  <c r="BZ9" i="3"/>
  <c r="BZ27" i="3"/>
  <c r="BZ45" i="3"/>
  <c r="H81" i="3" s="1"/>
  <c r="BZ49" i="3"/>
  <c r="H88" i="3" s="1"/>
  <c r="BZ47" i="3"/>
  <c r="H89" i="3" s="1"/>
  <c r="BZ8" i="3"/>
  <c r="CC18" i="3" l="1"/>
  <c r="CC41" i="3"/>
  <c r="CB41" i="3"/>
  <c r="H72" i="3"/>
  <c r="H9" i="3"/>
  <c r="CA7" i="3"/>
  <c r="CA41" i="3"/>
  <c r="H16" i="3"/>
  <c r="H14" i="3"/>
  <c r="I13" i="3"/>
  <c r="I69" i="3"/>
  <c r="H41" i="3"/>
  <c r="CC53" i="3"/>
  <c r="H96" i="3"/>
  <c r="CC25" i="3"/>
  <c r="I68" i="3"/>
  <c r="I79" i="3"/>
  <c r="I4" i="3"/>
  <c r="H28" i="3"/>
  <c r="CA13" i="3"/>
  <c r="I86" i="3"/>
  <c r="CB48" i="3"/>
  <c r="I76" i="3"/>
  <c r="H85" i="3"/>
  <c r="I89" i="3"/>
  <c r="CC13" i="3"/>
  <c r="I37" i="3"/>
  <c r="H39" i="3"/>
  <c r="CB25" i="3"/>
  <c r="H73" i="3"/>
  <c r="CA39" i="3"/>
  <c r="H49" i="3"/>
  <c r="H30" i="3"/>
  <c r="I6" i="3"/>
  <c r="CB7" i="3"/>
  <c r="CA48" i="3"/>
  <c r="I71" i="3"/>
  <c r="CC39" i="3"/>
  <c r="I22" i="3"/>
  <c r="CB18" i="3"/>
  <c r="H47" i="3"/>
  <c r="H95" i="3"/>
  <c r="CB29" i="3"/>
  <c r="I93" i="3"/>
  <c r="CA29" i="3"/>
  <c r="CB53" i="3"/>
  <c r="CC29" i="3"/>
  <c r="CA53" i="3"/>
  <c r="I20" i="3"/>
  <c r="CB49" i="3"/>
  <c r="CA49" i="3"/>
  <c r="CC49" i="3"/>
  <c r="I85" i="3"/>
  <c r="H87" i="3"/>
  <c r="I55" i="3"/>
  <c r="I52" i="3"/>
  <c r="H56" i="3"/>
  <c r="CA42" i="3"/>
  <c r="CC42" i="3"/>
  <c r="CB42" i="3"/>
  <c r="H78" i="3"/>
  <c r="H76" i="3"/>
  <c r="CA6" i="3"/>
  <c r="CC6" i="3"/>
  <c r="CB6" i="3"/>
  <c r="H7" i="3"/>
  <c r="H4" i="3"/>
  <c r="I8" i="3"/>
  <c r="CB9" i="3"/>
  <c r="CC9" i="3"/>
  <c r="CA9" i="3"/>
  <c r="H6" i="3"/>
  <c r="I5" i="3"/>
  <c r="H8" i="3"/>
  <c r="CA40" i="3"/>
  <c r="CB40" i="3"/>
  <c r="CC40" i="3"/>
  <c r="I73" i="3"/>
  <c r="H69" i="3"/>
  <c r="I70" i="3"/>
  <c r="CC46" i="3"/>
  <c r="CB46" i="3"/>
  <c r="CA46" i="3"/>
  <c r="H86" i="3"/>
  <c r="H84" i="3"/>
  <c r="H12" i="3"/>
  <c r="H15" i="3"/>
  <c r="I16" i="3"/>
  <c r="CC24" i="3"/>
  <c r="CA24" i="3"/>
  <c r="CB24" i="3"/>
  <c r="I38" i="3"/>
  <c r="I40" i="3"/>
  <c r="H37" i="3"/>
  <c r="CA16" i="3"/>
  <c r="CC16" i="3"/>
  <c r="CB16" i="3"/>
  <c r="H21" i="3"/>
  <c r="I25" i="3"/>
  <c r="I23" i="3"/>
  <c r="H20" i="3"/>
  <c r="H23" i="3"/>
  <c r="I24" i="3"/>
  <c r="I94" i="3"/>
  <c r="H93" i="3"/>
  <c r="CB45" i="3"/>
  <c r="CA45" i="3"/>
  <c r="CC45" i="3"/>
  <c r="H79" i="3"/>
  <c r="I77" i="3"/>
  <c r="H54" i="3"/>
  <c r="H52" i="3"/>
  <c r="I57" i="3"/>
  <c r="CC12" i="3"/>
  <c r="CB12" i="3"/>
  <c r="CA12" i="3"/>
  <c r="H13" i="3"/>
  <c r="I17" i="3"/>
  <c r="I15" i="3"/>
  <c r="CB35" i="3"/>
  <c r="CA35" i="3"/>
  <c r="CC35" i="3"/>
  <c r="I60" i="3"/>
  <c r="H64" i="3"/>
  <c r="I63" i="3"/>
  <c r="I14" i="3"/>
  <c r="I12" i="3"/>
  <c r="H17" i="3"/>
  <c r="CB23" i="3"/>
  <c r="CA23" i="3"/>
  <c r="CC23" i="3"/>
  <c r="I36" i="3"/>
  <c r="H40" i="3"/>
  <c r="I39" i="3"/>
  <c r="CA51" i="3"/>
  <c r="CC51" i="3"/>
  <c r="CB51" i="3"/>
  <c r="I95" i="3"/>
  <c r="I92" i="3"/>
  <c r="CB50" i="3" s="1"/>
  <c r="E25" i="48"/>
  <c r="F24" i="48" a="1"/>
  <c r="F24" i="48" s="1"/>
  <c r="I61" i="3"/>
  <c r="H65" i="3"/>
  <c r="H63" i="3"/>
  <c r="I30" i="3"/>
  <c r="I33" i="3"/>
  <c r="H29" i="3"/>
  <c r="CB8" i="3"/>
  <c r="CA8" i="3"/>
  <c r="CC8" i="3"/>
  <c r="I9" i="3"/>
  <c r="H5" i="3"/>
  <c r="I7" i="3"/>
  <c r="CB21" i="3"/>
  <c r="CA21" i="3"/>
  <c r="CC21" i="3"/>
  <c r="H32" i="3"/>
  <c r="H31" i="3"/>
  <c r="I29" i="3"/>
  <c r="I62" i="3"/>
  <c r="I64" i="3"/>
  <c r="H61" i="3"/>
  <c r="CC38" i="3"/>
  <c r="CB38" i="3"/>
  <c r="CA38" i="3"/>
  <c r="H68" i="3"/>
  <c r="I72" i="3"/>
  <c r="H70" i="3"/>
  <c r="CB34" i="3"/>
  <c r="CC34" i="3"/>
  <c r="CA34" i="3"/>
  <c r="I65" i="3"/>
  <c r="H60" i="3"/>
  <c r="H62" i="3"/>
  <c r="CA33" i="3"/>
  <c r="CC33" i="3"/>
  <c r="CB33" i="3"/>
  <c r="I53" i="3"/>
  <c r="H57" i="3"/>
  <c r="H55" i="3"/>
  <c r="CB32" i="3"/>
  <c r="CA32" i="3"/>
  <c r="CC32" i="3"/>
  <c r="I54" i="3"/>
  <c r="H53" i="3"/>
  <c r="I56" i="3"/>
  <c r="Q10" i="6" a="1"/>
  <c r="Q10" i="6" s="1"/>
  <c r="H33" i="3"/>
  <c r="I28" i="3"/>
  <c r="I31" i="3"/>
  <c r="CB28" i="3"/>
  <c r="CC28" i="3"/>
  <c r="CA28" i="3"/>
  <c r="I46" i="3"/>
  <c r="H45" i="3"/>
  <c r="I48" i="3"/>
  <c r="CA22" i="3"/>
  <c r="CC22" i="3"/>
  <c r="CB22" i="3"/>
  <c r="I41" i="3"/>
  <c r="H38" i="3"/>
  <c r="H36" i="3"/>
  <c r="I78" i="3"/>
  <c r="H77" i="3"/>
  <c r="H92" i="3"/>
  <c r="H94" i="3"/>
  <c r="CC26" i="3"/>
  <c r="CA26" i="3"/>
  <c r="CB26" i="3"/>
  <c r="I49" i="3"/>
  <c r="H44" i="3"/>
  <c r="H46" i="3"/>
  <c r="CA27" i="3"/>
  <c r="CC27" i="3"/>
  <c r="CB27" i="3"/>
  <c r="I44" i="3"/>
  <c r="I47" i="3"/>
  <c r="H48" i="3"/>
  <c r="CB47" i="3"/>
  <c r="CC47" i="3"/>
  <c r="CA47" i="3"/>
  <c r="I87" i="3"/>
  <c r="I84" i="3"/>
  <c r="CA17" i="3"/>
  <c r="CC17" i="3"/>
  <c r="CB17" i="3"/>
  <c r="H24" i="3"/>
  <c r="I21" i="3"/>
  <c r="H22" i="3"/>
  <c r="CA19" i="3" l="1"/>
  <c r="CB30" i="3"/>
  <c r="CB36" i="3"/>
  <c r="CA52" i="3"/>
  <c r="CA10" i="3"/>
  <c r="CA20" i="3"/>
  <c r="CA50" i="3"/>
  <c r="CB31" i="3"/>
  <c r="CA37" i="3"/>
  <c r="CC50" i="3"/>
  <c r="CB52" i="3"/>
  <c r="CC52" i="3" s="1"/>
  <c r="CB11" i="3"/>
  <c r="CB14" i="3"/>
  <c r="CB10" i="3"/>
  <c r="CB19" i="3"/>
  <c r="CC19" i="3" s="1"/>
  <c r="CA44" i="3"/>
  <c r="CA30" i="3"/>
  <c r="Q11" i="6" a="1"/>
  <c r="Q11" i="6" s="1"/>
  <c r="Q12" i="6" s="1" a="1"/>
  <c r="Q12" i="6" s="1"/>
  <c r="Q13" i="6" s="1" a="1"/>
  <c r="Q13" i="6" s="1"/>
  <c r="Q14" i="6" s="1" a="1"/>
  <c r="Q14" i="6" s="1"/>
  <c r="Q15" i="6" s="1" a="1"/>
  <c r="Q15" i="6" s="1"/>
  <c r="Q16" i="6" s="1" a="1"/>
  <c r="Q16" i="6" s="1"/>
  <c r="Q17" i="6" s="1" a="1"/>
  <c r="Q17" i="6" s="1"/>
  <c r="Q18" i="6" s="1" a="1"/>
  <c r="Q18" i="6" s="1"/>
  <c r="Q19" i="6" s="1" a="1"/>
  <c r="Q19" i="6" s="1"/>
  <c r="G138" i="46" s="1"/>
  <c r="CB43" i="3"/>
  <c r="CA43" i="3"/>
  <c r="CB20" i="3"/>
  <c r="CB44" i="3"/>
  <c r="CA14" i="3"/>
  <c r="E26" i="48"/>
  <c r="F25" i="48" a="1"/>
  <c r="F25" i="48" s="1"/>
  <c r="CA31" i="3"/>
  <c r="CA36" i="3"/>
  <c r="CB37" i="3"/>
  <c r="CB15" i="3"/>
  <c r="CA15" i="3"/>
  <c r="CA11" i="3"/>
  <c r="CC36" i="3" l="1"/>
  <c r="CD29" i="3"/>
  <c r="CD34" i="3"/>
  <c r="CD22" i="3"/>
  <c r="CC30" i="3"/>
  <c r="CD32" i="3"/>
  <c r="CD38" i="3"/>
  <c r="CD41" i="3"/>
  <c r="CD17" i="3"/>
  <c r="CD47" i="3"/>
  <c r="CD9" i="3"/>
  <c r="CD7" i="3"/>
  <c r="CD49" i="3"/>
  <c r="CD48" i="3"/>
  <c r="CD26" i="3"/>
  <c r="CD33" i="3"/>
  <c r="CD53" i="3"/>
  <c r="CD12" i="3"/>
  <c r="CD6" i="3"/>
  <c r="CD45" i="3"/>
  <c r="CD40" i="3"/>
  <c r="CD46" i="3"/>
  <c r="CD27" i="3"/>
  <c r="CD35" i="3"/>
  <c r="CD42" i="3"/>
  <c r="CD24" i="3"/>
  <c r="CD23" i="3"/>
  <c r="CD13" i="3"/>
  <c r="CD8" i="3"/>
  <c r="CD25" i="3"/>
  <c r="CD21" i="3"/>
  <c r="CD16" i="3"/>
  <c r="CD28" i="3"/>
  <c r="CD18" i="3"/>
  <c r="CD51" i="3"/>
  <c r="CD39" i="3"/>
  <c r="CC20" i="3"/>
  <c r="CC10" i="3"/>
  <c r="CC43" i="3"/>
  <c r="CC37" i="3"/>
  <c r="CD37" i="3" s="1"/>
  <c r="CC14" i="3"/>
  <c r="CC31" i="3"/>
  <c r="CD52" i="3" s="1"/>
  <c r="CC11" i="3"/>
  <c r="CC15" i="3"/>
  <c r="CC44" i="3"/>
  <c r="CD50" i="3"/>
  <c r="G256" i="46"/>
  <c r="G194" i="46"/>
  <c r="Q42" i="6" a="1"/>
  <c r="Q42" i="6" s="1"/>
  <c r="G205" i="46"/>
  <c r="Q59" i="6" a="1"/>
  <c r="Q59" i="6" s="1"/>
  <c r="G157" i="46"/>
  <c r="E27" i="48"/>
  <c r="F26" i="48" a="1"/>
  <c r="F26" i="48" s="1"/>
  <c r="G183" i="46"/>
  <c r="Q52" i="6" a="1"/>
  <c r="Q52" i="6" s="1"/>
  <c r="Q63" i="6" a="1"/>
  <c r="Q63" i="6" s="1"/>
  <c r="Q64" i="6" a="1"/>
  <c r="Q64" i="6" s="1"/>
  <c r="Q55" i="6" a="1"/>
  <c r="Q55" i="6" s="1"/>
  <c r="Q58" i="6" a="1"/>
  <c r="Q58" i="6" s="1"/>
  <c r="Q56" i="6" a="1"/>
  <c r="Q56" i="6" s="1"/>
  <c r="G169" i="46"/>
  <c r="Q40" i="6" a="1"/>
  <c r="Q40" i="6" s="1"/>
  <c r="Q43" i="6" a="1"/>
  <c r="Q43" i="6" s="1"/>
  <c r="G207" i="46"/>
  <c r="G149" i="46"/>
  <c r="Q51" i="6" a="1"/>
  <c r="Q51" i="6" s="1"/>
  <c r="G244" i="46"/>
  <c r="G247" i="46"/>
  <c r="Q50" i="6" a="1"/>
  <c r="Q50" i="6" s="1"/>
  <c r="Q47" i="6" a="1"/>
  <c r="Q47" i="6" s="1"/>
  <c r="Q44" i="6" a="1"/>
  <c r="Q44" i="6" s="1"/>
  <c r="Q49" i="6" a="1"/>
  <c r="Q49" i="6" s="1"/>
  <c r="Q48" i="6" a="1"/>
  <c r="Q48" i="6" s="1"/>
  <c r="G188" i="46"/>
  <c r="G177" i="46"/>
  <c r="G132" i="46"/>
  <c r="G148" i="46"/>
  <c r="Q57" i="6" a="1"/>
  <c r="Q57" i="6" s="1"/>
  <c r="Q61" i="6" a="1"/>
  <c r="Q61" i="6" s="1"/>
  <c r="G37" i="46"/>
  <c r="G28" i="46"/>
  <c r="G50" i="46"/>
  <c r="G35" i="46"/>
  <c r="G36" i="46"/>
  <c r="G27" i="46"/>
  <c r="G18" i="46"/>
  <c r="G46" i="46"/>
  <c r="G31" i="46"/>
  <c r="G42" i="46"/>
  <c r="G75" i="46"/>
  <c r="G55" i="46"/>
  <c r="G19" i="46"/>
  <c r="G53" i="46"/>
  <c r="G65" i="46"/>
  <c r="G71" i="46"/>
  <c r="G21" i="46"/>
  <c r="G54" i="46"/>
  <c r="G22" i="46"/>
  <c r="G89" i="46"/>
  <c r="G114" i="46"/>
  <c r="G56" i="46"/>
  <c r="G26" i="46"/>
  <c r="G63" i="46"/>
  <c r="G73" i="46"/>
  <c r="G44" i="46"/>
  <c r="G30" i="46"/>
  <c r="G57" i="46"/>
  <c r="G69" i="46"/>
  <c r="G67" i="46"/>
  <c r="G39" i="46"/>
  <c r="G107" i="46"/>
  <c r="G61" i="46"/>
  <c r="G77" i="46"/>
  <c r="G23" i="46"/>
  <c r="G105" i="46"/>
  <c r="G51" i="46"/>
  <c r="G83" i="46"/>
  <c r="G104" i="46"/>
  <c r="G45" i="46"/>
  <c r="G111" i="46"/>
  <c r="G95" i="46"/>
  <c r="G110" i="46"/>
  <c r="G59" i="46"/>
  <c r="G38" i="46"/>
  <c r="G24" i="46"/>
  <c r="G49" i="46"/>
  <c r="G41" i="46"/>
  <c r="G97" i="46"/>
  <c r="G34" i="46"/>
  <c r="G185" i="46"/>
  <c r="G40" i="46"/>
  <c r="G158" i="46"/>
  <c r="G127" i="46"/>
  <c r="G189" i="46"/>
  <c r="G182" i="46"/>
  <c r="G131" i="46"/>
  <c r="G32" i="46"/>
  <c r="G136" i="46"/>
  <c r="G229" i="46"/>
  <c r="G103" i="46"/>
  <c r="G62" i="46"/>
  <c r="G86" i="46"/>
  <c r="G212" i="46"/>
  <c r="G87" i="46"/>
  <c r="G146" i="46"/>
  <c r="G33" i="46"/>
  <c r="G113" i="46"/>
  <c r="G96" i="46"/>
  <c r="G58" i="46"/>
  <c r="G91" i="46"/>
  <c r="G85" i="46"/>
  <c r="G124" i="46"/>
  <c r="G152" i="46"/>
  <c r="G123" i="46"/>
  <c r="G139" i="46"/>
  <c r="G82" i="46"/>
  <c r="G48" i="46"/>
  <c r="G47" i="46"/>
  <c r="G68" i="46"/>
  <c r="G147" i="46"/>
  <c r="G122" i="46"/>
  <c r="G211" i="46"/>
  <c r="G121" i="46"/>
  <c r="G52" i="46"/>
  <c r="G109" i="46"/>
  <c r="G74" i="46"/>
  <c r="G64" i="46"/>
  <c r="G98" i="46"/>
  <c r="G29" i="46"/>
  <c r="G101" i="46"/>
  <c r="G81" i="46"/>
  <c r="G125" i="46"/>
  <c r="G156" i="46"/>
  <c r="G93" i="46"/>
  <c r="G191" i="46"/>
  <c r="G100" i="46"/>
  <c r="G94" i="46"/>
  <c r="G253" i="46"/>
  <c r="G90" i="46"/>
  <c r="G167" i="46"/>
  <c r="G66" i="46"/>
  <c r="G84" i="46"/>
  <c r="G43" i="46"/>
  <c r="G251" i="46"/>
  <c r="G70" i="46"/>
  <c r="G108" i="46"/>
  <c r="G80" i="46"/>
  <c r="G154" i="46"/>
  <c r="G216" i="46"/>
  <c r="G116" i="46"/>
  <c r="G133" i="46"/>
  <c r="G202" i="46"/>
  <c r="G164" i="46"/>
  <c r="F5" i="51"/>
  <c r="G155" i="46"/>
  <c r="G161" i="46"/>
  <c r="G236" i="46"/>
  <c r="G151" i="46"/>
  <c r="G173" i="46"/>
  <c r="G197" i="46"/>
  <c r="G72" i="46"/>
  <c r="G193" i="46"/>
  <c r="G150" i="46"/>
  <c r="G186" i="46"/>
  <c r="J1" i="48"/>
  <c r="G240" i="46"/>
  <c r="G184" i="46"/>
  <c r="G222" i="46"/>
  <c r="G106" i="46"/>
  <c r="G159" i="46"/>
  <c r="G190" i="46"/>
  <c r="G227" i="46"/>
  <c r="G187" i="46"/>
  <c r="G179" i="46"/>
  <c r="G166" i="46"/>
  <c r="G223" i="46"/>
  <c r="G140" i="46"/>
  <c r="G174" i="46"/>
  <c r="G176" i="46"/>
  <c r="G126" i="46"/>
  <c r="G172" i="46"/>
  <c r="G258" i="46"/>
  <c r="G120" i="46"/>
  <c r="G226" i="46"/>
  <c r="G200" i="46"/>
  <c r="G144" i="46"/>
  <c r="G135" i="46"/>
  <c r="G145" i="46"/>
  <c r="G160" i="46"/>
  <c r="G141" i="46"/>
  <c r="G112" i="46"/>
  <c r="G257" i="46"/>
  <c r="G76" i="46"/>
  <c r="G171" i="46"/>
  <c r="G215" i="46"/>
  <c r="G92" i="46"/>
  <c r="G88" i="46"/>
  <c r="G232" i="46"/>
  <c r="G168" i="46"/>
  <c r="G134" i="46"/>
  <c r="G213" i="46"/>
  <c r="G214" i="46"/>
  <c r="G233" i="46"/>
  <c r="G118" i="46"/>
  <c r="G99" i="46"/>
  <c r="G196" i="46"/>
  <c r="G195" i="46"/>
  <c r="G117" i="46"/>
  <c r="G165" i="46"/>
  <c r="G137" i="46"/>
  <c r="G237" i="46"/>
  <c r="G115" i="46"/>
  <c r="G201" i="46"/>
  <c r="G102" i="46"/>
  <c r="G221" i="46"/>
  <c r="G250" i="46"/>
  <c r="G178" i="46"/>
  <c r="G241" i="46"/>
  <c r="G119" i="46"/>
  <c r="G254" i="46"/>
  <c r="G204" i="46"/>
  <c r="G217" i="46"/>
  <c r="G206" i="46"/>
  <c r="G130" i="46"/>
  <c r="G220" i="46"/>
  <c r="G170" i="46"/>
  <c r="G252" i="46"/>
  <c r="G203" i="46"/>
  <c r="G60" i="46"/>
  <c r="G192" i="46"/>
  <c r="G228" i="46"/>
  <c r="Q60" i="6" a="1"/>
  <c r="Q60" i="6" s="1"/>
  <c r="K1" i="50"/>
  <c r="Q53" i="6" a="1"/>
  <c r="Q53" i="6" s="1"/>
  <c r="G153" i="46"/>
  <c r="G175" i="46"/>
  <c r="G255" i="46"/>
  <c r="Q45" i="6" a="1"/>
  <c r="Q45" i="6" s="1"/>
  <c r="G142" i="46"/>
  <c r="Q62" i="6" a="1"/>
  <c r="Q62" i="6" s="1"/>
  <c r="Q46" i="6" a="1"/>
  <c r="Q46" i="6" s="1"/>
  <c r="Q54" i="6" a="1"/>
  <c r="Q54" i="6" s="1"/>
  <c r="Q41" i="6" a="1"/>
  <c r="Q41" i="6" s="1"/>
  <c r="G143" i="46"/>
  <c r="G210" i="46"/>
  <c r="CD36" i="3" l="1"/>
  <c r="CD30" i="3"/>
  <c r="CD20" i="3"/>
  <c r="CD19" i="3"/>
  <c r="CD11" i="3"/>
  <c r="CD43" i="3"/>
  <c r="CD14" i="3"/>
  <c r="CD31" i="3"/>
  <c r="CD15" i="3"/>
  <c r="CD44" i="3"/>
  <c r="CD10" i="3"/>
  <c r="D26" i="48" a="1"/>
  <c r="D26" i="48" s="1"/>
  <c r="D20" i="48" a="1"/>
  <c r="D20" i="48" s="1"/>
  <c r="D34" i="48" a="1"/>
  <c r="D34" i="48" s="1"/>
  <c r="D22" i="48" a="1"/>
  <c r="D22" i="48" s="1"/>
  <c r="D24" i="48" a="1"/>
  <c r="D24" i="48" s="1"/>
  <c r="A24" i="48" a="1"/>
  <c r="A24" i="48" s="1"/>
  <c r="A31" i="48" a="1"/>
  <c r="A31" i="48" s="1"/>
  <c r="D32" i="48" a="1"/>
  <c r="D32" i="48" s="1"/>
  <c r="A29" i="48" a="1"/>
  <c r="A29" i="48" s="1"/>
  <c r="D21" i="48" a="1"/>
  <c r="D21" i="48" s="1"/>
  <c r="A27" i="48" a="1"/>
  <c r="A27" i="48" s="1"/>
  <c r="A30" i="48" a="1"/>
  <c r="A30" i="48" s="1"/>
  <c r="D31" i="48" a="1"/>
  <c r="D31" i="48" s="1"/>
  <c r="A34" i="48" a="1"/>
  <c r="A34" i="48" s="1"/>
  <c r="B2" i="48" a="1"/>
  <c r="B2" i="48" s="1"/>
  <c r="A33" i="48" a="1"/>
  <c r="A33" i="48" s="1"/>
  <c r="D25" i="48" a="1"/>
  <c r="D25" i="48" s="1"/>
  <c r="A25" i="48" a="1"/>
  <c r="A25" i="48" s="1"/>
  <c r="D29" i="48" a="1"/>
  <c r="D29" i="48" s="1"/>
  <c r="A32" i="48" a="1"/>
  <c r="A32" i="48" s="1"/>
  <c r="A42" i="48" a="1"/>
  <c r="A42" i="48" s="1"/>
  <c r="A35" i="48" a="1"/>
  <c r="A35" i="48" s="1"/>
  <c r="D27" i="48" a="1"/>
  <c r="D27" i="48" s="1"/>
  <c r="D35" i="48" a="1"/>
  <c r="D35" i="48" s="1"/>
  <c r="A22" i="48" a="1"/>
  <c r="A22" i="48" s="1"/>
  <c r="C24" i="48" a="1"/>
  <c r="C24" i="48" s="1"/>
  <c r="D9" i="48" a="1"/>
  <c r="D9" i="48" s="1"/>
  <c r="D6" i="48" a="1"/>
  <c r="D6" i="48" s="1"/>
  <c r="D33" i="48" a="1"/>
  <c r="D33" i="48" s="1"/>
  <c r="A23" i="48" a="1"/>
  <c r="A23" i="48" s="1"/>
  <c r="C19" i="48" a="1"/>
  <c r="C19" i="48" s="1"/>
  <c r="C17" i="48" a="1"/>
  <c r="C17" i="48" s="1"/>
  <c r="C15" i="48" a="1"/>
  <c r="C15" i="48" s="1"/>
  <c r="A26" i="48" a="1"/>
  <c r="A26" i="48" s="1"/>
  <c r="D14" i="48" a="1"/>
  <c r="D14" i="48" s="1"/>
  <c r="C14" i="48" a="1"/>
  <c r="C14" i="48" s="1"/>
  <c r="C32" i="48" a="1"/>
  <c r="C32" i="48" s="1"/>
  <c r="D23" i="48" a="1"/>
  <c r="D23" i="48" s="1"/>
  <c r="A20" i="48" a="1"/>
  <c r="A20" i="48" s="1"/>
  <c r="A7" i="48" a="1"/>
  <c r="A7" i="48" s="1"/>
  <c r="A28" i="48" a="1"/>
  <c r="A28" i="48" s="1"/>
  <c r="D13" i="48" a="1"/>
  <c r="D13" i="48" s="1"/>
  <c r="A12" i="48" a="1"/>
  <c r="A12" i="48" s="1"/>
  <c r="C18" i="48" a="1"/>
  <c r="C18" i="48" s="1"/>
  <c r="C30" i="48" a="1"/>
  <c r="C30" i="48" s="1"/>
  <c r="C20" i="48" a="1"/>
  <c r="C20" i="48" s="1"/>
  <c r="C25" i="48" a="1"/>
  <c r="C25" i="48" s="1"/>
  <c r="D8" i="48" a="1"/>
  <c r="D8" i="48" s="1"/>
  <c r="A8" i="48" a="1"/>
  <c r="A8" i="48" s="1"/>
  <c r="A14" i="48" a="1"/>
  <c r="A14" i="48" s="1"/>
  <c r="C11" i="48" a="1"/>
  <c r="C11" i="48" s="1"/>
  <c r="A16" i="48" a="1"/>
  <c r="A16" i="48" s="1"/>
  <c r="C22" i="48" a="1"/>
  <c r="C22" i="48" s="1"/>
  <c r="A17" i="48" a="1"/>
  <c r="A17" i="48" s="1"/>
  <c r="C34" i="48" a="1"/>
  <c r="C34" i="48" s="1"/>
  <c r="D15" i="48" a="1"/>
  <c r="D15" i="48" s="1"/>
  <c r="A15" i="48" a="1"/>
  <c r="A15" i="48" s="1"/>
  <c r="C13" i="48" a="1"/>
  <c r="C13" i="48" s="1"/>
  <c r="D16" i="48" a="1"/>
  <c r="D16" i="48" s="1"/>
  <c r="C9" i="48" a="1"/>
  <c r="C9" i="48" s="1"/>
  <c r="D19" i="48" a="1"/>
  <c r="D19" i="48" s="1"/>
  <c r="A9" i="48" a="1"/>
  <c r="A9" i="48" s="1"/>
  <c r="D10" i="48" a="1"/>
  <c r="D10" i="48" s="1"/>
  <c r="C31" i="48" a="1"/>
  <c r="C31" i="48" s="1"/>
  <c r="D17" i="48" a="1"/>
  <c r="D17" i="48" s="1"/>
  <c r="C16" i="48" a="1"/>
  <c r="C16" i="48" s="1"/>
  <c r="D30" i="48" a="1"/>
  <c r="D30" i="48" s="1"/>
  <c r="A13" i="48" a="1"/>
  <c r="A13" i="48" s="1"/>
  <c r="C35" i="48" a="1"/>
  <c r="C35" i="48" s="1"/>
  <c r="D28" i="48" a="1"/>
  <c r="D28" i="48" s="1"/>
  <c r="D11" i="48" a="1"/>
  <c r="D11" i="48" s="1"/>
  <c r="D18" i="48" a="1"/>
  <c r="D18" i="48" s="1"/>
  <c r="C5" i="48" a="1"/>
  <c r="C5" i="48" s="1"/>
  <c r="D12" i="48" a="1"/>
  <c r="D12" i="48" s="1"/>
  <c r="C27" i="48" a="1"/>
  <c r="C27" i="48" s="1"/>
  <c r="C4" i="48" a="1"/>
  <c r="C4" i="48" s="1"/>
  <c r="C12" i="48" a="1"/>
  <c r="C12" i="48" s="1"/>
  <c r="D7" i="48" a="1"/>
  <c r="D7" i="48" s="1"/>
  <c r="A6" i="48" a="1"/>
  <c r="A6" i="48" s="1"/>
  <c r="C28" i="48" a="1"/>
  <c r="C28" i="48" s="1"/>
  <c r="A11" i="48" a="1"/>
  <c r="A11" i="48" s="1"/>
  <c r="C10" i="48" a="1"/>
  <c r="C10" i="48" s="1"/>
  <c r="A10" i="48" a="1"/>
  <c r="A10" i="48" s="1"/>
  <c r="C29" i="48" a="1"/>
  <c r="C29" i="48" s="1"/>
  <c r="C33" i="48" a="1"/>
  <c r="C33" i="48" s="1"/>
  <c r="A19" i="48" a="1"/>
  <c r="A19" i="48" s="1"/>
  <c r="C23" i="48" a="1"/>
  <c r="C23" i="48" s="1"/>
  <c r="C26" i="48" a="1"/>
  <c r="C26" i="48" s="1"/>
  <c r="C21" i="48" a="1"/>
  <c r="C21" i="48" s="1"/>
  <c r="A21" i="48" a="1"/>
  <c r="A21" i="48" s="1"/>
  <c r="A18" i="48" a="1"/>
  <c r="A18" i="48" s="1"/>
  <c r="F27" i="48" a="1"/>
  <c r="F27" i="48" s="1"/>
  <c r="E28" i="48"/>
  <c r="B42" i="51"/>
  <c r="B41" i="51"/>
  <c r="B25" i="51"/>
  <c r="B34" i="51"/>
  <c r="B30" i="51"/>
  <c r="B24" i="51"/>
  <c r="B39" i="51"/>
  <c r="B44" i="51"/>
  <c r="B31" i="51"/>
  <c r="B36" i="51"/>
  <c r="B40" i="51"/>
  <c r="B27" i="51"/>
  <c r="B43" i="51"/>
  <c r="B38" i="51"/>
  <c r="B37" i="51"/>
  <c r="B32" i="51"/>
  <c r="B45" i="51"/>
  <c r="B28" i="51"/>
  <c r="B29" i="51"/>
  <c r="B22" i="51"/>
  <c r="B35" i="51"/>
  <c r="B26" i="51"/>
  <c r="B23" i="51"/>
  <c r="B33" i="51"/>
  <c r="E8" i="51"/>
  <c r="A26" i="50" a="1"/>
  <c r="A26" i="50" s="1"/>
  <c r="A32" i="50" a="1"/>
  <c r="A32" i="50" s="1"/>
  <c r="A34" i="50" a="1"/>
  <c r="A34" i="50" s="1"/>
  <c r="A23" i="50" a="1"/>
  <c r="A23" i="50" s="1"/>
  <c r="A25" i="50" a="1"/>
  <c r="A25" i="50" s="1"/>
  <c r="A30" i="50" a="1"/>
  <c r="A30" i="50" s="1"/>
  <c r="A20" i="50" a="1"/>
  <c r="A20" i="50" s="1"/>
  <c r="A28" i="50" a="1"/>
  <c r="A28" i="50" s="1"/>
  <c r="A31" i="50" a="1"/>
  <c r="A31" i="50" s="1"/>
  <c r="A33" i="50" a="1"/>
  <c r="A33" i="50" s="1"/>
  <c r="A21" i="50" a="1"/>
  <c r="A21" i="50" s="1"/>
  <c r="A35" i="50" a="1"/>
  <c r="A35" i="50" s="1"/>
  <c r="A22" i="50" a="1"/>
  <c r="A22" i="50" s="1"/>
  <c r="A27" i="50" a="1"/>
  <c r="A27" i="50" s="1"/>
  <c r="A7" i="50" a="1"/>
  <c r="A7" i="50" s="1"/>
  <c r="A24" i="50" a="1"/>
  <c r="A24" i="50" s="1"/>
  <c r="A9" i="50" a="1"/>
  <c r="A9" i="50" s="1"/>
  <c r="B26" i="50" a="1"/>
  <c r="B26" i="50" s="1"/>
  <c r="A17" i="50" a="1"/>
  <c r="A17" i="50" s="1"/>
  <c r="A13" i="50" a="1"/>
  <c r="A13" i="50" s="1"/>
  <c r="A19" i="50" a="1"/>
  <c r="A19" i="50" s="1"/>
  <c r="B30" i="50" a="1"/>
  <c r="B30" i="50" s="1"/>
  <c r="B21" i="50" a="1"/>
  <c r="B21" i="50" s="1"/>
  <c r="A15" i="50" a="1"/>
  <c r="A15" i="50" s="1"/>
  <c r="B14" i="50" a="1"/>
  <c r="B14" i="50" s="1"/>
  <c r="A8" i="50" a="1"/>
  <c r="A8" i="50" s="1"/>
  <c r="B15" i="50" a="1"/>
  <c r="B15" i="50" s="1"/>
  <c r="A6" i="50" a="1"/>
  <c r="A6" i="50" s="1"/>
  <c r="B22" i="50" a="1"/>
  <c r="B22" i="50" s="1"/>
  <c r="B25" i="50" a="1"/>
  <c r="B25" i="50" s="1"/>
  <c r="B18" i="50" a="1"/>
  <c r="B18" i="50" s="1"/>
  <c r="A14" i="50" a="1"/>
  <c r="A14" i="50" s="1"/>
  <c r="B20" i="50" a="1"/>
  <c r="B20" i="50" s="1"/>
  <c r="B17" i="50" a="1"/>
  <c r="B17" i="50" s="1"/>
  <c r="B32" i="50" a="1"/>
  <c r="B32" i="50" s="1"/>
  <c r="A11" i="50" a="1"/>
  <c r="A11" i="50" s="1"/>
  <c r="A29" i="50" a="1"/>
  <c r="A29" i="50" s="1"/>
  <c r="A16" i="50" a="1"/>
  <c r="A16" i="50" s="1"/>
  <c r="B13" i="50" a="1"/>
  <c r="B13" i="50" s="1"/>
  <c r="A12" i="50" a="1"/>
  <c r="A12" i="50" s="1"/>
  <c r="B16" i="50" a="1"/>
  <c r="B16" i="50" s="1"/>
  <c r="B28" i="50" a="1"/>
  <c r="B28" i="50" s="1"/>
  <c r="B35" i="50" a="1"/>
  <c r="B35" i="50" s="1"/>
  <c r="B12" i="50" a="1"/>
  <c r="B12" i="50" s="1"/>
  <c r="B33" i="50" a="1"/>
  <c r="B33" i="50" s="1"/>
  <c r="A18" i="50" a="1"/>
  <c r="A18" i="50" s="1"/>
  <c r="B24" i="50" a="1"/>
  <c r="B24" i="50" s="1"/>
  <c r="B23" i="50" a="1"/>
  <c r="B23" i="50" s="1"/>
  <c r="B11" i="50" a="1"/>
  <c r="B11" i="50" s="1"/>
  <c r="B9" i="50" a="1"/>
  <c r="B9" i="50" s="1"/>
  <c r="B29" i="50" a="1"/>
  <c r="B29" i="50" s="1"/>
  <c r="A10" i="50" a="1"/>
  <c r="A10" i="50" s="1"/>
  <c r="B10" i="50" a="1"/>
  <c r="B10" i="50" s="1"/>
  <c r="B31" i="50" a="1"/>
  <c r="B31" i="50" s="1"/>
  <c r="B19" i="50" a="1"/>
  <c r="B19" i="50" s="1"/>
  <c r="B27" i="50" a="1"/>
  <c r="B27" i="50" s="1"/>
  <c r="B34" i="50" a="1"/>
  <c r="B34" i="50" s="1"/>
  <c r="R40" i="6" a="1"/>
  <c r="R40" i="6" s="1"/>
  <c r="CE51" i="3" l="1"/>
  <c r="K97" i="3" s="1"/>
  <c r="CE29" i="3"/>
  <c r="L45" i="3" s="1"/>
  <c r="CE33" i="3"/>
  <c r="CF33" i="3" s="1"/>
  <c r="CE20" i="3"/>
  <c r="K29" i="3" s="1"/>
  <c r="CE25" i="3"/>
  <c r="CF25" i="3" s="1"/>
  <c r="CE49" i="3"/>
  <c r="K88" i="3" s="1"/>
  <c r="CE45" i="3"/>
  <c r="K81" i="3" s="1"/>
  <c r="CE43" i="3"/>
  <c r="K80" i="3" s="1"/>
  <c r="CE17" i="3"/>
  <c r="K22" i="3" s="1"/>
  <c r="CE44" i="3"/>
  <c r="L80" i="3" s="1"/>
  <c r="CE31" i="3"/>
  <c r="L55" i="3" s="1"/>
  <c r="CE11" i="3"/>
  <c r="K17" i="3" s="1"/>
  <c r="CE53" i="3"/>
  <c r="K96" i="3" s="1"/>
  <c r="CE8" i="3"/>
  <c r="L7" i="3" s="1"/>
  <c r="CE10" i="3"/>
  <c r="K15" i="3" s="1"/>
  <c r="CE14" i="3"/>
  <c r="K23" i="3" s="1"/>
  <c r="CE22" i="3"/>
  <c r="CF22" i="3" s="1"/>
  <c r="CE21" i="3"/>
  <c r="L29" i="3" s="1"/>
  <c r="CE35" i="3"/>
  <c r="CF35" i="3" s="1"/>
  <c r="CE13" i="3"/>
  <c r="K16" i="3" s="1"/>
  <c r="CE34" i="3"/>
  <c r="CF34" i="3" s="1"/>
  <c r="CE48" i="3"/>
  <c r="L89" i="3" s="1"/>
  <c r="CE24" i="3"/>
  <c r="CF24" i="3" s="1"/>
  <c r="CE9" i="3"/>
  <c r="K6" i="3" s="1"/>
  <c r="CE30" i="3"/>
  <c r="L57" i="3" s="1"/>
  <c r="CE52" i="3"/>
  <c r="L97" i="3" s="1"/>
  <c r="CE50" i="3"/>
  <c r="L96" i="3" s="1"/>
  <c r="CE18" i="3"/>
  <c r="CF18" i="3" s="1"/>
  <c r="CE47" i="3"/>
  <c r="K89" i="3" s="1"/>
  <c r="CE46" i="3"/>
  <c r="L88" i="3" s="1"/>
  <c r="CE27" i="3"/>
  <c r="L47" i="3" s="1"/>
  <c r="CE32" i="3"/>
  <c r="CF32" i="3" s="1"/>
  <c r="CE12" i="3"/>
  <c r="CF12" i="3" s="1"/>
  <c r="CE19" i="3"/>
  <c r="L31" i="3" s="1"/>
  <c r="CE37" i="3"/>
  <c r="K63" i="3" s="1"/>
  <c r="CE16" i="3"/>
  <c r="L25" i="3" s="1"/>
  <c r="CE38" i="3"/>
  <c r="K70" i="3" s="1"/>
  <c r="CE28" i="3"/>
  <c r="CF28" i="3" s="1"/>
  <c r="CE36" i="3"/>
  <c r="K61" i="3" s="1"/>
  <c r="CE39" i="3"/>
  <c r="CF39" i="3" s="1"/>
  <c r="CE7" i="3"/>
  <c r="CF7" i="3" s="1"/>
  <c r="B29" i="48"/>
  <c r="CE23" i="3"/>
  <c r="L36" i="3" s="1"/>
  <c r="CE6" i="3"/>
  <c r="CF6" i="3" s="1"/>
  <c r="CE41" i="3"/>
  <c r="L69" i="3" s="1"/>
  <c r="CE40" i="3"/>
  <c r="CF40" i="3" s="1"/>
  <c r="B19" i="48"/>
  <c r="B35" i="48"/>
  <c r="B31" i="48"/>
  <c r="B10" i="48"/>
  <c r="E11" i="51"/>
  <c r="B11" i="48"/>
  <c r="B26" i="48"/>
  <c r="B24" i="48"/>
  <c r="B13" i="48"/>
  <c r="B12" i="48"/>
  <c r="CE15" i="3"/>
  <c r="E10" i="51"/>
  <c r="E9" i="51"/>
  <c r="CE42" i="3"/>
  <c r="L81" i="3" s="1"/>
  <c r="CE26" i="3"/>
  <c r="B32" i="48"/>
  <c r="B25" i="48"/>
  <c r="CF29" i="3"/>
  <c r="K49" i="3"/>
  <c r="B15" i="48"/>
  <c r="B23" i="48"/>
  <c r="B33" i="48"/>
  <c r="B17" i="48"/>
  <c r="B28" i="48"/>
  <c r="B34" i="48"/>
  <c r="B18" i="48"/>
  <c r="E12" i="51"/>
  <c r="B21" i="48"/>
  <c r="B16" i="48"/>
  <c r="B30" i="48"/>
  <c r="E29" i="48"/>
  <c r="F28" i="48" a="1"/>
  <c r="F28" i="48" s="1"/>
  <c r="B20" i="48"/>
  <c r="B22" i="48"/>
  <c r="B27" i="48"/>
  <c r="B46" i="51"/>
  <c r="B47" i="51" s="1"/>
  <c r="B9" i="48"/>
  <c r="B14" i="48"/>
  <c r="K86" i="3" l="1"/>
  <c r="L92" i="3"/>
  <c r="L95" i="3"/>
  <c r="CF51" i="3"/>
  <c r="K57" i="3"/>
  <c r="K47" i="3"/>
  <c r="L33" i="3"/>
  <c r="K55" i="3"/>
  <c r="L30" i="3"/>
  <c r="L53" i="3"/>
  <c r="K77" i="3"/>
  <c r="K41" i="3"/>
  <c r="K39" i="3"/>
  <c r="K87" i="3"/>
  <c r="L85" i="3"/>
  <c r="L37" i="3"/>
  <c r="CF49" i="3"/>
  <c r="L77" i="3"/>
  <c r="K79" i="3"/>
  <c r="L54" i="3"/>
  <c r="CF17" i="3"/>
  <c r="L78" i="3"/>
  <c r="CF8" i="3"/>
  <c r="CF45" i="3"/>
  <c r="K24" i="3"/>
  <c r="K53" i="3"/>
  <c r="L16" i="3"/>
  <c r="K92" i="3"/>
  <c r="CF53" i="3"/>
  <c r="K12" i="3"/>
  <c r="L21" i="3"/>
  <c r="L94" i="3"/>
  <c r="L76" i="3"/>
  <c r="L52" i="3"/>
  <c r="CF46" i="3"/>
  <c r="L8" i="3"/>
  <c r="CF47" i="3"/>
  <c r="K73" i="3"/>
  <c r="K40" i="3"/>
  <c r="K93" i="3"/>
  <c r="K84" i="3"/>
  <c r="K7" i="3"/>
  <c r="CF27" i="3"/>
  <c r="L79" i="3"/>
  <c r="L13" i="3"/>
  <c r="L14" i="3"/>
  <c r="L9" i="3"/>
  <c r="K20" i="3"/>
  <c r="CF15" i="3" s="1"/>
  <c r="L61" i="3"/>
  <c r="K5" i="3"/>
  <c r="L93" i="3"/>
  <c r="L24" i="3"/>
  <c r="K94" i="3"/>
  <c r="K60" i="3"/>
  <c r="L87" i="3"/>
  <c r="L56" i="3"/>
  <c r="L84" i="3"/>
  <c r="L65" i="3"/>
  <c r="L12" i="3"/>
  <c r="K13" i="3"/>
  <c r="L17" i="3"/>
  <c r="CF13" i="3"/>
  <c r="K95" i="3"/>
  <c r="L23" i="3"/>
  <c r="K56" i="3"/>
  <c r="CF16" i="3"/>
  <c r="K30" i="3"/>
  <c r="K38" i="3"/>
  <c r="L32" i="3"/>
  <c r="K36" i="3"/>
  <c r="L73" i="3"/>
  <c r="CF38" i="3"/>
  <c r="K21" i="3"/>
  <c r="K85" i="3"/>
  <c r="CF48" i="3"/>
  <c r="L72" i="3"/>
  <c r="L41" i="3"/>
  <c r="K28" i="3"/>
  <c r="K14" i="3"/>
  <c r="L44" i="3"/>
  <c r="CF21" i="3"/>
  <c r="K52" i="3"/>
  <c r="K68" i="3"/>
  <c r="L62" i="3"/>
  <c r="CF9" i="3"/>
  <c r="K32" i="3"/>
  <c r="L86" i="3"/>
  <c r="L15" i="3"/>
  <c r="K45" i="3"/>
  <c r="K54" i="3"/>
  <c r="K69" i="3"/>
  <c r="L40" i="3"/>
  <c r="L70" i="3"/>
  <c r="L28" i="3"/>
  <c r="K72" i="3"/>
  <c r="K71" i="3"/>
  <c r="K8" i="3"/>
  <c r="K64" i="3"/>
  <c r="L48" i="3"/>
  <c r="CF41" i="3"/>
  <c r="L5" i="3"/>
  <c r="K31" i="3"/>
  <c r="K62" i="3"/>
  <c r="K65" i="3"/>
  <c r="L60" i="3"/>
  <c r="K37" i="3"/>
  <c r="K33" i="3"/>
  <c r="L38" i="3"/>
  <c r="L63" i="3"/>
  <c r="L46" i="3"/>
  <c r="CF23" i="3"/>
  <c r="L39" i="3"/>
  <c r="K4" i="3"/>
  <c r="L68" i="3"/>
  <c r="K48" i="3"/>
  <c r="L6" i="3"/>
  <c r="L71" i="3"/>
  <c r="K9" i="3"/>
  <c r="L4" i="3"/>
  <c r="L64" i="3"/>
  <c r="CF52" i="3"/>
  <c r="F8" i="51"/>
  <c r="CF26" i="3"/>
  <c r="K46" i="3"/>
  <c r="L49" i="3"/>
  <c r="K44" i="3"/>
  <c r="K76" i="3"/>
  <c r="CF42" i="3"/>
  <c r="K78" i="3"/>
  <c r="K25" i="3"/>
  <c r="L22" i="3"/>
  <c r="L20" i="3"/>
  <c r="CF50" i="3"/>
  <c r="F29" i="48" a="1"/>
  <c r="F29" i="48" s="1"/>
  <c r="E30" i="48"/>
  <c r="F12" i="51"/>
  <c r="F10" i="51"/>
  <c r="F11" i="51" s="1"/>
  <c r="F9" i="51"/>
  <c r="CF30" i="3" l="1"/>
  <c r="CF44" i="3"/>
  <c r="CF43" i="3"/>
  <c r="CF14" i="3"/>
  <c r="CF37" i="3"/>
  <c r="CF11" i="3"/>
  <c r="CF10" i="3"/>
  <c r="CF31" i="3"/>
  <c r="CF36" i="3"/>
  <c r="CG16" i="3"/>
  <c r="CF19" i="3"/>
  <c r="CF20" i="3"/>
  <c r="CG33" i="3"/>
  <c r="CG24" i="3"/>
  <c r="CG13" i="3"/>
  <c r="CG51" i="3"/>
  <c r="CG22" i="3"/>
  <c r="CG39" i="3"/>
  <c r="CG28" i="3"/>
  <c r="CG8" i="3"/>
  <c r="CG53" i="3"/>
  <c r="CG35" i="3"/>
  <c r="CG18" i="3"/>
  <c r="CG9" i="3"/>
  <c r="CG42" i="3"/>
  <c r="CG23" i="3"/>
  <c r="CG21" i="3"/>
  <c r="CG32" i="3"/>
  <c r="CG12" i="3"/>
  <c r="CG52" i="3"/>
  <c r="CG50" i="3"/>
  <c r="CG34" i="3"/>
  <c r="CG6" i="3"/>
  <c r="CG49" i="3"/>
  <c r="CG41" i="3"/>
  <c r="CG7" i="3"/>
  <c r="CG45" i="3"/>
  <c r="CG26" i="3"/>
  <c r="CG25" i="3"/>
  <c r="CG17" i="3"/>
  <c r="CG47" i="3"/>
  <c r="CG46" i="3"/>
  <c r="CG38" i="3"/>
  <c r="CG48" i="3"/>
  <c r="CG27" i="3"/>
  <c r="CG40" i="3"/>
  <c r="CG29" i="3"/>
  <c r="F30" i="48" a="1"/>
  <c r="F30" i="48" s="1"/>
  <c r="E31" i="48"/>
  <c r="CG20" i="3" l="1"/>
  <c r="CG37" i="3"/>
  <c r="CG30" i="3"/>
  <c r="CG14" i="3"/>
  <c r="CG15" i="3"/>
  <c r="CG11" i="3"/>
  <c r="CG36" i="3"/>
  <c r="CG10" i="3"/>
  <c r="CG19" i="3"/>
  <c r="CG44" i="3"/>
  <c r="CG31" i="3"/>
  <c r="CG43" i="3"/>
  <c r="E32" i="48"/>
  <c r="F31" i="48" a="1"/>
  <c r="F31" i="48" s="1"/>
  <c r="CH15" i="3" l="1"/>
  <c r="CK15" i="3" s="1"/>
  <c r="CH18" i="3"/>
  <c r="O32" i="3" s="1"/>
  <c r="CH38" i="3"/>
  <c r="CJ38" i="3" s="1"/>
  <c r="CH47" i="3"/>
  <c r="CJ47" i="3" s="1"/>
  <c r="CH21" i="3"/>
  <c r="CJ21" i="3" s="1"/>
  <c r="CH20" i="3"/>
  <c r="O33" i="3" s="1"/>
  <c r="CH17" i="3"/>
  <c r="CK17" i="3" s="1"/>
  <c r="CH34" i="3"/>
  <c r="CJ34" i="3" s="1"/>
  <c r="CH37" i="3"/>
  <c r="CI37" i="3" s="1"/>
  <c r="CH23" i="3"/>
  <c r="CI23" i="3" s="1"/>
  <c r="CH16" i="3"/>
  <c r="O23" i="3" s="1"/>
  <c r="CH50" i="3"/>
  <c r="N92" i="3" s="1"/>
  <c r="CH8" i="3"/>
  <c r="CK8" i="3" s="1"/>
  <c r="CH26" i="3"/>
  <c r="CL26" i="3" s="1"/>
  <c r="CH39" i="3"/>
  <c r="N73" i="3" s="1"/>
  <c r="CH30" i="3"/>
  <c r="N52" i="3" s="1"/>
  <c r="CH41" i="3"/>
  <c r="CK41" i="3" s="1"/>
  <c r="CH52" i="3"/>
  <c r="O94" i="3" s="1"/>
  <c r="CH46" i="3"/>
  <c r="CL46" i="3" s="1"/>
  <c r="CH10" i="3"/>
  <c r="O16" i="3" s="1"/>
  <c r="CH12" i="3"/>
  <c r="O17" i="3" s="1"/>
  <c r="CH35" i="3"/>
  <c r="CI35" i="3" s="1"/>
  <c r="CH36" i="3"/>
  <c r="O64" i="3" s="1"/>
  <c r="CH48" i="3"/>
  <c r="O89" i="3" s="1"/>
  <c r="CH33" i="3"/>
  <c r="CJ33" i="3" s="1"/>
  <c r="CH27" i="3"/>
  <c r="CH28" i="3"/>
  <c r="CL28" i="3" s="1"/>
  <c r="CH29" i="3"/>
  <c r="CK29" i="3" s="1"/>
  <c r="CH31" i="3"/>
  <c r="N56" i="3" s="1"/>
  <c r="CH51" i="3"/>
  <c r="CL51" i="3" s="1"/>
  <c r="CH53" i="3"/>
  <c r="CK53" i="3" s="1"/>
  <c r="CH7" i="3"/>
  <c r="CH6" i="3"/>
  <c r="CI6" i="3" s="1"/>
  <c r="CH42" i="3"/>
  <c r="CL42" i="3" s="1"/>
  <c r="CH49" i="3"/>
  <c r="N87" i="3" s="1"/>
  <c r="CH24" i="3"/>
  <c r="CI24" i="3" s="1"/>
  <c r="CH13" i="3"/>
  <c r="CK13" i="3" s="1"/>
  <c r="CH43" i="3"/>
  <c r="N80" i="3" s="1"/>
  <c r="CH40" i="3"/>
  <c r="CI40" i="3" s="1"/>
  <c r="CH22" i="3"/>
  <c r="CJ22" i="3" s="1"/>
  <c r="CH19" i="3"/>
  <c r="N33" i="3" s="1"/>
  <c r="CJ20" i="3" s="1"/>
  <c r="CH25" i="3"/>
  <c r="CK25" i="3" s="1"/>
  <c r="CH44" i="3"/>
  <c r="N77" i="3" s="1"/>
  <c r="CH32" i="3"/>
  <c r="CL32" i="3" s="1"/>
  <c r="CH11" i="3"/>
  <c r="N17" i="3" s="1"/>
  <c r="CH45" i="3"/>
  <c r="CK45" i="3" s="1"/>
  <c r="CH9" i="3"/>
  <c r="N6" i="3" s="1"/>
  <c r="CH14" i="3"/>
  <c r="N23" i="3" s="1"/>
  <c r="F32" i="48" a="1"/>
  <c r="F32" i="48" s="1"/>
  <c r="E33" i="48"/>
  <c r="N25" i="3" l="1"/>
  <c r="CI21" i="3"/>
  <c r="N30" i="3"/>
  <c r="CK20" i="3" s="1"/>
  <c r="N29" i="3"/>
  <c r="CJ18" i="3"/>
  <c r="N7" i="3"/>
  <c r="CI52" i="3"/>
  <c r="CK47" i="3"/>
  <c r="O87" i="3"/>
  <c r="CK18" i="3"/>
  <c r="O30" i="3"/>
  <c r="CI9" i="3"/>
  <c r="O15" i="3"/>
  <c r="CI10" i="3" s="1"/>
  <c r="CI38" i="3"/>
  <c r="CK21" i="3"/>
  <c r="CI46" i="3"/>
  <c r="CJ17" i="3"/>
  <c r="CL21" i="3"/>
  <c r="N32" i="3"/>
  <c r="O29" i="3"/>
  <c r="CI20" i="3" s="1"/>
  <c r="CL20" i="3" s="1"/>
  <c r="CJ23" i="3"/>
  <c r="CI34" i="3"/>
  <c r="N15" i="3"/>
  <c r="CI12" i="3"/>
  <c r="N53" i="3"/>
  <c r="N54" i="3"/>
  <c r="CI32" i="3"/>
  <c r="O56" i="3"/>
  <c r="CJ31" i="3" s="1"/>
  <c r="CJ9" i="3"/>
  <c r="CL18" i="3"/>
  <c r="CJ32" i="3"/>
  <c r="N4" i="3"/>
  <c r="O72" i="3"/>
  <c r="O20" i="3"/>
  <c r="CJ14" i="3" s="1"/>
  <c r="CK30" i="3"/>
  <c r="O5" i="3"/>
  <c r="O22" i="3"/>
  <c r="CK42" i="3"/>
  <c r="N28" i="3"/>
  <c r="CK19" i="3" s="1"/>
  <c r="O57" i="3"/>
  <c r="CL38" i="3"/>
  <c r="CK38" i="3"/>
  <c r="CL45" i="3"/>
  <c r="O12" i="3"/>
  <c r="CJ10" i="3" s="1"/>
  <c r="N70" i="3"/>
  <c r="O14" i="3"/>
  <c r="CI18" i="3"/>
  <c r="O77" i="3"/>
  <c r="CI44" i="3" s="1"/>
  <c r="CI17" i="3"/>
  <c r="CI16" i="3"/>
  <c r="CI45" i="3"/>
  <c r="O95" i="3"/>
  <c r="CI11" i="3"/>
  <c r="CI47" i="3"/>
  <c r="N89" i="3"/>
  <c r="N88" i="3"/>
  <c r="N63" i="3"/>
  <c r="N39" i="3"/>
  <c r="N79" i="3"/>
  <c r="CI43" i="3" s="1"/>
  <c r="O97" i="3"/>
  <c r="N12" i="3"/>
  <c r="CJ11" i="3" s="1"/>
  <c r="O21" i="3"/>
  <c r="N60" i="3"/>
  <c r="N81" i="3"/>
  <c r="CL16" i="3"/>
  <c r="CJ49" i="3"/>
  <c r="N5" i="3"/>
  <c r="CJ19" i="3"/>
  <c r="CJ8" i="3"/>
  <c r="CL49" i="3"/>
  <c r="CK49" i="3"/>
  <c r="CI28" i="3"/>
  <c r="CJ46" i="3"/>
  <c r="N13" i="3"/>
  <c r="O7" i="3"/>
  <c r="N31" i="3"/>
  <c r="CI19" i="3" s="1"/>
  <c r="CI22" i="3"/>
  <c r="N62" i="3"/>
  <c r="CK36" i="3" s="1"/>
  <c r="CJ50" i="3"/>
  <c r="CL9" i="3"/>
  <c r="N21" i="3"/>
  <c r="CL17" i="3"/>
  <c r="O25" i="3"/>
  <c r="N93" i="3"/>
  <c r="N68" i="3"/>
  <c r="CI49" i="3"/>
  <c r="CL47" i="3"/>
  <c r="O65" i="3"/>
  <c r="CK37" i="3" s="1"/>
  <c r="CK52" i="3"/>
  <c r="O84" i="3"/>
  <c r="N94" i="3"/>
  <c r="CJ52" i="3" s="1"/>
  <c r="CI50" i="3"/>
  <c r="O36" i="3"/>
  <c r="CJ26" i="3"/>
  <c r="CI26" i="3"/>
  <c r="CJ29" i="3"/>
  <c r="CL39" i="3"/>
  <c r="O46" i="3"/>
  <c r="CI39" i="3"/>
  <c r="CJ39" i="3"/>
  <c r="O49" i="3"/>
  <c r="N65" i="3"/>
  <c r="N36" i="3"/>
  <c r="O96" i="3"/>
  <c r="O28" i="3"/>
  <c r="N8" i="3"/>
  <c r="O38" i="3"/>
  <c r="N24" i="3"/>
  <c r="CI14" i="3" s="1"/>
  <c r="CJ16" i="3"/>
  <c r="CK34" i="3"/>
  <c r="CI8" i="3"/>
  <c r="N97" i="3"/>
  <c r="CK50" i="3"/>
  <c r="O41" i="3"/>
  <c r="N47" i="3"/>
  <c r="O40" i="3"/>
  <c r="O80" i="3"/>
  <c r="CJ43" i="3" s="1"/>
  <c r="O45" i="3"/>
  <c r="CJ25" i="3"/>
  <c r="CJ44" i="3"/>
  <c r="O61" i="3"/>
  <c r="CK32" i="3"/>
  <c r="O78" i="3"/>
  <c r="O9" i="3"/>
  <c r="CK23" i="3"/>
  <c r="CK22" i="3"/>
  <c r="CL23" i="3"/>
  <c r="O13" i="3"/>
  <c r="N46" i="3"/>
  <c r="O54" i="3"/>
  <c r="N40" i="3"/>
  <c r="O31" i="3"/>
  <c r="CK9" i="3"/>
  <c r="CJ12" i="3"/>
  <c r="N22" i="3"/>
  <c r="CK16" i="3"/>
  <c r="N44" i="3"/>
  <c r="CL34" i="3"/>
  <c r="O39" i="3"/>
  <c r="CL12" i="3"/>
  <c r="CK26" i="3"/>
  <c r="CL35" i="3"/>
  <c r="CK48" i="3"/>
  <c r="N20" i="3"/>
  <c r="CJ15" i="3" s="1"/>
  <c r="CJ40" i="3"/>
  <c r="CJ24" i="3"/>
  <c r="CJ13" i="3"/>
  <c r="O8" i="3"/>
  <c r="O62" i="3"/>
  <c r="CI27" i="3"/>
  <c r="CL27" i="3"/>
  <c r="O47" i="3"/>
  <c r="CK27" i="3"/>
  <c r="O44" i="3"/>
  <c r="CJ27" i="3"/>
  <c r="CL24" i="3"/>
  <c r="N85" i="3"/>
  <c r="O24" i="3"/>
  <c r="N69" i="3"/>
  <c r="CI33" i="3"/>
  <c r="CK33" i="3"/>
  <c r="N57" i="3"/>
  <c r="CI30" i="3" s="1"/>
  <c r="N55" i="3"/>
  <c r="CI31" i="3" s="1"/>
  <c r="O53" i="3"/>
  <c r="N86" i="3"/>
  <c r="CJ48" i="3"/>
  <c r="CJ35" i="3"/>
  <c r="O4" i="3"/>
  <c r="CK7" i="3"/>
  <c r="CJ7" i="3"/>
  <c r="N9" i="3"/>
  <c r="O6" i="3"/>
  <c r="CI7" i="3"/>
  <c r="CL7" i="3"/>
  <c r="CI48" i="3"/>
  <c r="CK14" i="3"/>
  <c r="CL40" i="3"/>
  <c r="O63" i="3"/>
  <c r="CK35" i="3"/>
  <c r="O86" i="3"/>
  <c r="N37" i="3"/>
  <c r="CK46" i="3"/>
  <c r="N61" i="3"/>
  <c r="O81" i="3"/>
  <c r="N78" i="3"/>
  <c r="CK44" i="3" s="1"/>
  <c r="CK40" i="3"/>
  <c r="CL48" i="3"/>
  <c r="O73" i="3"/>
  <c r="CL33" i="3"/>
  <c r="CI42" i="3"/>
  <c r="O79" i="3"/>
  <c r="N64" i="3"/>
  <c r="O60" i="3"/>
  <c r="CJ45" i="3"/>
  <c r="CL13" i="3"/>
  <c r="CI36" i="3"/>
  <c r="N96" i="3"/>
  <c r="N95" i="3"/>
  <c r="O93" i="3"/>
  <c r="CI53" i="3"/>
  <c r="CL53" i="3"/>
  <c r="CJ41" i="3"/>
  <c r="N71" i="3"/>
  <c r="CL41" i="3"/>
  <c r="N72" i="3"/>
  <c r="CI41" i="3"/>
  <c r="O69" i="3"/>
  <c r="CL6" i="3"/>
  <c r="O85" i="3"/>
  <c r="CJ6" i="3"/>
  <c r="CI13" i="3"/>
  <c r="CJ53" i="3"/>
  <c r="CJ42" i="3"/>
  <c r="N45" i="3"/>
  <c r="O92" i="3"/>
  <c r="CJ51" i="3"/>
  <c r="CK51" i="3"/>
  <c r="CI51" i="3"/>
  <c r="O70" i="3"/>
  <c r="N14" i="3"/>
  <c r="CK11" i="3" s="1"/>
  <c r="CL8" i="3"/>
  <c r="N16" i="3"/>
  <c r="CK10" i="3" s="1"/>
  <c r="CK12" i="3"/>
  <c r="O76" i="3"/>
  <c r="N48" i="3"/>
  <c r="O55" i="3"/>
  <c r="CK31" i="3"/>
  <c r="O52" i="3"/>
  <c r="CK39" i="3"/>
  <c r="O68" i="3"/>
  <c r="O71" i="3"/>
  <c r="CK24" i="3"/>
  <c r="CK6" i="3"/>
  <c r="N84" i="3"/>
  <c r="O88" i="3"/>
  <c r="N38" i="3"/>
  <c r="O37" i="3"/>
  <c r="CI25" i="3"/>
  <c r="CL25" i="3"/>
  <c r="N41" i="3"/>
  <c r="CL29" i="3"/>
  <c r="CI29" i="3"/>
  <c r="N49" i="3"/>
  <c r="N76" i="3"/>
  <c r="CK43" i="3" s="1"/>
  <c r="CL22" i="3"/>
  <c r="CJ28" i="3"/>
  <c r="O48" i="3"/>
  <c r="CK28" i="3"/>
  <c r="CL52" i="3"/>
  <c r="CL50" i="3"/>
  <c r="E34" i="48"/>
  <c r="F33" i="48" a="1"/>
  <c r="F33" i="48" s="1"/>
  <c r="CI15" i="3" l="1"/>
  <c r="CL15" i="3" s="1"/>
  <c r="CL31" i="3"/>
  <c r="CL11" i="3"/>
  <c r="CL10" i="3"/>
  <c r="CJ37" i="3"/>
  <c r="CL37" i="3" s="1"/>
  <c r="CL19" i="3"/>
  <c r="CJ30" i="3"/>
  <c r="CL30" i="3" s="1"/>
  <c r="CJ36" i="3"/>
  <c r="CL36" i="3" s="1"/>
  <c r="CL14" i="3"/>
  <c r="CL44" i="3"/>
  <c r="CL43" i="3"/>
  <c r="CM26" i="3"/>
  <c r="CM51" i="3"/>
  <c r="CM46" i="3"/>
  <c r="CM42" i="3"/>
  <c r="CM29" i="3"/>
  <c r="CM48" i="3"/>
  <c r="CM6" i="3"/>
  <c r="CM35" i="3"/>
  <c r="CM9" i="3"/>
  <c r="CM53" i="3"/>
  <c r="CM24" i="3"/>
  <c r="CM41" i="3"/>
  <c r="CM21" i="3"/>
  <c r="CM38" i="3"/>
  <c r="CM23" i="3"/>
  <c r="CM40" i="3"/>
  <c r="CM17" i="3"/>
  <c r="CM25" i="3"/>
  <c r="CM12" i="3"/>
  <c r="CM34" i="3"/>
  <c r="CM39" i="3"/>
  <c r="CM32" i="3"/>
  <c r="CM33" i="3"/>
  <c r="CM8" i="3"/>
  <c r="CM18" i="3"/>
  <c r="CM7" i="3"/>
  <c r="CM27" i="3"/>
  <c r="CM16" i="3"/>
  <c r="CM47" i="3"/>
  <c r="CM49" i="3"/>
  <c r="CM13" i="3"/>
  <c r="CM22" i="3"/>
  <c r="CM45" i="3"/>
  <c r="CM28" i="3"/>
  <c r="CM50" i="3"/>
  <c r="CM52" i="3"/>
  <c r="E35" i="48"/>
  <c r="F34" i="48" a="1"/>
  <c r="F34" i="48" s="1"/>
  <c r="CM10" i="3" l="1"/>
  <c r="CM37" i="3"/>
  <c r="CM20" i="3"/>
  <c r="CM44" i="3"/>
  <c r="CM31" i="3"/>
  <c r="CM15" i="3"/>
  <c r="CM30" i="3"/>
  <c r="CM14" i="3"/>
  <c r="CM36" i="3"/>
  <c r="CM11" i="3"/>
  <c r="CM43" i="3"/>
  <c r="CM19" i="3"/>
  <c r="F35" i="48" a="1"/>
  <c r="F35" i="48" s="1"/>
  <c r="E36" i="48"/>
  <c r="CN31" i="3" l="1"/>
  <c r="R55" i="3" s="1"/>
  <c r="CN43" i="3"/>
  <c r="Q80" i="3" s="1"/>
  <c r="CN22" i="3"/>
  <c r="CQ22" i="3" s="1"/>
  <c r="CN36" i="3"/>
  <c r="R62" i="3" s="1"/>
  <c r="CN18" i="3"/>
  <c r="CO18" i="3" s="1"/>
  <c r="CN21" i="3"/>
  <c r="CO21" i="3" s="1"/>
  <c r="CN51" i="3"/>
  <c r="Q97" i="3" s="1"/>
  <c r="CN10" i="3"/>
  <c r="Q12" i="3" s="1"/>
  <c r="CN26" i="3"/>
  <c r="CQ26" i="3" s="1"/>
  <c r="CN30" i="3"/>
  <c r="Q54" i="3" s="1"/>
  <c r="CN47" i="3"/>
  <c r="Q89" i="3" s="1"/>
  <c r="CN24" i="3"/>
  <c r="CP24" i="3" s="1"/>
  <c r="CN48" i="3"/>
  <c r="CP48" i="3" s="1"/>
  <c r="CN16" i="3"/>
  <c r="CP16" i="3" s="1"/>
  <c r="CN39" i="3"/>
  <c r="CO39" i="3" s="1"/>
  <c r="CN6" i="3"/>
  <c r="R8" i="3" s="1"/>
  <c r="CN44" i="3"/>
  <c r="R80" i="3" s="1"/>
  <c r="CN15" i="3"/>
  <c r="R22" i="3" s="1"/>
  <c r="CN23" i="3"/>
  <c r="CO23" i="3" s="1"/>
  <c r="CN53" i="3"/>
  <c r="Q96" i="3" s="1"/>
  <c r="CN9" i="3"/>
  <c r="CQ9" i="3" s="1"/>
  <c r="CN14" i="3"/>
  <c r="Q23" i="3" s="1"/>
  <c r="CN41" i="3"/>
  <c r="Q72" i="3" s="1"/>
  <c r="CN8" i="3"/>
  <c r="R9" i="3" s="1"/>
  <c r="CN40" i="3"/>
  <c r="R73" i="3" s="1"/>
  <c r="CN27" i="3"/>
  <c r="CP27" i="3" s="1"/>
  <c r="CN37" i="3"/>
  <c r="Q63" i="3" s="1"/>
  <c r="CN34" i="3"/>
  <c r="CP34" i="3" s="1"/>
  <c r="CN38" i="3"/>
  <c r="R72" i="3" s="1"/>
  <c r="CN13" i="3"/>
  <c r="R13" i="3" s="1"/>
  <c r="CN46" i="3"/>
  <c r="CP46" i="3" s="1"/>
  <c r="CN11" i="3"/>
  <c r="R12" i="3" s="1"/>
  <c r="CN33" i="3"/>
  <c r="Q57" i="3" s="1"/>
  <c r="CN50" i="3"/>
  <c r="R96" i="3" s="1"/>
  <c r="CN28" i="3"/>
  <c r="CQ28" i="3" s="1"/>
  <c r="CN42" i="3"/>
  <c r="R81" i="3" s="1"/>
  <c r="CN32" i="3"/>
  <c r="CO32" i="3" s="1"/>
  <c r="CN12" i="3"/>
  <c r="CO12" i="3" s="1"/>
  <c r="CN45" i="3"/>
  <c r="CQ45" i="3" s="1"/>
  <c r="CN29" i="3"/>
  <c r="CO29" i="3" s="1"/>
  <c r="CN35" i="3"/>
  <c r="CO35" i="3" s="1"/>
  <c r="CN17" i="3"/>
  <c r="CO17" i="3" s="1"/>
  <c r="CN19" i="3"/>
  <c r="R31" i="3" s="1"/>
  <c r="CN25" i="3"/>
  <c r="CP25" i="3" s="1"/>
  <c r="CN52" i="3"/>
  <c r="R94" i="3" s="1"/>
  <c r="CN7" i="3"/>
  <c r="CP7" i="3" s="1"/>
  <c r="CN49" i="3"/>
  <c r="CO49" i="3" s="1"/>
  <c r="CN20" i="3"/>
  <c r="Q29" i="3" s="1"/>
  <c r="E37" i="48"/>
  <c r="F36" i="48" a="1"/>
  <c r="F36" i="48" s="1"/>
  <c r="R95" i="3" l="1"/>
  <c r="CO53" i="3"/>
  <c r="R76" i="3"/>
  <c r="R79" i="3"/>
  <c r="Q32" i="3"/>
  <c r="CP9" i="3"/>
  <c r="CQ6" i="3"/>
  <c r="CP22" i="3"/>
  <c r="Q7" i="3"/>
  <c r="Q6" i="3"/>
  <c r="Q93" i="3"/>
  <c r="R41" i="3"/>
  <c r="CP41" i="3"/>
  <c r="CP51" i="3"/>
  <c r="Q38" i="3"/>
  <c r="Q40" i="3"/>
  <c r="CP28" i="3"/>
  <c r="CO9" i="3"/>
  <c r="R32" i="3"/>
  <c r="CO51" i="3"/>
  <c r="Q78" i="3"/>
  <c r="CO8" i="3"/>
  <c r="R92" i="3"/>
  <c r="Q5" i="3"/>
  <c r="CP21" i="3"/>
  <c r="R17" i="3"/>
  <c r="R15" i="3"/>
  <c r="Q81" i="3"/>
  <c r="CQ42" i="3"/>
  <c r="R16" i="3"/>
  <c r="CQ51" i="3"/>
  <c r="R36" i="3"/>
  <c r="CP18" i="3"/>
  <c r="CO45" i="3"/>
  <c r="CP33" i="3"/>
  <c r="CQ18" i="3"/>
  <c r="R64" i="3"/>
  <c r="R39" i="3"/>
  <c r="Q28" i="3"/>
  <c r="Q25" i="3"/>
  <c r="R48" i="3"/>
  <c r="Q30" i="3"/>
  <c r="R46" i="3"/>
  <c r="R33" i="3"/>
  <c r="R38" i="3"/>
  <c r="CO28" i="3"/>
  <c r="R24" i="3"/>
  <c r="CQ47" i="3"/>
  <c r="CO48" i="3"/>
  <c r="R7" i="3"/>
  <c r="R84" i="3"/>
  <c r="CO42" i="3"/>
  <c r="Q8" i="3"/>
  <c r="R70" i="3"/>
  <c r="CO26" i="3"/>
  <c r="CP47" i="3"/>
  <c r="CP12" i="3"/>
  <c r="CO24" i="3"/>
  <c r="Q15" i="3"/>
  <c r="Q44" i="3"/>
  <c r="R49" i="3"/>
  <c r="R56" i="3"/>
  <c r="Q45" i="3"/>
  <c r="Q20" i="3"/>
  <c r="R87" i="3"/>
  <c r="R54" i="3"/>
  <c r="CQ32" i="3"/>
  <c r="R61" i="3"/>
  <c r="CQ21" i="3"/>
  <c r="R97" i="3"/>
  <c r="R5" i="3"/>
  <c r="CQ12" i="3"/>
  <c r="CO47" i="3"/>
  <c r="R71" i="3"/>
  <c r="R86" i="3"/>
  <c r="R52" i="3"/>
  <c r="CO22" i="3"/>
  <c r="CP26" i="3"/>
  <c r="CP23" i="3"/>
  <c r="CP53" i="3"/>
  <c r="CO27" i="3"/>
  <c r="R14" i="3"/>
  <c r="Q56" i="3"/>
  <c r="CO25" i="3"/>
  <c r="Q61" i="3"/>
  <c r="CP6" i="3"/>
  <c r="Q17" i="3"/>
  <c r="CQ53" i="3"/>
  <c r="Q84" i="3"/>
  <c r="Q60" i="3"/>
  <c r="Q49" i="3"/>
  <c r="Q95" i="3"/>
  <c r="Q64" i="3"/>
  <c r="Q79" i="3"/>
  <c r="Q31" i="3"/>
  <c r="R30" i="3"/>
  <c r="Q77" i="3"/>
  <c r="Q37" i="3"/>
  <c r="R29" i="3"/>
  <c r="R93" i="3"/>
  <c r="CQ25" i="3"/>
  <c r="R89" i="3"/>
  <c r="Q85" i="3"/>
  <c r="R37" i="3"/>
  <c r="CQ16" i="3"/>
  <c r="CO52" i="3"/>
  <c r="CP52" i="3"/>
  <c r="CQ46" i="3"/>
  <c r="CP8" i="3"/>
  <c r="CP39" i="3"/>
  <c r="Q62" i="3"/>
  <c r="CQ39" i="3"/>
  <c r="R77" i="3"/>
  <c r="R88" i="3"/>
  <c r="R60" i="3"/>
  <c r="CQ24" i="3"/>
  <c r="CO46" i="3"/>
  <c r="R20" i="3"/>
  <c r="R57" i="3"/>
  <c r="R40" i="3"/>
  <c r="Q53" i="3"/>
  <c r="Q36" i="3"/>
  <c r="CO7" i="3"/>
  <c r="Q41" i="3"/>
  <c r="Q46" i="3"/>
  <c r="R25" i="3"/>
  <c r="CO41" i="3"/>
  <c r="CQ8" i="3"/>
  <c r="CP32" i="3"/>
  <c r="Q47" i="3"/>
  <c r="CQ23" i="3"/>
  <c r="CP42" i="3"/>
  <c r="Q76" i="3"/>
  <c r="R78" i="3"/>
  <c r="CO16" i="3"/>
  <c r="R69" i="3"/>
  <c r="R28" i="3"/>
  <c r="R68" i="3"/>
  <c r="Q4" i="3"/>
  <c r="Q86" i="3"/>
  <c r="CO6" i="3"/>
  <c r="Q39" i="3"/>
  <c r="Q52" i="3"/>
  <c r="Q73" i="3"/>
  <c r="CQ7" i="3"/>
  <c r="Q21" i="3"/>
  <c r="R23" i="3"/>
  <c r="CP35" i="3"/>
  <c r="CQ48" i="3"/>
  <c r="R63" i="3"/>
  <c r="CP50" i="3"/>
  <c r="Q94" i="3"/>
  <c r="CO34" i="3"/>
  <c r="CP45" i="3"/>
  <c r="R4" i="3"/>
  <c r="CO38" i="3"/>
  <c r="Q55" i="3"/>
  <c r="Q69" i="3"/>
  <c r="R65" i="3"/>
  <c r="R53" i="3"/>
  <c r="Q24" i="3"/>
  <c r="CQ34" i="3"/>
  <c r="Q13" i="3"/>
  <c r="CQ29" i="3"/>
  <c r="Q9" i="3"/>
  <c r="CQ38" i="3"/>
  <c r="Q22" i="3"/>
  <c r="Q33" i="3"/>
  <c r="CP38" i="3"/>
  <c r="CQ40" i="3"/>
  <c r="R21" i="3"/>
  <c r="CP17" i="3"/>
  <c r="Q14" i="3"/>
  <c r="CP13" i="3"/>
  <c r="CQ13" i="3"/>
  <c r="CO13" i="3"/>
  <c r="Q16" i="3"/>
  <c r="CQ27" i="3"/>
  <c r="R47" i="3"/>
  <c r="Q48" i="3"/>
  <c r="Q92" i="3"/>
  <c r="Q65" i="3"/>
  <c r="CP40" i="3"/>
  <c r="CQ17" i="3"/>
  <c r="R85" i="3"/>
  <c r="R6" i="3"/>
  <c r="R45" i="3"/>
  <c r="Q88" i="3"/>
  <c r="CQ33" i="3"/>
  <c r="CQ35" i="3"/>
  <c r="CQ41" i="3"/>
  <c r="Q71" i="3"/>
  <c r="CP49" i="3"/>
  <c r="CO33" i="3"/>
  <c r="CQ49" i="3"/>
  <c r="R44" i="3"/>
  <c r="CP29" i="3"/>
  <c r="Q68" i="3"/>
  <c r="Q87" i="3"/>
  <c r="Q70" i="3"/>
  <c r="CO40" i="3"/>
  <c r="CQ52" i="3"/>
  <c r="CO50" i="3"/>
  <c r="CQ50" i="3" s="1"/>
  <c r="E38" i="48"/>
  <c r="F37" i="48" a="1"/>
  <c r="F37" i="48" s="1"/>
  <c r="CP14" i="3" l="1"/>
  <c r="CP19" i="3"/>
  <c r="CP43" i="3"/>
  <c r="CO11" i="3"/>
  <c r="CO43" i="3"/>
  <c r="CP36" i="3"/>
  <c r="CO15" i="3"/>
  <c r="CP10" i="3"/>
  <c r="CO14" i="3"/>
  <c r="CO30" i="3"/>
  <c r="CP44" i="3"/>
  <c r="CO31" i="3"/>
  <c r="CP30" i="3"/>
  <c r="CP31" i="3"/>
  <c r="CO19" i="3"/>
  <c r="CO36" i="3"/>
  <c r="CP11" i="3"/>
  <c r="CP20" i="3"/>
  <c r="CP15" i="3"/>
  <c r="CO20" i="3"/>
  <c r="CO37" i="3"/>
  <c r="CO44" i="3"/>
  <c r="CR29" i="3"/>
  <c r="CO10" i="3"/>
  <c r="CP37" i="3"/>
  <c r="CR16" i="3"/>
  <c r="CR46" i="3"/>
  <c r="CR13" i="3"/>
  <c r="CR34" i="3"/>
  <c r="CR35" i="3"/>
  <c r="CR45" i="3"/>
  <c r="CR39" i="3"/>
  <c r="CR53" i="3"/>
  <c r="CR27" i="3"/>
  <c r="CR8" i="3"/>
  <c r="CR48" i="3"/>
  <c r="CR42" i="3"/>
  <c r="CR21" i="3"/>
  <c r="CR12" i="3"/>
  <c r="CR28" i="3"/>
  <c r="CR22" i="3"/>
  <c r="CR40" i="3"/>
  <c r="CR24" i="3"/>
  <c r="CR7" i="3"/>
  <c r="CR41" i="3"/>
  <c r="CR47" i="3"/>
  <c r="CR18" i="3"/>
  <c r="CR32" i="3"/>
  <c r="CR33" i="3"/>
  <c r="CR49" i="3"/>
  <c r="CR25" i="3"/>
  <c r="CR6" i="3"/>
  <c r="CR17" i="3"/>
  <c r="CR26" i="3"/>
  <c r="CR38" i="3"/>
  <c r="CR23" i="3"/>
  <c r="CR51" i="3"/>
  <c r="CR9" i="3"/>
  <c r="CR50" i="3"/>
  <c r="CR52" i="3"/>
  <c r="E39" i="48"/>
  <c r="F38" i="48" a="1"/>
  <c r="F38" i="48" s="1"/>
  <c r="CQ14" i="3" l="1"/>
  <c r="CQ31" i="3"/>
  <c r="CQ19" i="3"/>
  <c r="CQ15" i="3"/>
  <c r="CQ43" i="3"/>
  <c r="CQ11" i="3"/>
  <c r="CQ44" i="3"/>
  <c r="CQ10" i="3"/>
  <c r="CQ36" i="3"/>
  <c r="CQ30" i="3"/>
  <c r="CQ20" i="3"/>
  <c r="CQ37" i="3"/>
  <c r="F39" i="48" a="1"/>
  <c r="F39" i="48" s="1"/>
  <c r="E40" i="48"/>
  <c r="CR31" i="3" l="1"/>
  <c r="CR20" i="3"/>
  <c r="CR44" i="3"/>
  <c r="CR30" i="3"/>
  <c r="CR36" i="3"/>
  <c r="CR10" i="3"/>
  <c r="CR11" i="3"/>
  <c r="CR19" i="3"/>
  <c r="CR43" i="3"/>
  <c r="CR37" i="3"/>
  <c r="CR15" i="3"/>
  <c r="CR14" i="3"/>
  <c r="F40" i="48" a="1"/>
  <c r="F40" i="48" s="1"/>
  <c r="E41" i="48"/>
  <c r="CS37" i="3" l="1"/>
  <c r="U61" i="3" s="1"/>
  <c r="CS25" i="3"/>
  <c r="U37" i="3" s="1"/>
  <c r="CS24" i="3"/>
  <c r="CT24" i="3" s="1"/>
  <c r="CS39" i="3"/>
  <c r="U68" i="3" s="1"/>
  <c r="CS47" i="3"/>
  <c r="T89" i="3" s="1"/>
  <c r="CS43" i="3"/>
  <c r="T80" i="3" s="1"/>
  <c r="CS42" i="3"/>
  <c r="U81" i="3" s="1"/>
  <c r="CS9" i="3"/>
  <c r="U5" i="3" s="1"/>
  <c r="CS45" i="3"/>
  <c r="T81" i="3" s="1"/>
  <c r="CS50" i="3"/>
  <c r="U96" i="3" s="1"/>
  <c r="CS29" i="3"/>
  <c r="T47" i="3" s="1"/>
  <c r="CS38" i="3"/>
  <c r="T70" i="3" s="1"/>
  <c r="CS46" i="3"/>
  <c r="U88" i="3" s="1"/>
  <c r="CS11" i="3"/>
  <c r="U14" i="3" s="1"/>
  <c r="CS51" i="3"/>
  <c r="T97" i="3" s="1"/>
  <c r="CS34" i="3"/>
  <c r="T60" i="3" s="1"/>
  <c r="CS31" i="3"/>
  <c r="U55" i="3" s="1"/>
  <c r="CS17" i="3"/>
  <c r="CT17" i="3" s="1"/>
  <c r="CS35" i="3"/>
  <c r="CT35" i="3" s="1"/>
  <c r="CS8" i="3"/>
  <c r="U9" i="3" s="1"/>
  <c r="CS21" i="3"/>
  <c r="T31" i="3" s="1"/>
  <c r="CS40" i="3"/>
  <c r="CT40" i="3" s="1"/>
  <c r="CS13" i="3"/>
  <c r="T14" i="3" s="1"/>
  <c r="CS10" i="3"/>
  <c r="U16" i="3" s="1"/>
  <c r="CS7" i="3"/>
  <c r="T9" i="3" s="1"/>
  <c r="CS32" i="3"/>
  <c r="T53" i="3" s="1"/>
  <c r="CS52" i="3"/>
  <c r="U97" i="3" s="1"/>
  <c r="CS20" i="3"/>
  <c r="T29" i="3" s="1"/>
  <c r="CS48" i="3"/>
  <c r="U89" i="3" s="1"/>
  <c r="CS49" i="3"/>
  <c r="U85" i="3" s="1"/>
  <c r="CS26" i="3"/>
  <c r="U49" i="3" s="1"/>
  <c r="CS53" i="3"/>
  <c r="T96" i="3" s="1"/>
  <c r="CS44" i="3"/>
  <c r="U80" i="3" s="1"/>
  <c r="CS23" i="3"/>
  <c r="U36" i="3" s="1"/>
  <c r="CS22" i="3"/>
  <c r="T36" i="3" s="1"/>
  <c r="CS33" i="3"/>
  <c r="U53" i="3" s="1"/>
  <c r="CS15" i="3"/>
  <c r="U22" i="3" s="1"/>
  <c r="CS19" i="3"/>
  <c r="U31" i="3" s="1"/>
  <c r="CS27" i="3"/>
  <c r="U44" i="3" s="1"/>
  <c r="CS18" i="3"/>
  <c r="CT18" i="3" s="1"/>
  <c r="CS41" i="3"/>
  <c r="T72" i="3" s="1"/>
  <c r="CS30" i="3"/>
  <c r="T52" i="3" s="1"/>
  <c r="CS16" i="3"/>
  <c r="T21" i="3" s="1"/>
  <c r="CS28" i="3"/>
  <c r="CT28" i="3" s="1"/>
  <c r="CS14" i="3"/>
  <c r="U24" i="3" s="1"/>
  <c r="CS36" i="3"/>
  <c r="U64" i="3" s="1"/>
  <c r="CS12" i="3"/>
  <c r="U15" i="3" s="1"/>
  <c r="CS6" i="3"/>
  <c r="CT6" i="3" s="1"/>
  <c r="T65" i="3"/>
  <c r="T63" i="3"/>
  <c r="E42" i="48"/>
  <c r="F41" i="48" a="1"/>
  <c r="F41" i="48" s="1"/>
  <c r="T62" i="3" l="1"/>
  <c r="CT25" i="3"/>
  <c r="U38" i="3"/>
  <c r="U92" i="3"/>
  <c r="T79" i="3"/>
  <c r="T15" i="3"/>
  <c r="U77" i="3"/>
  <c r="U79" i="3"/>
  <c r="T37" i="3"/>
  <c r="U84" i="3"/>
  <c r="CT45" i="3"/>
  <c r="T16" i="3"/>
  <c r="U76" i="3"/>
  <c r="U71" i="3"/>
  <c r="CT47" i="3"/>
  <c r="CT34" i="3"/>
  <c r="U87" i="3"/>
  <c r="U6" i="3"/>
  <c r="T92" i="3"/>
  <c r="T78" i="3"/>
  <c r="CT39" i="3"/>
  <c r="T39" i="3"/>
  <c r="U72" i="3"/>
  <c r="T6" i="3"/>
  <c r="U95" i="3"/>
  <c r="T41" i="3"/>
  <c r="T94" i="3"/>
  <c r="CT29" i="3"/>
  <c r="CT50" i="3"/>
  <c r="CT46" i="3"/>
  <c r="T86" i="3"/>
  <c r="T68" i="3"/>
  <c r="U12" i="3"/>
  <c r="T30" i="3"/>
  <c r="U94" i="3"/>
  <c r="T93" i="3"/>
  <c r="U40" i="3"/>
  <c r="CT23" i="3"/>
  <c r="T84" i="3"/>
  <c r="T22" i="3"/>
  <c r="T73" i="3"/>
  <c r="T17" i="3"/>
  <c r="CT38" i="3"/>
  <c r="CT42" i="3"/>
  <c r="T76" i="3"/>
  <c r="T8" i="3"/>
  <c r="CT53" i="3"/>
  <c r="CT13" i="3"/>
  <c r="U93" i="3"/>
  <c r="U63" i="3"/>
  <c r="U54" i="3"/>
  <c r="CT9" i="3"/>
  <c r="T55" i="3"/>
  <c r="U73" i="3"/>
  <c r="T7" i="3"/>
  <c r="U17" i="3"/>
  <c r="U70" i="3"/>
  <c r="T56" i="3"/>
  <c r="U60" i="3"/>
  <c r="U65" i="3"/>
  <c r="T48" i="3"/>
  <c r="T32" i="3"/>
  <c r="T57" i="3"/>
  <c r="U86" i="3"/>
  <c r="T64" i="3"/>
  <c r="CT36" i="3" s="1"/>
  <c r="T40" i="3"/>
  <c r="T69" i="3"/>
  <c r="T77" i="3"/>
  <c r="U7" i="3"/>
  <c r="T95" i="3"/>
  <c r="CT8" i="3"/>
  <c r="U29" i="3"/>
  <c r="CT33" i="3"/>
  <c r="CT21" i="3"/>
  <c r="T38" i="3"/>
  <c r="T24" i="3"/>
  <c r="T4" i="3"/>
  <c r="U52" i="3"/>
  <c r="T49" i="3"/>
  <c r="CT51" i="3"/>
  <c r="U30" i="3"/>
  <c r="U45" i="3"/>
  <c r="U21" i="3"/>
  <c r="U4" i="3"/>
  <c r="U41" i="3"/>
  <c r="T23" i="3"/>
  <c r="U56" i="3"/>
  <c r="U48" i="3"/>
  <c r="T5" i="3"/>
  <c r="U13" i="3"/>
  <c r="T12" i="3"/>
  <c r="U46" i="3"/>
  <c r="T44" i="3"/>
  <c r="T88" i="3"/>
  <c r="CT48" i="3"/>
  <c r="T20" i="3"/>
  <c r="CT7" i="3"/>
  <c r="T45" i="3"/>
  <c r="CT32" i="3"/>
  <c r="T71" i="3"/>
  <c r="CT49" i="3"/>
  <c r="CT52" i="3"/>
  <c r="T85" i="3"/>
  <c r="U8" i="3"/>
  <c r="U39" i="3"/>
  <c r="U33" i="3"/>
  <c r="T87" i="3"/>
  <c r="CT16" i="3"/>
  <c r="CT27" i="3"/>
  <c r="T54" i="3"/>
  <c r="U25" i="3"/>
  <c r="T33" i="3"/>
  <c r="U32" i="3"/>
  <c r="U28" i="3"/>
  <c r="CT41" i="3"/>
  <c r="U78" i="3"/>
  <c r="CT22" i="3"/>
  <c r="U57" i="3"/>
  <c r="U69" i="3"/>
  <c r="U47" i="3"/>
  <c r="T25" i="3"/>
  <c r="U20" i="3"/>
  <c r="CT26" i="3"/>
  <c r="T46" i="3"/>
  <c r="U23" i="3"/>
  <c r="T28" i="3"/>
  <c r="T61" i="3"/>
  <c r="T13" i="3"/>
  <c r="CT12" i="3"/>
  <c r="U62" i="3"/>
  <c r="F42" i="48" a="1"/>
  <c r="F42" i="48" s="1"/>
  <c r="E43" i="48"/>
  <c r="CT44" i="3" l="1"/>
  <c r="CT43" i="3"/>
  <c r="CT10" i="3"/>
  <c r="CT15" i="3"/>
  <c r="CT11" i="3"/>
  <c r="CT31" i="3"/>
  <c r="CU33" i="3"/>
  <c r="CT20" i="3"/>
  <c r="CT30" i="3"/>
  <c r="CT37" i="3"/>
  <c r="CU37" i="3" s="1"/>
  <c r="CU16" i="3"/>
  <c r="CU39" i="3"/>
  <c r="CT14" i="3"/>
  <c r="CU46" i="3"/>
  <c r="CT19" i="3"/>
  <c r="CU13" i="3"/>
  <c r="CU26" i="3"/>
  <c r="CU48" i="3"/>
  <c r="CU8" i="3"/>
  <c r="CU22" i="3"/>
  <c r="CU49" i="3"/>
  <c r="CU52" i="3"/>
  <c r="CU24" i="3"/>
  <c r="CU18" i="3"/>
  <c r="CU53" i="3"/>
  <c r="CU6" i="3"/>
  <c r="CU51" i="3"/>
  <c r="CU32" i="3"/>
  <c r="CU28" i="3"/>
  <c r="CU23" i="3"/>
  <c r="CU25" i="3"/>
  <c r="CU40" i="3"/>
  <c r="CU21" i="3"/>
  <c r="CU27" i="3"/>
  <c r="CU7" i="3"/>
  <c r="CU34" i="3"/>
  <c r="CU35" i="3"/>
  <c r="CU9" i="3"/>
  <c r="CU29" i="3"/>
  <c r="CU47" i="3"/>
  <c r="CU12" i="3"/>
  <c r="CU38" i="3"/>
  <c r="CU45" i="3"/>
  <c r="CU42" i="3"/>
  <c r="CU17" i="3"/>
  <c r="CU41" i="3"/>
  <c r="CU50" i="3"/>
  <c r="E44" i="48"/>
  <c r="F43" i="48" a="1"/>
  <c r="F43" i="48" s="1"/>
  <c r="CU11" i="3" l="1"/>
  <c r="CU30" i="3"/>
  <c r="CU31" i="3"/>
  <c r="CU14" i="3"/>
  <c r="CU20" i="3"/>
  <c r="CU36" i="3"/>
  <c r="CU43" i="3"/>
  <c r="CU44" i="3"/>
  <c r="CU15" i="3"/>
  <c r="CU19" i="3"/>
  <c r="CU10" i="3"/>
  <c r="F44" i="48" a="1"/>
  <c r="F44" i="48" s="1"/>
  <c r="E45" i="48"/>
  <c r="CV11" i="3" l="1"/>
  <c r="CW11" i="3" s="1"/>
  <c r="CV25" i="3"/>
  <c r="CW25" i="3" s="1"/>
  <c r="CV44" i="3"/>
  <c r="CW44" i="3" s="1"/>
  <c r="CV36" i="3"/>
  <c r="CW36" i="3" s="1"/>
  <c r="CV9" i="3"/>
  <c r="CW9" i="3" s="1"/>
  <c r="CV43" i="3"/>
  <c r="CW43" i="3" s="1"/>
  <c r="CV13" i="3"/>
  <c r="CW13" i="3" s="1"/>
  <c r="CV12" i="3"/>
  <c r="CW12" i="3" s="1"/>
  <c r="CV53" i="3"/>
  <c r="CW53" i="3" s="1"/>
  <c r="CV10" i="3"/>
  <c r="CW10" i="3" s="1"/>
  <c r="CV16" i="3"/>
  <c r="CW16" i="3" s="1"/>
  <c r="CV21" i="3"/>
  <c r="CW21" i="3" s="1"/>
  <c r="CV17" i="3"/>
  <c r="CW17" i="3" s="1"/>
  <c r="CV51" i="3"/>
  <c r="CW51" i="3" s="1"/>
  <c r="CV6" i="3"/>
  <c r="CW6" i="3" s="1"/>
  <c r="CV18" i="3"/>
  <c r="CW18" i="3" s="1"/>
  <c r="CV32" i="3"/>
  <c r="CW32" i="3" s="1"/>
  <c r="CV15" i="3"/>
  <c r="CW15" i="3" s="1"/>
  <c r="CV37" i="3"/>
  <c r="CW37" i="3" s="1"/>
  <c r="CV30" i="3"/>
  <c r="CW30" i="3" s="1"/>
  <c r="CV45" i="3"/>
  <c r="CW45" i="3" s="1"/>
  <c r="CV31" i="3"/>
  <c r="CW31" i="3" s="1"/>
  <c r="CV46" i="3"/>
  <c r="CW46" i="3" s="1"/>
  <c r="CV38" i="3"/>
  <c r="CW38" i="3" s="1"/>
  <c r="CV42" i="3"/>
  <c r="CW42" i="3" s="1"/>
  <c r="CV22" i="3"/>
  <c r="CW22" i="3" s="1"/>
  <c r="CV26" i="3"/>
  <c r="CW26" i="3" s="1"/>
  <c r="CV34" i="3"/>
  <c r="CW34" i="3" s="1"/>
  <c r="CV40" i="3"/>
  <c r="CW40" i="3" s="1"/>
  <c r="CV24" i="3"/>
  <c r="CW24" i="3" s="1"/>
  <c r="CV27" i="3"/>
  <c r="CW27" i="3" s="1"/>
  <c r="CV33" i="3"/>
  <c r="CW33" i="3" s="1"/>
  <c r="CV41" i="3"/>
  <c r="CW41" i="3" s="1"/>
  <c r="CV49" i="3"/>
  <c r="CW49" i="3" s="1"/>
  <c r="CV7" i="3"/>
  <c r="CW7" i="3" s="1"/>
  <c r="CV50" i="3"/>
  <c r="CW50" i="3" s="1"/>
  <c r="CV29" i="3"/>
  <c r="CW29" i="3" s="1"/>
  <c r="CV20" i="3"/>
  <c r="CW20" i="3" s="1"/>
  <c r="CV19" i="3"/>
  <c r="CW19" i="3" s="1"/>
  <c r="CV47" i="3"/>
  <c r="CW47" i="3" s="1"/>
  <c r="CV8" i="3"/>
  <c r="CW8" i="3" s="1"/>
  <c r="CV52" i="3"/>
  <c r="CW52" i="3" s="1"/>
  <c r="CV48" i="3"/>
  <c r="CW48" i="3" s="1"/>
  <c r="CV14" i="3"/>
  <c r="CW14" i="3" s="1"/>
  <c r="CV39" i="3"/>
  <c r="CW39" i="3" s="1"/>
  <c r="CV23" i="3"/>
  <c r="CW23" i="3" s="1"/>
  <c r="CV28" i="3"/>
  <c r="CW28" i="3" s="1"/>
  <c r="CV35" i="3"/>
  <c r="CW35" i="3" s="1"/>
  <c r="E46" i="48"/>
  <c r="F45" i="48" a="1"/>
  <c r="F45" i="48" s="1"/>
  <c r="CX44" i="3" l="1"/>
  <c r="CX28" i="3"/>
  <c r="CX40" i="3"/>
  <c r="CX45" i="3"/>
  <c r="CX38" i="3"/>
  <c r="CX23" i="3"/>
  <c r="CX47" i="3"/>
  <c r="CX16" i="3"/>
  <c r="CX9" i="3"/>
  <c r="CX21" i="3"/>
  <c r="CX17" i="3"/>
  <c r="CX8" i="3"/>
  <c r="CX42" i="3"/>
  <c r="CX46" i="3"/>
  <c r="CX15" i="3"/>
  <c r="CX33" i="3"/>
  <c r="CX50" i="3"/>
  <c r="CX53" i="3"/>
  <c r="CX25" i="3"/>
  <c r="CX35" i="3"/>
  <c r="CX30" i="3"/>
  <c r="CX18" i="3"/>
  <c r="CX10" i="3"/>
  <c r="CX34" i="3"/>
  <c r="CX52" i="3"/>
  <c r="CX32" i="3"/>
  <c r="CX7" i="3"/>
  <c r="CX22" i="3"/>
  <c r="CX13" i="3"/>
  <c r="CX12" i="3"/>
  <c r="CX51" i="3"/>
  <c r="CX27" i="3"/>
  <c r="CX6" i="3"/>
  <c r="CX48" i="3"/>
  <c r="CX49" i="3"/>
  <c r="CX20" i="3"/>
  <c r="CX36" i="3"/>
  <c r="CX11" i="3"/>
  <c r="CX24" i="3"/>
  <c r="CX43" i="3"/>
  <c r="CX26" i="3"/>
  <c r="CX29" i="3"/>
  <c r="CX19" i="3"/>
  <c r="CX14" i="3"/>
  <c r="CX41" i="3"/>
  <c r="CX39" i="3"/>
  <c r="CX31" i="3"/>
  <c r="CX37" i="3"/>
  <c r="E47" i="48"/>
  <c r="F46" i="48" a="1"/>
  <c r="F46" i="48" s="1"/>
  <c r="CY19" i="3" l="1"/>
  <c r="CZ19" i="3" s="1"/>
  <c r="CY11" i="3"/>
  <c r="CZ11" i="3" s="1"/>
  <c r="CY15" i="3"/>
  <c r="CZ15" i="3" s="1"/>
  <c r="CY29" i="3"/>
  <c r="CZ29" i="3" s="1"/>
  <c r="CY26" i="3"/>
  <c r="CZ26" i="3" s="1"/>
  <c r="CY52" i="3"/>
  <c r="CZ52" i="3" s="1"/>
  <c r="CY9" i="3"/>
  <c r="CZ9" i="3" s="1"/>
  <c r="CY48" i="3"/>
  <c r="CZ48" i="3" s="1"/>
  <c r="CY38" i="3"/>
  <c r="CZ38" i="3" s="1"/>
  <c r="CY53" i="3"/>
  <c r="CZ53" i="3" s="1"/>
  <c r="CY46" i="3"/>
  <c r="CZ46" i="3" s="1"/>
  <c r="CY24" i="3"/>
  <c r="CZ24" i="3" s="1"/>
  <c r="CY40" i="3"/>
  <c r="CZ40" i="3" s="1"/>
  <c r="CY36" i="3"/>
  <c r="CZ36" i="3" s="1"/>
  <c r="CY16" i="3"/>
  <c r="CZ16" i="3" s="1"/>
  <c r="CY31" i="3"/>
  <c r="CZ31" i="3" s="1"/>
  <c r="CY41" i="3"/>
  <c r="CZ41" i="3" s="1"/>
  <c r="CY22" i="3"/>
  <c r="CZ22" i="3" s="1"/>
  <c r="CY34" i="3"/>
  <c r="CZ34" i="3" s="1"/>
  <c r="CY17" i="3"/>
  <c r="CZ17" i="3" s="1"/>
  <c r="CY33" i="3"/>
  <c r="CZ33" i="3" s="1"/>
  <c r="CY7" i="3"/>
  <c r="CZ7" i="3" s="1"/>
  <c r="CY37" i="3"/>
  <c r="CZ37" i="3" s="1"/>
  <c r="CY35" i="3"/>
  <c r="CZ35" i="3" s="1"/>
  <c r="CY13" i="3"/>
  <c r="CZ13" i="3" s="1"/>
  <c r="CY51" i="3"/>
  <c r="CZ51" i="3" s="1"/>
  <c r="CY50" i="3"/>
  <c r="CZ50" i="3" s="1"/>
  <c r="CY12" i="3"/>
  <c r="CZ12" i="3" s="1"/>
  <c r="CY44" i="3"/>
  <c r="CZ44" i="3" s="1"/>
  <c r="CY43" i="3"/>
  <c r="CZ43" i="3" s="1"/>
  <c r="CY42" i="3"/>
  <c r="CZ42" i="3" s="1"/>
  <c r="CY14" i="3"/>
  <c r="CZ14" i="3" s="1"/>
  <c r="CY8" i="3"/>
  <c r="CZ8" i="3" s="1"/>
  <c r="CY49" i="3"/>
  <c r="CZ49" i="3" s="1"/>
  <c r="CY39" i="3"/>
  <c r="CZ39" i="3" s="1"/>
  <c r="CY30" i="3"/>
  <c r="CZ30" i="3" s="1"/>
  <c r="CY45" i="3"/>
  <c r="CZ45" i="3" s="1"/>
  <c r="CY25" i="3"/>
  <c r="CZ25" i="3" s="1"/>
  <c r="CY28" i="3"/>
  <c r="CZ28" i="3" s="1"/>
  <c r="CY18" i="3"/>
  <c r="CZ18" i="3" s="1"/>
  <c r="CY20" i="3"/>
  <c r="CZ20" i="3" s="1"/>
  <c r="CY10" i="3"/>
  <c r="CZ10" i="3" s="1"/>
  <c r="CY21" i="3"/>
  <c r="CZ21" i="3" s="1"/>
  <c r="CY47" i="3"/>
  <c r="CZ47" i="3" s="1"/>
  <c r="CY6" i="3"/>
  <c r="CZ6" i="3" s="1"/>
  <c r="CY23" i="3"/>
  <c r="CZ23" i="3" s="1"/>
  <c r="CY27" i="3"/>
  <c r="CZ27" i="3" s="1"/>
  <c r="CY32" i="3"/>
  <c r="CZ32" i="3" s="1"/>
  <c r="F47" i="48" a="1"/>
  <c r="F47" i="48" s="1"/>
  <c r="E48" i="48"/>
  <c r="DA53" i="3" l="1"/>
  <c r="DA35" i="3"/>
  <c r="DA34" i="3"/>
  <c r="DA52" i="3"/>
  <c r="DA39" i="3"/>
  <c r="DA7" i="3"/>
  <c r="DA28" i="3"/>
  <c r="DA19" i="3"/>
  <c r="DA16" i="3"/>
  <c r="DA43" i="3"/>
  <c r="DA46" i="3"/>
  <c r="DA9" i="3"/>
  <c r="DA20" i="3"/>
  <c r="DA6" i="3"/>
  <c r="DA36" i="3"/>
  <c r="DA23" i="3"/>
  <c r="DA12" i="3"/>
  <c r="DA21" i="3"/>
  <c r="DA25" i="3"/>
  <c r="DA48" i="3"/>
  <c r="DA50" i="3"/>
  <c r="DA14" i="3"/>
  <c r="DA40" i="3"/>
  <c r="DA49" i="3"/>
  <c r="DA31" i="3"/>
  <c r="DA38" i="3"/>
  <c r="DA41" i="3"/>
  <c r="DA17" i="3"/>
  <c r="DA44" i="3"/>
  <c r="E49" i="48"/>
  <c r="F48" i="48" a="1"/>
  <c r="F48" i="48" s="1"/>
  <c r="DA45" i="3"/>
  <c r="DA30" i="3"/>
  <c r="DA24" i="3"/>
  <c r="DA11" i="3"/>
  <c r="DA10" i="3"/>
  <c r="DA51" i="3"/>
  <c r="DA13" i="3"/>
  <c r="DA37" i="3"/>
  <c r="DA8" i="3"/>
  <c r="DA29" i="3"/>
  <c r="DA47" i="3"/>
  <c r="DA42" i="3"/>
  <c r="DA27" i="3"/>
  <c r="DA32" i="3"/>
  <c r="DA33" i="3"/>
  <c r="DA22" i="3"/>
  <c r="DA26" i="3"/>
  <c r="DA15" i="3"/>
  <c r="DA18" i="3"/>
  <c r="DB52" i="3" l="1"/>
  <c r="DC52" i="3" s="1"/>
  <c r="DB20" i="3"/>
  <c r="DG20" i="3" s="1"/>
  <c r="DB19" i="3"/>
  <c r="DC19" i="3" s="1"/>
  <c r="DB46" i="3"/>
  <c r="DB11" i="3"/>
  <c r="DB49" i="3"/>
  <c r="DB31" i="3"/>
  <c r="DB43" i="3"/>
  <c r="DB12" i="3"/>
  <c r="DB23" i="3"/>
  <c r="DB33" i="3"/>
  <c r="DB34" i="3"/>
  <c r="DB39" i="3"/>
  <c r="DB36" i="3"/>
  <c r="DB15" i="3"/>
  <c r="DB24" i="3"/>
  <c r="DB22" i="3"/>
  <c r="DB32" i="3"/>
  <c r="DB14" i="3"/>
  <c r="DB6" i="3"/>
  <c r="DB8" i="3"/>
  <c r="DB50" i="3"/>
  <c r="DB38" i="3"/>
  <c r="DB17" i="3"/>
  <c r="DB16" i="3"/>
  <c r="DB40" i="3"/>
  <c r="DB30" i="3"/>
  <c r="DB37" i="3"/>
  <c r="DB27" i="3"/>
  <c r="DB42" i="3"/>
  <c r="DB48" i="3"/>
  <c r="DB35" i="3"/>
  <c r="DB47" i="3"/>
  <c r="DB51" i="3"/>
  <c r="F49" i="48" a="1"/>
  <c r="F49" i="48" s="1"/>
  <c r="E50" i="48"/>
  <c r="DB25" i="3"/>
  <c r="DB53" i="3"/>
  <c r="DB41" i="3"/>
  <c r="DB18" i="3"/>
  <c r="DB26" i="3"/>
  <c r="DB28" i="3"/>
  <c r="DB45" i="3"/>
  <c r="DB13" i="3"/>
  <c r="DB29" i="3"/>
  <c r="DB10" i="3"/>
  <c r="DB44" i="3"/>
  <c r="DB21" i="3"/>
  <c r="DB9" i="3"/>
  <c r="DB7" i="3"/>
  <c r="DG52" i="3" l="1"/>
  <c r="DG19" i="3"/>
  <c r="DC20" i="3"/>
  <c r="DG28" i="3"/>
  <c r="DC28" i="3"/>
  <c r="E51" i="48"/>
  <c r="F50" i="48" a="1"/>
  <c r="F50" i="48" s="1"/>
  <c r="DC12" i="3"/>
  <c r="DG12" i="3"/>
  <c r="DG17" i="3"/>
  <c r="DC17" i="3"/>
  <c r="DC26" i="3"/>
  <c r="DG26" i="3"/>
  <c r="DC51" i="3"/>
  <c r="DG51" i="3"/>
  <c r="DC27" i="3"/>
  <c r="DG27" i="3"/>
  <c r="DG14" i="3"/>
  <c r="DC14" i="3"/>
  <c r="DC36" i="3"/>
  <c r="DG36" i="3"/>
  <c r="DC7" i="3"/>
  <c r="DG7" i="3"/>
  <c r="DC15" i="3"/>
  <c r="DG15" i="3"/>
  <c r="DC43" i="3"/>
  <c r="DG43" i="3"/>
  <c r="DC18" i="3"/>
  <c r="DG18" i="3"/>
  <c r="DG39" i="3"/>
  <c r="DC39" i="3"/>
  <c r="DG21" i="3"/>
  <c r="DC21" i="3"/>
  <c r="DC37" i="3"/>
  <c r="DG37" i="3"/>
  <c r="DG32" i="3"/>
  <c r="DC32" i="3"/>
  <c r="DC34" i="3"/>
  <c r="DG34" i="3"/>
  <c r="DG41" i="3"/>
  <c r="DC41" i="3"/>
  <c r="DC30" i="3"/>
  <c r="DG30" i="3"/>
  <c r="DC50" i="3"/>
  <c r="DG50" i="3"/>
  <c r="DC49" i="3"/>
  <c r="DG49" i="3"/>
  <c r="DC48" i="3"/>
  <c r="DG48" i="3"/>
  <c r="DC8" i="3"/>
  <c r="DG8" i="3"/>
  <c r="DG33" i="3"/>
  <c r="DC33" i="3"/>
  <c r="DC9" i="3"/>
  <c r="DG9" i="3"/>
  <c r="DG47" i="3"/>
  <c r="DC47" i="3"/>
  <c r="DC22" i="3"/>
  <c r="DG22" i="3"/>
  <c r="DC13" i="3"/>
  <c r="DG13" i="3"/>
  <c r="DG53" i="3"/>
  <c r="DC53" i="3"/>
  <c r="DC40" i="3"/>
  <c r="DG40" i="3"/>
  <c r="DC24" i="3"/>
  <c r="DG24" i="3"/>
  <c r="DG23" i="3"/>
  <c r="DC23" i="3"/>
  <c r="DC11" i="3"/>
  <c r="DG11" i="3"/>
  <c r="DC31" i="3"/>
  <c r="DG31" i="3"/>
  <c r="DC46" i="3"/>
  <c r="DG46" i="3"/>
  <c r="DC29" i="3"/>
  <c r="DG29" i="3"/>
  <c r="DC38" i="3"/>
  <c r="DG38" i="3"/>
  <c r="DG35" i="3"/>
  <c r="DC35" i="3"/>
  <c r="DG44" i="3"/>
  <c r="DC44" i="3"/>
  <c r="DC6" i="3"/>
  <c r="DG6" i="3"/>
  <c r="DG10" i="3"/>
  <c r="DC10" i="3"/>
  <c r="DC45" i="3"/>
  <c r="DG45" i="3"/>
  <c r="DC25" i="3"/>
  <c r="DG25" i="3"/>
  <c r="DG42" i="3"/>
  <c r="DC42" i="3"/>
  <c r="DG16" i="3"/>
  <c r="DC16" i="3"/>
  <c r="DD18" i="3" l="1"/>
  <c r="BM18" i="3" s="1"/>
  <c r="DD28" i="3"/>
  <c r="BM28" i="3" s="1"/>
  <c r="DH38" i="3"/>
  <c r="BN38" i="3" s="1"/>
  <c r="DD38" i="3"/>
  <c r="BM38" i="3" s="1"/>
  <c r="DH9" i="3"/>
  <c r="BN9" i="3" s="1"/>
  <c r="DD44" i="3"/>
  <c r="BM44" i="3" s="1"/>
  <c r="DH31" i="3"/>
  <c r="BN31" i="3" s="1"/>
  <c r="DD35" i="3"/>
  <c r="BM35" i="3" s="1"/>
  <c r="DD11" i="3"/>
  <c r="BM11" i="3" s="1"/>
  <c r="DH18" i="3"/>
  <c r="BN18" i="3" s="1"/>
  <c r="DH34" i="3"/>
  <c r="BN34" i="3" s="1"/>
  <c r="DH15" i="3"/>
  <c r="BN15" i="3" s="1"/>
  <c r="DD17" i="3"/>
  <c r="BM17" i="3" s="1"/>
  <c r="DD34" i="3"/>
  <c r="BM34" i="3" s="1"/>
  <c r="DD33" i="3"/>
  <c r="BM33" i="3" s="1"/>
  <c r="DD40" i="3"/>
  <c r="BM40" i="3" s="1"/>
  <c r="DD43" i="3"/>
  <c r="BM43" i="3" s="1"/>
  <c r="DD53" i="3"/>
  <c r="BM53" i="3" s="1"/>
  <c r="DH32" i="3"/>
  <c r="BN32" i="3" s="1"/>
  <c r="DD7" i="3"/>
  <c r="BM7" i="3" s="1"/>
  <c r="DD9" i="3"/>
  <c r="BM9" i="3" s="1"/>
  <c r="DH53" i="3"/>
  <c r="BN53" i="3" s="1"/>
  <c r="DH36" i="3"/>
  <c r="BN36" i="3" s="1"/>
  <c r="DH47" i="3"/>
  <c r="BN47" i="3" s="1"/>
  <c r="DD36" i="3"/>
  <c r="BM36" i="3" s="1"/>
  <c r="DD46" i="3"/>
  <c r="BM46" i="3" s="1"/>
  <c r="DD49" i="3"/>
  <c r="BM49" i="3" s="1"/>
  <c r="DH21" i="3"/>
  <c r="BN21" i="3" s="1"/>
  <c r="DD31" i="3"/>
  <c r="BM31" i="3" s="1"/>
  <c r="DH11" i="3"/>
  <c r="BN11" i="3" s="1"/>
  <c r="DD47" i="3"/>
  <c r="BM47" i="3" s="1"/>
  <c r="DH44" i="3"/>
  <c r="BN44" i="3" s="1"/>
  <c r="DD23" i="3"/>
  <c r="BM23" i="3" s="1"/>
  <c r="DH50" i="3"/>
  <c r="BN50" i="3" s="1"/>
  <c r="DD20" i="3"/>
  <c r="BM20" i="3" s="1"/>
  <c r="DH14" i="3"/>
  <c r="BN14" i="3" s="1"/>
  <c r="DH19" i="3"/>
  <c r="BN19" i="3" s="1"/>
  <c r="DD25" i="3"/>
  <c r="BM25" i="3" s="1"/>
  <c r="DH23" i="3"/>
  <c r="BN23" i="3" s="1"/>
  <c r="DD13" i="3"/>
  <c r="BM13" i="3" s="1"/>
  <c r="DD50" i="3"/>
  <c r="BM50" i="3" s="1"/>
  <c r="DH42" i="3"/>
  <c r="BN42" i="3" s="1"/>
  <c r="DD39" i="3"/>
  <c r="BM39" i="3" s="1"/>
  <c r="DD15" i="3"/>
  <c r="BM15" i="3" s="1"/>
  <c r="DH13" i="3"/>
  <c r="BN13" i="3" s="1"/>
  <c r="DH46" i="3"/>
  <c r="BN46" i="3" s="1"/>
  <c r="DH33" i="3"/>
  <c r="BN33" i="3" s="1"/>
  <c r="DD32" i="3"/>
  <c r="BM32" i="3" s="1"/>
  <c r="DD51" i="3"/>
  <c r="BM51" i="3" s="1"/>
  <c r="DD12" i="3"/>
  <c r="BM12" i="3" s="1"/>
  <c r="DD29" i="3"/>
  <c r="BM29" i="3" s="1"/>
  <c r="DH45" i="3"/>
  <c r="BN45" i="3" s="1"/>
  <c r="DH24" i="3"/>
  <c r="BN24" i="3" s="1"/>
  <c r="DH30" i="3"/>
  <c r="BN30" i="3" s="1"/>
  <c r="DH7" i="3"/>
  <c r="BN7" i="3" s="1"/>
  <c r="DH27" i="3"/>
  <c r="BN27" i="3" s="1"/>
  <c r="DD6" i="3"/>
  <c r="BM6" i="3" s="1"/>
  <c r="DD45" i="3"/>
  <c r="BM45" i="3" s="1"/>
  <c r="DD24" i="3"/>
  <c r="BM24" i="3" s="1"/>
  <c r="DH8" i="3"/>
  <c r="BN8" i="3" s="1"/>
  <c r="DD30" i="3"/>
  <c r="BM30" i="3" s="1"/>
  <c r="DD27" i="3"/>
  <c r="BM27" i="3" s="1"/>
  <c r="E52" i="48"/>
  <c r="F51" i="48" a="1"/>
  <c r="F51" i="48" s="1"/>
  <c r="DH37" i="3"/>
  <c r="BN37" i="3" s="1"/>
  <c r="DH39" i="3"/>
  <c r="BN39" i="3" s="1"/>
  <c r="DH35" i="3"/>
  <c r="BN35" i="3" s="1"/>
  <c r="DH12" i="3"/>
  <c r="BN12" i="3" s="1"/>
  <c r="DD16" i="3"/>
  <c r="BM16" i="3" s="1"/>
  <c r="DH40" i="3"/>
  <c r="BN40" i="3" s="1"/>
  <c r="DD22" i="3"/>
  <c r="BM22" i="3" s="1"/>
  <c r="DH16" i="3"/>
  <c r="BN16" i="3" s="1"/>
  <c r="DD10" i="3"/>
  <c r="BM10" i="3" s="1"/>
  <c r="DD41" i="3"/>
  <c r="BM41" i="3" s="1"/>
  <c r="DD37" i="3"/>
  <c r="BM37" i="3" s="1"/>
  <c r="DH43" i="3"/>
  <c r="BN43" i="3" s="1"/>
  <c r="DH51" i="3"/>
  <c r="BN51" i="3" s="1"/>
  <c r="DH25" i="3"/>
  <c r="BN25" i="3" s="1"/>
  <c r="DH10" i="3"/>
  <c r="BN10" i="3" s="1"/>
  <c r="DH17" i="3"/>
  <c r="BN17" i="3" s="1"/>
  <c r="DH41" i="3"/>
  <c r="BN41" i="3" s="1"/>
  <c r="DD48" i="3"/>
  <c r="BM48" i="3" s="1"/>
  <c r="DD8" i="3"/>
  <c r="BM8" i="3" s="1"/>
  <c r="DH29" i="3"/>
  <c r="BN29" i="3" s="1"/>
  <c r="DH26" i="3"/>
  <c r="BN26" i="3" s="1"/>
  <c r="DH52" i="3"/>
  <c r="BN52" i="3" s="1"/>
  <c r="DH22" i="3"/>
  <c r="BN22" i="3" s="1"/>
  <c r="DD14" i="3"/>
  <c r="BM14" i="3" s="1"/>
  <c r="DD21" i="3"/>
  <c r="BM21" i="3" s="1"/>
  <c r="DH28" i="3"/>
  <c r="BN28" i="3" s="1"/>
  <c r="DH48" i="3"/>
  <c r="BN48" i="3" s="1"/>
  <c r="DH20" i="3"/>
  <c r="BN20" i="3" s="1"/>
  <c r="DH6" i="3"/>
  <c r="BN6" i="3" s="1"/>
  <c r="DH49" i="3"/>
  <c r="BN49" i="3" s="1"/>
  <c r="DD42" i="3"/>
  <c r="BM42" i="3" s="1"/>
  <c r="DD19" i="3"/>
  <c r="BM19" i="3" s="1"/>
  <c r="DD26" i="3"/>
  <c r="BM26" i="3" s="1"/>
  <c r="DD52" i="3"/>
  <c r="BM52" i="3" s="1"/>
  <c r="E53" i="48" l="1"/>
  <c r="F53" i="48" s="1" a="1"/>
  <c r="F53" i="48" s="1"/>
  <c r="F52" i="48" a="1"/>
  <c r="F52" i="48" s="1"/>
  <c r="AL73" i="3"/>
  <c r="AL55" i="3"/>
  <c r="BI68" i="3"/>
  <c r="AL70" i="3"/>
  <c r="BI66" i="3"/>
  <c r="BG59" i="3"/>
  <c r="AL96" i="3"/>
  <c r="BH59" i="3"/>
  <c r="AL54" i="3"/>
  <c r="BI63" i="3"/>
  <c r="BH58" i="3"/>
  <c r="BG61" i="3"/>
  <c r="BG68" i="3"/>
  <c r="AL48" i="3"/>
  <c r="AL86" i="3"/>
  <c r="M115" i="3" s="1"/>
  <c r="AA116" i="3" s="1"/>
  <c r="D116" i="3" s="1"/>
  <c r="AL62" i="3"/>
  <c r="AL64" i="3"/>
  <c r="AL38" i="3"/>
  <c r="BH65" i="3"/>
  <c r="AL89" i="3"/>
  <c r="AL63" i="3"/>
  <c r="AL79" i="3"/>
  <c r="N112" i="3" s="1"/>
  <c r="AF111" i="3" s="1"/>
  <c r="AL30" i="3"/>
  <c r="BH64" i="3"/>
  <c r="BH62" i="3"/>
  <c r="AL6" i="3"/>
  <c r="BH61" i="3"/>
  <c r="BD65" i="3"/>
  <c r="BH67" i="3"/>
  <c r="BG62" i="3"/>
  <c r="AL39" i="3"/>
  <c r="AL41" i="3"/>
  <c r="BD69" i="3"/>
  <c r="BI65" i="3"/>
  <c r="AL15" i="3"/>
  <c r="BG65" i="3"/>
  <c r="AL94" i="3"/>
  <c r="M108" i="3" s="1"/>
  <c r="AA108" i="3" s="1"/>
  <c r="D108" i="3" s="1"/>
  <c r="AL47" i="3"/>
  <c r="BI69" i="3"/>
  <c r="AL17" i="3"/>
  <c r="AL57" i="3"/>
  <c r="BG66" i="3"/>
  <c r="AL78" i="3"/>
  <c r="M114" i="3" s="1"/>
  <c r="AA115" i="3" s="1"/>
  <c r="D115" i="3" s="1"/>
  <c r="AL81" i="3"/>
  <c r="BD62" i="3"/>
  <c r="BH63" i="3"/>
  <c r="AL22" i="3"/>
  <c r="BD61" i="3"/>
  <c r="BD66" i="3"/>
  <c r="BG69" i="3"/>
  <c r="BD58" i="3"/>
  <c r="BG60" i="3"/>
  <c r="BI67" i="3"/>
  <c r="BH68" i="3"/>
  <c r="BI58" i="3"/>
  <c r="AL88" i="3"/>
  <c r="AL24" i="3"/>
  <c r="BI64" i="3"/>
  <c r="AL87" i="3"/>
  <c r="M111" i="3" s="1"/>
  <c r="AA112" i="3" s="1"/>
  <c r="D112" i="3" s="1"/>
  <c r="AL95" i="3"/>
  <c r="N111" i="3" s="1"/>
  <c r="AF112" i="3" s="1"/>
  <c r="AL31" i="3"/>
  <c r="BD59" i="3"/>
  <c r="BG58" i="3"/>
  <c r="BJ64" i="3"/>
  <c r="BJ65" i="3"/>
  <c r="BK65" i="3"/>
  <c r="BK58" i="3"/>
  <c r="AL65" i="3"/>
  <c r="AL46" i="3"/>
  <c r="BK61" i="3"/>
  <c r="BG64" i="3"/>
  <c r="AL32" i="3"/>
  <c r="BK62" i="3"/>
  <c r="BK59" i="3"/>
  <c r="BD60" i="3"/>
  <c r="BH66" i="3"/>
  <c r="AL97" i="3"/>
  <c r="BI61" i="3"/>
  <c r="BK64" i="3"/>
  <c r="AL71" i="3"/>
  <c r="BG63" i="3"/>
  <c r="BH60" i="3"/>
  <c r="BI62" i="3"/>
  <c r="BJ63" i="3"/>
  <c r="AL56" i="3"/>
  <c r="BH69" i="3"/>
  <c r="BK67" i="3"/>
  <c r="AL33" i="3"/>
  <c r="BJ61" i="3"/>
  <c r="BI60" i="3"/>
  <c r="BJ66" i="3"/>
  <c r="BJ69" i="3"/>
  <c r="BJ59" i="3"/>
  <c r="AL80" i="3"/>
  <c r="AL49" i="3"/>
  <c r="BJ62" i="3"/>
  <c r="BJ58" i="3"/>
  <c r="AL7" i="3"/>
  <c r="BK60" i="3"/>
  <c r="AL23" i="3"/>
  <c r="AL14" i="3"/>
  <c r="BK69" i="3"/>
  <c r="AL16" i="3"/>
  <c r="BD67" i="3"/>
  <c r="BG67" i="3"/>
  <c r="AL9" i="3"/>
  <c r="BD64" i="3"/>
  <c r="BJ68" i="3"/>
  <c r="BD68" i="3"/>
  <c r="AL25" i="3"/>
  <c r="AL40" i="3"/>
  <c r="AL72" i="3"/>
  <c r="BK68" i="3"/>
  <c r="BK66" i="3"/>
  <c r="BJ60" i="3"/>
  <c r="BJ67" i="3"/>
  <c r="BD63" i="3"/>
  <c r="AL8" i="3"/>
  <c r="BK63" i="3"/>
  <c r="BI59" i="3"/>
  <c r="AV17" i="3"/>
  <c r="AV46" i="3"/>
  <c r="DQ47" i="3"/>
  <c r="DJ47" i="3" s="1"/>
  <c r="DQ43" i="3"/>
  <c r="DJ43" i="3" s="1"/>
  <c r="DQ37" i="3"/>
  <c r="DJ37" i="3" s="1"/>
  <c r="AV81" i="3"/>
  <c r="DQ6" i="3"/>
  <c r="DJ6" i="3" s="1"/>
  <c r="DQ10" i="3"/>
  <c r="DJ10" i="3" s="1"/>
  <c r="DQ34" i="3"/>
  <c r="DJ34" i="3" s="1"/>
  <c r="DQ25" i="3"/>
  <c r="DJ25" i="3" s="1"/>
  <c r="DQ30" i="3"/>
  <c r="DJ30" i="3" s="1"/>
  <c r="AV41" i="3"/>
  <c r="DQ24" i="3"/>
  <c r="DJ24" i="3" s="1"/>
  <c r="AV63" i="3"/>
  <c r="AV40" i="3"/>
  <c r="DQ9" i="3"/>
  <c r="DJ9" i="3" s="1"/>
  <c r="DQ20" i="3"/>
  <c r="DJ20" i="3" s="1"/>
  <c r="DQ39" i="3"/>
  <c r="DJ39" i="3" s="1"/>
  <c r="AV38" i="3"/>
  <c r="DQ46" i="3"/>
  <c r="DJ46" i="3" s="1"/>
  <c r="AV8" i="3"/>
  <c r="AV54" i="3"/>
  <c r="DQ44" i="3"/>
  <c r="DJ44" i="3" s="1"/>
  <c r="AV39" i="3"/>
  <c r="AV96" i="3"/>
  <c r="DQ23" i="3"/>
  <c r="DJ23" i="3" s="1"/>
  <c r="DQ31" i="3"/>
  <c r="DJ31" i="3" s="1"/>
  <c r="AV64" i="3"/>
  <c r="AV65" i="3"/>
  <c r="DQ7" i="3"/>
  <c r="DJ7" i="3" s="1"/>
  <c r="DQ52" i="3"/>
  <c r="DJ52" i="3" s="1"/>
  <c r="AV15" i="3"/>
  <c r="DQ27" i="3"/>
  <c r="DJ27" i="3" s="1"/>
  <c r="DQ13" i="3"/>
  <c r="DJ13" i="3" s="1"/>
  <c r="AV22" i="3"/>
  <c r="DQ11" i="3"/>
  <c r="DJ11" i="3" s="1"/>
  <c r="DQ8" i="3"/>
  <c r="DJ8" i="3" s="1"/>
  <c r="DQ16" i="3"/>
  <c r="DJ16" i="3" s="1"/>
  <c r="DQ29" i="3"/>
  <c r="DJ29" i="3" s="1"/>
  <c r="AV30" i="3"/>
  <c r="AV32" i="3"/>
  <c r="AV78" i="3"/>
  <c r="DQ36" i="3"/>
  <c r="DJ36" i="3" s="1"/>
  <c r="DQ48" i="3"/>
  <c r="DJ48" i="3" s="1"/>
  <c r="DQ51" i="3"/>
  <c r="DJ51" i="3" s="1"/>
  <c r="AV97" i="3"/>
  <c r="AV16" i="3"/>
  <c r="DQ33" i="3"/>
  <c r="DJ33" i="3" s="1"/>
  <c r="AV48" i="3"/>
  <c r="DQ32" i="3"/>
  <c r="DJ32" i="3" s="1"/>
  <c r="AV7" i="3"/>
  <c r="AV86" i="3"/>
  <c r="AV47" i="3"/>
  <c r="DQ14" i="3"/>
  <c r="DJ14" i="3" s="1"/>
  <c r="AV89" i="3"/>
  <c r="DQ17" i="3"/>
  <c r="DJ17" i="3" s="1"/>
  <c r="AV23" i="3"/>
  <c r="DQ35" i="3"/>
  <c r="DJ35" i="3" s="1"/>
  <c r="AV6" i="3"/>
  <c r="AV24" i="3"/>
  <c r="AV57" i="3"/>
  <c r="DQ40" i="3"/>
  <c r="DJ40" i="3" s="1"/>
  <c r="AV33" i="3"/>
  <c r="DQ15" i="3"/>
  <c r="DJ15" i="3" s="1"/>
  <c r="AV79" i="3"/>
  <c r="AV71" i="3"/>
  <c r="DQ12" i="3"/>
  <c r="DJ12" i="3" s="1"/>
  <c r="DQ41" i="3"/>
  <c r="DJ41" i="3" s="1"/>
  <c r="AV31" i="3"/>
  <c r="AV56" i="3"/>
  <c r="AV94" i="3"/>
  <c r="DQ19" i="3"/>
  <c r="DJ19" i="3" s="1"/>
  <c r="AV70" i="3"/>
  <c r="AV72" i="3"/>
  <c r="AV9" i="3"/>
  <c r="DQ49" i="3"/>
  <c r="DJ49" i="3" s="1"/>
  <c r="DQ38" i="3"/>
  <c r="DJ38" i="3" s="1"/>
  <c r="DQ22" i="3"/>
  <c r="DJ22" i="3" s="1"/>
  <c r="DQ53" i="3"/>
  <c r="DJ53" i="3" s="1"/>
  <c r="AV87" i="3"/>
  <c r="AV14" i="3"/>
  <c r="DQ21" i="3"/>
  <c r="DJ21" i="3" s="1"/>
  <c r="DQ28" i="3"/>
  <c r="DJ28" i="3" s="1"/>
  <c r="AV62" i="3"/>
  <c r="DQ42" i="3"/>
  <c r="DJ42" i="3" s="1"/>
  <c r="AV73" i="3"/>
  <c r="AV88" i="3"/>
  <c r="AV25" i="3"/>
  <c r="AV80" i="3"/>
  <c r="DQ45" i="3"/>
  <c r="DJ45" i="3" s="1"/>
  <c r="AV95" i="3"/>
  <c r="AV55" i="3"/>
  <c r="DQ18" i="3"/>
  <c r="DJ18" i="3" s="1"/>
  <c r="AV49" i="3"/>
  <c r="DQ26" i="3"/>
  <c r="DJ26" i="3" s="1"/>
  <c r="DQ50" i="3"/>
  <c r="DJ50" i="3" s="1"/>
  <c r="M124" i="3" l="1"/>
  <c r="AA124" i="3" s="1"/>
  <c r="AG112" i="3"/>
  <c r="M126" i="3"/>
  <c r="AA126" i="3" s="1"/>
  <c r="D126" i="3" s="1"/>
  <c r="AG115" i="3"/>
  <c r="AG116" i="3"/>
  <c r="N127" i="3"/>
  <c r="AF127" i="3" s="1"/>
  <c r="N123" i="3"/>
  <c r="AF123" i="3" s="1"/>
  <c r="D123" i="3" s="1"/>
  <c r="AG108" i="3"/>
  <c r="DL50" i="3"/>
  <c r="AU94" i="3" s="1"/>
  <c r="M157" i="46"/>
  <c r="AA16" i="45"/>
  <c r="DL51" i="3"/>
  <c r="AU95" i="3" s="1"/>
  <c r="DL52" i="3"/>
  <c r="AU96" i="3" s="1"/>
  <c r="DL53" i="3"/>
  <c r="AU97" i="3" s="1"/>
  <c r="M137" i="46"/>
  <c r="AA36" i="45"/>
  <c r="BL66" i="3"/>
  <c r="BL60" i="3"/>
  <c r="M141" i="46"/>
  <c r="C175" i="46"/>
  <c r="AA15" i="45"/>
  <c r="DT112" i="3"/>
  <c r="K175" i="46"/>
  <c r="AA48" i="45"/>
  <c r="M145" i="46"/>
  <c r="DL46" i="3"/>
  <c r="AU86" i="3" s="1"/>
  <c r="DL49" i="3"/>
  <c r="AU89" i="3" s="1"/>
  <c r="DL47" i="3"/>
  <c r="AU87" i="3" s="1"/>
  <c r="DL48" i="3"/>
  <c r="AU88" i="3" s="1"/>
  <c r="DL44" i="3"/>
  <c r="AU80" i="3" s="1"/>
  <c r="M144" i="46"/>
  <c r="AA39" i="45"/>
  <c r="DL45" i="3"/>
  <c r="AU81" i="3" s="1"/>
  <c r="DL43" i="3"/>
  <c r="AU79" i="3" s="1"/>
  <c r="M156" i="46"/>
  <c r="AA19" i="45"/>
  <c r="DL42" i="3"/>
  <c r="AU78" i="3" s="1"/>
  <c r="BL65" i="3"/>
  <c r="BL61" i="3"/>
  <c r="BL59" i="3"/>
  <c r="DL41" i="3"/>
  <c r="AU73" i="3" s="1"/>
  <c r="AP89" i="3"/>
  <c r="AM89" i="3"/>
  <c r="U39" i="45" s="1"/>
  <c r="AO89" i="3"/>
  <c r="AT89" i="3"/>
  <c r="V39" i="45" s="1"/>
  <c r="AN89" i="3"/>
  <c r="T39" i="45"/>
  <c r="AK89" i="3" a="1"/>
  <c r="AK89" i="3" s="1"/>
  <c r="AR89" i="3"/>
  <c r="AQ89" i="3"/>
  <c r="AS89" i="3"/>
  <c r="H421" i="40"/>
  <c r="H8" i="40"/>
  <c r="H251" i="40"/>
  <c r="H306" i="40"/>
  <c r="H39" i="40"/>
  <c r="H42" i="40"/>
  <c r="H444" i="40"/>
  <c r="H448" i="40"/>
  <c r="H76" i="40"/>
  <c r="H412" i="40"/>
  <c r="H100" i="40"/>
  <c r="H230" i="40"/>
  <c r="H369" i="40"/>
  <c r="H122" i="40"/>
  <c r="F292" i="40"/>
  <c r="H390" i="40"/>
  <c r="F314" i="40"/>
  <c r="H178" i="40"/>
  <c r="H165" i="40"/>
  <c r="H452" i="40"/>
  <c r="H227" i="40"/>
  <c r="H461" i="40"/>
  <c r="H152" i="40"/>
  <c r="H191" i="40"/>
  <c r="H377" i="40"/>
  <c r="H162" i="40"/>
  <c r="H163" i="40"/>
  <c r="H280" i="40"/>
  <c r="E274" i="40"/>
  <c r="H123" i="40"/>
  <c r="E241" i="40"/>
  <c r="H25" i="40"/>
  <c r="F303" i="40"/>
  <c r="H207" i="40"/>
  <c r="H17" i="40"/>
  <c r="H109" i="40"/>
  <c r="H196" i="40"/>
  <c r="H43" i="40"/>
  <c r="H324" i="40"/>
  <c r="H98" i="40"/>
  <c r="H389" i="40"/>
  <c r="H128" i="40"/>
  <c r="F50" i="40"/>
  <c r="H361" i="40"/>
  <c r="H423" i="40"/>
  <c r="H291" i="40"/>
  <c r="H71" i="40"/>
  <c r="F169" i="40"/>
  <c r="H484" i="40"/>
  <c r="H370" i="40"/>
  <c r="H74" i="40"/>
  <c r="H381" i="40"/>
  <c r="H103" i="40"/>
  <c r="H180" i="40"/>
  <c r="H327" i="40"/>
  <c r="H286" i="40"/>
  <c r="H208" i="40"/>
  <c r="H300" i="40"/>
  <c r="F172" i="40"/>
  <c r="H38" i="40"/>
  <c r="H278" i="40"/>
  <c r="H9" i="40"/>
  <c r="H388" i="40"/>
  <c r="H21" i="40"/>
  <c r="H192" i="40"/>
  <c r="H360" i="40"/>
  <c r="H413" i="40"/>
  <c r="D488" i="40"/>
  <c r="H321" i="40"/>
  <c r="H195" i="40"/>
  <c r="F385" i="40"/>
  <c r="H46" i="40"/>
  <c r="F382" i="40"/>
  <c r="H357" i="40"/>
  <c r="H492" i="40"/>
  <c r="H453" i="40"/>
  <c r="H244" i="40"/>
  <c r="H159" i="40"/>
  <c r="H166" i="40"/>
  <c r="F2" i="40"/>
  <c r="H418" i="40"/>
  <c r="H354" i="40"/>
  <c r="H81" i="40"/>
  <c r="H221" i="40"/>
  <c r="E249" i="40"/>
  <c r="H200" i="40"/>
  <c r="H242" i="40"/>
  <c r="H198" i="40"/>
  <c r="H194" i="40"/>
  <c r="F174" i="40"/>
  <c r="H367" i="40"/>
  <c r="H248" i="40"/>
  <c r="H415" i="40"/>
  <c r="H157" i="40"/>
  <c r="H330" i="40"/>
  <c r="H383" i="40"/>
  <c r="H151" i="40"/>
  <c r="H89" i="40"/>
  <c r="H11" i="40"/>
  <c r="F311" i="40"/>
  <c r="H202" i="40"/>
  <c r="F47" i="40"/>
  <c r="H102" i="40"/>
  <c r="H422" i="40"/>
  <c r="H18" i="40"/>
  <c r="H154" i="40"/>
  <c r="F308" i="40"/>
  <c r="H331" i="40"/>
  <c r="H491" i="40"/>
  <c r="H72" i="40"/>
  <c r="H276" i="40"/>
  <c r="H60" i="40"/>
  <c r="H33" i="40"/>
  <c r="H482" i="40"/>
  <c r="H352" i="40"/>
  <c r="H97" i="40"/>
  <c r="H407" i="40"/>
  <c r="H16" i="40"/>
  <c r="H245" i="40"/>
  <c r="H322" i="40"/>
  <c r="H447" i="40"/>
  <c r="H359" i="40"/>
  <c r="H177" i="40"/>
  <c r="H364" i="40"/>
  <c r="F304" i="40"/>
  <c r="H36" i="40"/>
  <c r="H333" i="40"/>
  <c r="C328" i="40"/>
  <c r="H59" i="40"/>
  <c r="H363" i="40"/>
  <c r="H409" i="40"/>
  <c r="F293" i="40"/>
  <c r="H3" i="40"/>
  <c r="H386" i="40"/>
  <c r="H485" i="40"/>
  <c r="H35" i="40"/>
  <c r="H86" i="40"/>
  <c r="H32" i="40"/>
  <c r="F305" i="40"/>
  <c r="H131" i="40"/>
  <c r="H323" i="40"/>
  <c r="H160" i="40"/>
  <c r="H205" i="40"/>
  <c r="H460" i="40"/>
  <c r="H451" i="40"/>
  <c r="F167" i="40"/>
  <c r="H217" i="40"/>
  <c r="E275" i="40"/>
  <c r="H483" i="40"/>
  <c r="H493" i="40"/>
  <c r="H378" i="40"/>
  <c r="H155" i="40"/>
  <c r="E271" i="40"/>
  <c r="H410" i="40"/>
  <c r="F171" i="40"/>
  <c r="H494" i="40"/>
  <c r="H80" i="40"/>
  <c r="H10" i="40"/>
  <c r="F310" i="40"/>
  <c r="H268" i="40"/>
  <c r="F170" i="40"/>
  <c r="H224" i="40"/>
  <c r="H119" i="40"/>
  <c r="D449" i="40"/>
  <c r="E240" i="40"/>
  <c r="H442" i="40"/>
  <c r="H5" i="40"/>
  <c r="H147" i="40"/>
  <c r="H127" i="40"/>
  <c r="H277" i="40"/>
  <c r="H121" i="40"/>
  <c r="H158" i="40"/>
  <c r="H206" i="40"/>
  <c r="H149" i="40"/>
  <c r="H14" i="40"/>
  <c r="H414" i="40"/>
  <c r="C329" i="40"/>
  <c r="H45" i="40"/>
  <c r="H82" i="40"/>
  <c r="H79" i="40"/>
  <c r="H23" i="40"/>
  <c r="H379" i="40"/>
  <c r="H279" i="40"/>
  <c r="F51" i="40"/>
  <c r="H117" i="40"/>
  <c r="H416" i="40"/>
  <c r="H153" i="40"/>
  <c r="H362" i="40"/>
  <c r="H61" i="40"/>
  <c r="H124" i="40"/>
  <c r="H218" i="40"/>
  <c r="H219" i="40"/>
  <c r="C326" i="40"/>
  <c r="H77" i="40"/>
  <c r="H419" i="40"/>
  <c r="F307" i="40"/>
  <c r="H220" i="40"/>
  <c r="H193" i="40"/>
  <c r="F173" i="40"/>
  <c r="F312" i="40"/>
  <c r="F384" i="40"/>
  <c r="H88" i="40"/>
  <c r="H87" i="40"/>
  <c r="H199" i="40"/>
  <c r="H44" i="40"/>
  <c r="H229" i="40"/>
  <c r="H228" i="40"/>
  <c r="H176" i="40"/>
  <c r="H190" i="40"/>
  <c r="H288" i="40"/>
  <c r="H270" i="40"/>
  <c r="H426" i="40"/>
  <c r="F309" i="40"/>
  <c r="F290" i="40"/>
  <c r="H267" i="40"/>
  <c r="H366" i="40"/>
  <c r="H126" i="40"/>
  <c r="H489" i="40"/>
  <c r="H179" i="40"/>
  <c r="H458" i="40"/>
  <c r="H188" i="40"/>
  <c r="F54" i="40"/>
  <c r="H104" i="40"/>
  <c r="H358" i="40"/>
  <c r="F313" i="40"/>
  <c r="D239" i="40"/>
  <c r="H58" i="40"/>
  <c r="F301" i="40"/>
  <c r="H424" i="40"/>
  <c r="D450" i="40"/>
  <c r="H7" i="40"/>
  <c r="H20" i="40"/>
  <c r="H148" i="40"/>
  <c r="H41" i="40"/>
  <c r="H487" i="40"/>
  <c r="H105" i="40"/>
  <c r="H420" i="40"/>
  <c r="F302" i="40"/>
  <c r="H459" i="40"/>
  <c r="E238" i="40"/>
  <c r="F49" i="40"/>
  <c r="H129" i="40"/>
  <c r="H40" i="40"/>
  <c r="H456" i="40"/>
  <c r="H209" i="40"/>
  <c r="H164" i="40"/>
  <c r="H335" i="40"/>
  <c r="H101" i="40"/>
  <c r="H334" i="40"/>
  <c r="H84" i="40"/>
  <c r="H189" i="40"/>
  <c r="H282" i="40"/>
  <c r="H408" i="40"/>
  <c r="H78" i="40"/>
  <c r="H495" i="40"/>
  <c r="H216" i="40"/>
  <c r="H243" i="40"/>
  <c r="H181" i="40"/>
  <c r="H150" i="40"/>
  <c r="H417" i="40"/>
  <c r="H332" i="40"/>
  <c r="H70" i="40"/>
  <c r="H356" i="40"/>
  <c r="H490" i="40"/>
  <c r="H285" i="40"/>
  <c r="H34" i="40"/>
  <c r="H457" i="40"/>
  <c r="H130" i="40"/>
  <c r="H222" i="40"/>
  <c r="H496" i="40"/>
  <c r="F289" i="40"/>
  <c r="H13" i="40"/>
  <c r="H120" i="40"/>
  <c r="H351" i="40"/>
  <c r="D446" i="40"/>
  <c r="H99" i="40"/>
  <c r="H75" i="40"/>
  <c r="H15" i="40"/>
  <c r="H486" i="40"/>
  <c r="H161" i="40"/>
  <c r="H368" i="40"/>
  <c r="H225" i="40"/>
  <c r="H110" i="40"/>
  <c r="H325" i="40"/>
  <c r="F52" i="40"/>
  <c r="H445" i="40"/>
  <c r="H69" i="40"/>
  <c r="H201" i="40"/>
  <c r="H387" i="40"/>
  <c r="H455" i="40"/>
  <c r="H73" i="40"/>
  <c r="H96" i="40"/>
  <c r="H269" i="40"/>
  <c r="H365" i="40"/>
  <c r="E272" i="40"/>
  <c r="H57" i="40"/>
  <c r="H237" i="40"/>
  <c r="H223" i="40"/>
  <c r="H284" i="40"/>
  <c r="H391" i="40"/>
  <c r="H68" i="40"/>
  <c r="H443" i="40"/>
  <c r="H355" i="40"/>
  <c r="H204" i="40"/>
  <c r="H125" i="40"/>
  <c r="H273" i="40"/>
  <c r="H108" i="40"/>
  <c r="H6" i="40"/>
  <c r="H353" i="40"/>
  <c r="H247" i="40"/>
  <c r="F53" i="40"/>
  <c r="H380" i="40"/>
  <c r="H107" i="40"/>
  <c r="H454" i="40"/>
  <c r="H411" i="40"/>
  <c r="H156" i="40"/>
  <c r="H85" i="40"/>
  <c r="H24" i="40"/>
  <c r="E250" i="40"/>
  <c r="H425" i="40"/>
  <c r="H106" i="40"/>
  <c r="H37" i="40"/>
  <c r="H22" i="40"/>
  <c r="E283" i="40"/>
  <c r="E246" i="40"/>
  <c r="H56" i="40"/>
  <c r="H281" i="40"/>
  <c r="H197" i="40"/>
  <c r="H226" i="40"/>
  <c r="H118" i="40"/>
  <c r="DL36" i="3"/>
  <c r="AU64" i="3" s="1"/>
  <c r="D138" i="40"/>
  <c r="D159" i="40"/>
  <c r="D41" i="40"/>
  <c r="D455" i="40"/>
  <c r="D262" i="40"/>
  <c r="D496" i="40"/>
  <c r="D283" i="40"/>
  <c r="D60" i="40"/>
  <c r="D108" i="40"/>
  <c r="D242" i="40"/>
  <c r="D177" i="40"/>
  <c r="D16" i="40"/>
  <c r="D58" i="40"/>
  <c r="H4" i="40"/>
  <c r="D42" i="40"/>
  <c r="D264" i="40"/>
  <c r="D212" i="40"/>
  <c r="D258" i="40"/>
  <c r="D366" i="40"/>
  <c r="D157" i="40"/>
  <c r="D28" i="40"/>
  <c r="D278" i="40"/>
  <c r="D106" i="40"/>
  <c r="D335" i="40"/>
  <c r="H316" i="40"/>
  <c r="D234" i="40"/>
  <c r="D280" i="40"/>
  <c r="H290" i="40"/>
  <c r="D124" i="40"/>
  <c r="D228" i="40"/>
  <c r="D23" i="40"/>
  <c r="D279" i="40"/>
  <c r="D102" i="40"/>
  <c r="D126" i="40"/>
  <c r="D391" i="40"/>
  <c r="D30" i="40"/>
  <c r="D223" i="40"/>
  <c r="D193" i="40"/>
  <c r="D424" i="40"/>
  <c r="D21" i="40"/>
  <c r="H399" i="40"/>
  <c r="D383" i="40"/>
  <c r="D259" i="40"/>
  <c r="D59" i="40"/>
  <c r="D31" i="40"/>
  <c r="D14" i="40"/>
  <c r="H344" i="40"/>
  <c r="D105" i="40"/>
  <c r="D198" i="40"/>
  <c r="D404" i="40"/>
  <c r="D88" i="40"/>
  <c r="D17" i="40"/>
  <c r="D236" i="40"/>
  <c r="D226" i="40"/>
  <c r="D101" i="40"/>
  <c r="H319" i="40"/>
  <c r="D342" i="40"/>
  <c r="D364" i="40"/>
  <c r="D250" i="40"/>
  <c r="D129" i="40"/>
  <c r="D3" i="40"/>
  <c r="D492" i="40"/>
  <c r="D75" i="40"/>
  <c r="H326" i="40"/>
  <c r="D209" i="40"/>
  <c r="D166" i="40"/>
  <c r="D229" i="40"/>
  <c r="D173" i="40"/>
  <c r="D472" i="40"/>
  <c r="D418" i="40"/>
  <c r="D473" i="40"/>
  <c r="D18" i="40"/>
  <c r="D164" i="40"/>
  <c r="D291" i="40"/>
  <c r="D248" i="40"/>
  <c r="D145" i="40"/>
  <c r="D495" i="40"/>
  <c r="D89" i="40"/>
  <c r="D284" i="40"/>
  <c r="D390" i="40"/>
  <c r="D113" i="40"/>
  <c r="D161" i="40"/>
  <c r="D140" i="40"/>
  <c r="D19" i="40"/>
  <c r="D387" i="40"/>
  <c r="D235" i="40"/>
  <c r="D46" i="40"/>
  <c r="D285" i="40"/>
  <c r="H403" i="40"/>
  <c r="D43" i="40"/>
  <c r="D436" i="40"/>
  <c r="D456" i="40"/>
  <c r="D330" i="40"/>
  <c r="D461" i="40"/>
  <c r="D76" i="40"/>
  <c r="H289" i="40"/>
  <c r="D332" i="40"/>
  <c r="D180" i="40"/>
  <c r="H66" i="40"/>
  <c r="D110" i="40"/>
  <c r="D348" i="40"/>
  <c r="H295" i="40"/>
  <c r="D197" i="40"/>
  <c r="D201" i="40"/>
  <c r="D57" i="40"/>
  <c r="H308" i="40"/>
  <c r="D479" i="40"/>
  <c r="H384" i="40"/>
  <c r="D45" i="40"/>
  <c r="D266" i="40"/>
  <c r="D441" i="40"/>
  <c r="D458" i="40"/>
  <c r="D185" i="40"/>
  <c r="D39" i="40"/>
  <c r="D107" i="40"/>
  <c r="D437" i="40"/>
  <c r="D112" i="40"/>
  <c r="D174" i="40"/>
  <c r="D331" i="40"/>
  <c r="D160" i="40"/>
  <c r="D374" i="40"/>
  <c r="H94" i="40"/>
  <c r="H293" i="40"/>
  <c r="H311" i="40"/>
  <c r="D194" i="40"/>
  <c r="D205" i="40"/>
  <c r="D116" i="40"/>
  <c r="H183" i="40"/>
  <c r="D368" i="40"/>
  <c r="D202" i="40"/>
  <c r="D158" i="40"/>
  <c r="D282" i="40"/>
  <c r="H170" i="40"/>
  <c r="D7" i="40"/>
  <c r="D227" i="40"/>
  <c r="D421" i="40"/>
  <c r="H83" i="40"/>
  <c r="D77" i="40"/>
  <c r="D6" i="40"/>
  <c r="D142" i="40"/>
  <c r="D453" i="40"/>
  <c r="D61" i="40"/>
  <c r="H50" i="40"/>
  <c r="D452" i="40"/>
  <c r="D230" i="40"/>
  <c r="H64" i="40"/>
  <c r="D222" i="40"/>
  <c r="D131" i="40"/>
  <c r="D261" i="40"/>
  <c r="H376" i="40"/>
  <c r="H397" i="40"/>
  <c r="D109" i="40"/>
  <c r="H55" i="40"/>
  <c r="D8" i="40"/>
  <c r="H317" i="40"/>
  <c r="D459" i="40"/>
  <c r="D265" i="40"/>
  <c r="D477" i="40"/>
  <c r="D423" i="40"/>
  <c r="D286" i="40"/>
  <c r="D426" i="40"/>
  <c r="D221" i="40"/>
  <c r="D475" i="40"/>
  <c r="D163" i="40"/>
  <c r="D481" i="40"/>
  <c r="D281" i="40"/>
  <c r="H435" i="40"/>
  <c r="H47" i="40"/>
  <c r="D162" i="40"/>
  <c r="H320" i="40"/>
  <c r="H63" i="40"/>
  <c r="D186" i="40"/>
  <c r="D37" i="40"/>
  <c r="D362" i="40"/>
  <c r="H341" i="40"/>
  <c r="D251" i="40"/>
  <c r="D420" i="40"/>
  <c r="H310" i="40"/>
  <c r="D127" i="40"/>
  <c r="H343" i="40"/>
  <c r="D171" i="40"/>
  <c r="D195" i="40"/>
  <c r="D233" i="40"/>
  <c r="D78" i="40"/>
  <c r="D349" i="40"/>
  <c r="D345" i="40"/>
  <c r="H372" i="40"/>
  <c r="D24" i="40"/>
  <c r="D207" i="40"/>
  <c r="D318" i="40"/>
  <c r="D361" i="40"/>
  <c r="D114" i="40"/>
  <c r="D260" i="40"/>
  <c r="D86" i="40"/>
  <c r="D165" i="40"/>
  <c r="D10" i="40"/>
  <c r="H307" i="40"/>
  <c r="D93" i="40"/>
  <c r="H12" i="40"/>
  <c r="D9" i="40"/>
  <c r="D494" i="40"/>
  <c r="D214" i="40"/>
  <c r="D172" i="40"/>
  <c r="D297" i="40"/>
  <c r="D80" i="40"/>
  <c r="D313" i="40"/>
  <c r="D244" i="40"/>
  <c r="H347" i="40"/>
  <c r="H299" i="40"/>
  <c r="D123" i="40"/>
  <c r="H434" i="40"/>
  <c r="D122" i="40"/>
  <c r="D213" i="40"/>
  <c r="D82" i="40"/>
  <c r="D398" i="40"/>
  <c r="D232" i="40"/>
  <c r="D79" i="40"/>
  <c r="D263" i="40"/>
  <c r="D29" i="40"/>
  <c r="H92" i="40"/>
  <c r="H432" i="40"/>
  <c r="H203" i="40"/>
  <c r="D65" i="40"/>
  <c r="D125" i="40"/>
  <c r="H375" i="40"/>
  <c r="D128" i="40"/>
  <c r="D334" i="40"/>
  <c r="D104" i="40"/>
  <c r="D139" i="40"/>
  <c r="H400" i="40"/>
  <c r="H346" i="40"/>
  <c r="D367" i="40"/>
  <c r="D417" i="40"/>
  <c r="D433" i="40"/>
  <c r="D187" i="40"/>
  <c r="D389" i="40"/>
  <c r="D476" i="40"/>
  <c r="D184" i="40"/>
  <c r="D257" i="40"/>
  <c r="D457" i="40"/>
  <c r="D22" i="40"/>
  <c r="D439" i="40"/>
  <c r="D103" i="40"/>
  <c r="D196" i="40"/>
  <c r="H2" i="40"/>
  <c r="H51" i="40"/>
  <c r="H91" i="40"/>
  <c r="H314" i="40"/>
  <c r="D40" i="40"/>
  <c r="D11" i="40"/>
  <c r="H298" i="40"/>
  <c r="D425" i="40"/>
  <c r="D224" i="40"/>
  <c r="D81" i="40"/>
  <c r="D249" i="40"/>
  <c r="D309" i="40"/>
  <c r="D480" i="40"/>
  <c r="D44" i="40"/>
  <c r="D206" i="40"/>
  <c r="D247" i="40"/>
  <c r="D73" i="40"/>
  <c r="H382" i="40"/>
  <c r="H406" i="40"/>
  <c r="D370" i="40"/>
  <c r="D87" i="40"/>
  <c r="D386" i="40"/>
  <c r="D130" i="40"/>
  <c r="D419" i="40"/>
  <c r="D401" i="40"/>
  <c r="H402" i="40"/>
  <c r="D27" i="40"/>
  <c r="D363" i="40"/>
  <c r="D245" i="40"/>
  <c r="D478" i="40"/>
  <c r="D327" i="40"/>
  <c r="D25" i="40"/>
  <c r="D52" i="40"/>
  <c r="H287" i="40"/>
  <c r="H48" i="40"/>
  <c r="H167" i="40"/>
  <c r="D137" i="40"/>
  <c r="D454" i="40"/>
  <c r="D438" i="40"/>
  <c r="H305" i="40"/>
  <c r="D405" i="40"/>
  <c r="D15" i="40"/>
  <c r="D141" i="40"/>
  <c r="D144" i="40"/>
  <c r="H95" i="40"/>
  <c r="H292" i="40"/>
  <c r="D243" i="40"/>
  <c r="H168" i="40"/>
  <c r="D208" i="40"/>
  <c r="D440" i="40"/>
  <c r="H211" i="40"/>
  <c r="D246" i="40"/>
  <c r="D146" i="40"/>
  <c r="H175" i="40"/>
  <c r="D225" i="40"/>
  <c r="D179" i="40"/>
  <c r="D181" i="40"/>
  <c r="D493" i="40"/>
  <c r="D215" i="40"/>
  <c r="D369" i="40"/>
  <c r="D474" i="40"/>
  <c r="D200" i="40"/>
  <c r="D306" i="40"/>
  <c r="H385" i="40"/>
  <c r="D460" i="40"/>
  <c r="H329" i="40"/>
  <c r="D312" i="40"/>
  <c r="H53" i="40"/>
  <c r="D143" i="40"/>
  <c r="D388" i="40"/>
  <c r="D422" i="40"/>
  <c r="H350" i="40"/>
  <c r="H54" i="40"/>
  <c r="D277" i="40"/>
  <c r="H328" i="40"/>
  <c r="D115" i="40"/>
  <c r="D333" i="40"/>
  <c r="D199" i="40"/>
  <c r="D74" i="40"/>
  <c r="H373" i="40"/>
  <c r="D365" i="40"/>
  <c r="D38" i="40"/>
  <c r="H296" i="40"/>
  <c r="D178" i="40"/>
  <c r="D85" i="40"/>
  <c r="H67" i="40"/>
  <c r="G401" i="40"/>
  <c r="G284" i="40"/>
  <c r="G491" i="40"/>
  <c r="G254" i="40"/>
  <c r="G340" i="40"/>
  <c r="G337" i="40"/>
  <c r="G184" i="40"/>
  <c r="G408" i="40"/>
  <c r="G275" i="40"/>
  <c r="G328" i="40"/>
  <c r="G213" i="40"/>
  <c r="G356" i="40"/>
  <c r="G440" i="40"/>
  <c r="G226" i="40"/>
  <c r="G373" i="40"/>
  <c r="G338" i="40"/>
  <c r="G348" i="40"/>
  <c r="G309" i="40"/>
  <c r="G178" i="40"/>
  <c r="G286" i="40"/>
  <c r="G404" i="40"/>
  <c r="G393" i="40"/>
  <c r="G263" i="40"/>
  <c r="G377" i="40"/>
  <c r="G185" i="40"/>
  <c r="G202" i="40"/>
  <c r="G321" i="40"/>
  <c r="G369" i="40"/>
  <c r="G240" i="40"/>
  <c r="G434" i="40"/>
  <c r="F342" i="40"/>
  <c r="G488" i="40"/>
  <c r="G437" i="40"/>
  <c r="G457" i="40"/>
  <c r="G199" i="40"/>
  <c r="G234" i="40"/>
  <c r="G390" i="40"/>
  <c r="G203" i="40"/>
  <c r="G361" i="40"/>
  <c r="G495" i="40"/>
  <c r="G490" i="40"/>
  <c r="G216" i="40"/>
  <c r="G318" i="40"/>
  <c r="G388" i="40"/>
  <c r="G341" i="40"/>
  <c r="G266" i="40"/>
  <c r="G233" i="40"/>
  <c r="G454" i="40"/>
  <c r="F298" i="40"/>
  <c r="G276" i="40"/>
  <c r="G395" i="40"/>
  <c r="G421" i="40"/>
  <c r="G471" i="40"/>
  <c r="G465" i="40"/>
  <c r="G219" i="40"/>
  <c r="G382" i="40"/>
  <c r="G385" i="40"/>
  <c r="G441" i="40"/>
  <c r="G277" i="40"/>
  <c r="G359" i="40"/>
  <c r="G414" i="40"/>
  <c r="G428" i="40"/>
  <c r="G270" i="40"/>
  <c r="G371" i="40"/>
  <c r="G452" i="40"/>
  <c r="G484" i="40"/>
  <c r="G412" i="40"/>
  <c r="G453" i="40"/>
  <c r="G397" i="40"/>
  <c r="G196" i="40"/>
  <c r="G311" i="40"/>
  <c r="G451" i="40"/>
  <c r="G406" i="40"/>
  <c r="G477" i="40"/>
  <c r="G222" i="40"/>
  <c r="G249" i="40"/>
  <c r="G301" i="40"/>
  <c r="G353" i="40"/>
  <c r="G315" i="40"/>
  <c r="G207" i="40"/>
  <c r="G225" i="40"/>
  <c r="G470" i="40"/>
  <c r="G456" i="40"/>
  <c r="G352" i="40"/>
  <c r="G419" i="40"/>
  <c r="G405" i="40"/>
  <c r="G211" i="40"/>
  <c r="G335" i="40"/>
  <c r="G169" i="40"/>
  <c r="G378" i="40"/>
  <c r="G350" i="40"/>
  <c r="G314" i="40"/>
  <c r="G310" i="40"/>
  <c r="G447" i="40"/>
  <c r="G228" i="40"/>
  <c r="G343" i="40"/>
  <c r="G331" i="40"/>
  <c r="G367" i="40"/>
  <c r="G494" i="40"/>
  <c r="G462" i="40"/>
  <c r="G450" i="40"/>
  <c r="G221" i="40"/>
  <c r="G386" i="40"/>
  <c r="G325" i="40"/>
  <c r="F288" i="40"/>
  <c r="G376" i="40"/>
  <c r="G445" i="40"/>
  <c r="F295" i="40"/>
  <c r="G426" i="40"/>
  <c r="G360" i="40"/>
  <c r="F297" i="40"/>
  <c r="G435" i="40"/>
  <c r="G424" i="40"/>
  <c r="G394" i="40"/>
  <c r="G227" i="40"/>
  <c r="G473" i="40"/>
  <c r="G313" i="40"/>
  <c r="G493" i="40"/>
  <c r="G307" i="40"/>
  <c r="G476" i="40"/>
  <c r="G179" i="40"/>
  <c r="G443" i="40"/>
  <c r="G176" i="40"/>
  <c r="G347" i="40"/>
  <c r="G339" i="40"/>
  <c r="G272" i="40"/>
  <c r="G258" i="40"/>
  <c r="G210" i="40"/>
  <c r="F336" i="40"/>
  <c r="G400" i="40"/>
  <c r="G480" i="40"/>
  <c r="G487" i="40"/>
  <c r="G320" i="40"/>
  <c r="G273" i="40"/>
  <c r="G223" i="40"/>
  <c r="G250" i="40"/>
  <c r="G281" i="40"/>
  <c r="F300" i="40"/>
  <c r="G260" i="40"/>
  <c r="G425" i="40"/>
  <c r="G438" i="40"/>
  <c r="G248" i="40"/>
  <c r="G415" i="40"/>
  <c r="G267" i="40"/>
  <c r="G190" i="40"/>
  <c r="G246" i="40"/>
  <c r="G351" i="40"/>
  <c r="G489" i="40"/>
  <c r="G269" i="40"/>
  <c r="G363" i="40"/>
  <c r="G214" i="40"/>
  <c r="G442" i="40"/>
  <c r="G292" i="40"/>
  <c r="G282" i="40"/>
  <c r="G399" i="40"/>
  <c r="G217" i="40"/>
  <c r="G346" i="40"/>
  <c r="G481" i="40"/>
  <c r="G439" i="40"/>
  <c r="G192" i="40"/>
  <c r="G252" i="40"/>
  <c r="G483" i="40"/>
  <c r="G449" i="40"/>
  <c r="G383" i="40"/>
  <c r="G302" i="40"/>
  <c r="G200" i="40"/>
  <c r="G417" i="40"/>
  <c r="G324" i="40"/>
  <c r="G183" i="40"/>
  <c r="G204" i="40"/>
  <c r="G407" i="40"/>
  <c r="G243" i="40"/>
  <c r="G191" i="40"/>
  <c r="G420" i="40"/>
  <c r="G247" i="40"/>
  <c r="G304" i="40"/>
  <c r="F392" i="40"/>
  <c r="G455" i="40"/>
  <c r="G368" i="40"/>
  <c r="G170" i="40"/>
  <c r="G323" i="40"/>
  <c r="G173" i="40"/>
  <c r="G375" i="40"/>
  <c r="G322" i="40"/>
  <c r="G459" i="40"/>
  <c r="G235" i="40"/>
  <c r="G372" i="40"/>
  <c r="G293" i="40"/>
  <c r="F168" i="40"/>
  <c r="G345" i="40"/>
  <c r="G422" i="40"/>
  <c r="G364" i="40"/>
  <c r="G278" i="40"/>
  <c r="G496" i="40"/>
  <c r="G387" i="40"/>
  <c r="G413" i="40"/>
  <c r="G175" i="40"/>
  <c r="G433" i="40"/>
  <c r="G329" i="40"/>
  <c r="G330" i="40"/>
  <c r="G409" i="40"/>
  <c r="G303" i="40"/>
  <c r="G198" i="40"/>
  <c r="G218" i="40"/>
  <c r="G205" i="40"/>
  <c r="G474" i="40"/>
  <c r="G194" i="40"/>
  <c r="G461" i="40"/>
  <c r="G478" i="40"/>
  <c r="G230" i="40"/>
  <c r="G289" i="40"/>
  <c r="G279" i="40"/>
  <c r="G427" i="40"/>
  <c r="G245" i="40"/>
  <c r="G256" i="40"/>
  <c r="G366" i="40"/>
  <c r="G380" i="40"/>
  <c r="G432" i="40"/>
  <c r="G365" i="40"/>
  <c r="G384" i="40"/>
  <c r="G332" i="40"/>
  <c r="G379" i="40"/>
  <c r="G290" i="40"/>
  <c r="G182" i="40"/>
  <c r="G358" i="40"/>
  <c r="G197" i="40"/>
  <c r="G193" i="40"/>
  <c r="G241" i="40"/>
  <c r="G186" i="40"/>
  <c r="G492" i="40"/>
  <c r="G220" i="40"/>
  <c r="G285" i="40"/>
  <c r="G305" i="40"/>
  <c r="G271" i="40"/>
  <c r="G268" i="40"/>
  <c r="G167" i="40"/>
  <c r="G482" i="40"/>
  <c r="G370" i="40"/>
  <c r="G180" i="40"/>
  <c r="G239" i="40"/>
  <c r="G486" i="40"/>
  <c r="G171" i="40"/>
  <c r="G362" i="40"/>
  <c r="F398" i="40"/>
  <c r="G458" i="40"/>
  <c r="G181" i="40"/>
  <c r="F291" i="40"/>
  <c r="G188" i="40"/>
  <c r="G418" i="40"/>
  <c r="G255" i="40"/>
  <c r="G236" i="40"/>
  <c r="G212" i="40"/>
  <c r="G253" i="40"/>
  <c r="G209" i="40"/>
  <c r="G244" i="40"/>
  <c r="G466" i="40"/>
  <c r="G262" i="40"/>
  <c r="G265" i="40"/>
  <c r="G355" i="40"/>
  <c r="G431" i="40"/>
  <c r="G317" i="40"/>
  <c r="G231" i="40"/>
  <c r="G326" i="40"/>
  <c r="G238" i="40"/>
  <c r="G174" i="40"/>
  <c r="G469" i="40"/>
  <c r="G357" i="40"/>
  <c r="G485" i="40"/>
  <c r="G334" i="40"/>
  <c r="G177" i="40"/>
  <c r="G195" i="40"/>
  <c r="G423" i="40"/>
  <c r="G411" i="40"/>
  <c r="G349" i="40"/>
  <c r="G436" i="40"/>
  <c r="G391" i="40"/>
  <c r="G251" i="40"/>
  <c r="G467" i="40"/>
  <c r="G472" i="40"/>
  <c r="G316" i="40"/>
  <c r="G448" i="40"/>
  <c r="G468" i="40"/>
  <c r="G280" i="40"/>
  <c r="G257" i="40"/>
  <c r="G381" i="40"/>
  <c r="G444" i="40"/>
  <c r="G261" i="40"/>
  <c r="G460" i="40"/>
  <c r="G224" i="40"/>
  <c r="G206" i="40"/>
  <c r="G463" i="40"/>
  <c r="F296" i="40"/>
  <c r="G402" i="40"/>
  <c r="G327" i="40"/>
  <c r="G264" i="40"/>
  <c r="G403" i="40"/>
  <c r="G389" i="40"/>
  <c r="G201" i="40"/>
  <c r="G479" i="40"/>
  <c r="G344" i="40"/>
  <c r="G215" i="40"/>
  <c r="G237" i="40"/>
  <c r="G312" i="40"/>
  <c r="F306" i="40"/>
  <c r="G232" i="40"/>
  <c r="G475" i="40"/>
  <c r="G410" i="40"/>
  <c r="G396" i="40"/>
  <c r="G187" i="40"/>
  <c r="G274" i="40"/>
  <c r="G416" i="40"/>
  <c r="G242" i="40"/>
  <c r="G374" i="40"/>
  <c r="G229" i="40"/>
  <c r="F287" i="40"/>
  <c r="G189" i="40"/>
  <c r="G172" i="40"/>
  <c r="G446" i="40"/>
  <c r="G283" i="40"/>
  <c r="F299" i="40"/>
  <c r="G319" i="40"/>
  <c r="G333" i="40"/>
  <c r="G259" i="40"/>
  <c r="G208" i="40"/>
  <c r="F294" i="40"/>
  <c r="G308" i="40"/>
  <c r="G354" i="40"/>
  <c r="G429" i="40"/>
  <c r="G464" i="40"/>
  <c r="G430" i="40"/>
  <c r="DL17" i="3"/>
  <c r="AU25" i="3" s="1"/>
  <c r="AR9" i="3"/>
  <c r="AQ9" i="3"/>
  <c r="H7" i="45"/>
  <c r="AT9" i="3"/>
  <c r="J7" i="45" s="1"/>
  <c r="AO9" i="3"/>
  <c r="AP9" i="3"/>
  <c r="AN9" i="3"/>
  <c r="AM9" i="3"/>
  <c r="I7" i="45" s="1"/>
  <c r="AK9" i="3" a="1"/>
  <c r="AK9" i="3" s="1"/>
  <c r="AS9" i="3"/>
  <c r="BL69" i="3"/>
  <c r="BL64" i="3"/>
  <c r="BE69" i="3"/>
  <c r="BR69" i="3" s="1"/>
  <c r="BF69" i="3"/>
  <c r="BF65" i="3"/>
  <c r="BE65" i="3"/>
  <c r="BR65" i="3" s="1"/>
  <c r="AK79" i="3" a="1"/>
  <c r="AK79" i="3" s="1"/>
  <c r="AO79" i="3"/>
  <c r="AT79" i="3"/>
  <c r="V29" i="45" s="1"/>
  <c r="AQ79" i="3"/>
  <c r="AP79" i="3"/>
  <c r="AS79" i="3"/>
  <c r="AN79" i="3"/>
  <c r="AM79" i="3"/>
  <c r="U29" i="45" s="1"/>
  <c r="T29" i="45"/>
  <c r="AR79" i="3"/>
  <c r="I244" i="40"/>
  <c r="I32" i="40"/>
  <c r="I249" i="40"/>
  <c r="I258" i="40"/>
  <c r="I57" i="40"/>
  <c r="I302" i="40"/>
  <c r="I132" i="40"/>
  <c r="I398" i="40"/>
  <c r="I404" i="40"/>
  <c r="I127" i="40"/>
  <c r="I427" i="40"/>
  <c r="I34" i="40"/>
  <c r="I464" i="40"/>
  <c r="I207" i="40"/>
  <c r="I383" i="40"/>
  <c r="I96" i="40"/>
  <c r="I375" i="40"/>
  <c r="I446" i="40"/>
  <c r="I185" i="40"/>
  <c r="I268" i="40"/>
  <c r="I372" i="40"/>
  <c r="I178" i="40"/>
  <c r="I56" i="40"/>
  <c r="I247" i="40"/>
  <c r="I15" i="40"/>
  <c r="I331" i="40"/>
  <c r="I407" i="40"/>
  <c r="I382" i="40"/>
  <c r="I5" i="40"/>
  <c r="I271" i="40"/>
  <c r="I102" i="40"/>
  <c r="I58" i="40"/>
  <c r="I483" i="40"/>
  <c r="I142" i="40"/>
  <c r="I101" i="40"/>
  <c r="I154" i="40"/>
  <c r="I475" i="40"/>
  <c r="I316" i="40"/>
  <c r="I111" i="40"/>
  <c r="I467" i="40"/>
  <c r="I243" i="40"/>
  <c r="I300" i="40"/>
  <c r="I53" i="40"/>
  <c r="I39" i="40"/>
  <c r="I345" i="40"/>
  <c r="I77" i="40"/>
  <c r="I452" i="40"/>
  <c r="I122" i="40"/>
  <c r="I33" i="40"/>
  <c r="I198" i="40"/>
  <c r="I200" i="40"/>
  <c r="I203" i="40"/>
  <c r="I113" i="40"/>
  <c r="I212" i="40"/>
  <c r="I112" i="40"/>
  <c r="I177" i="40"/>
  <c r="I71" i="40"/>
  <c r="I193" i="40"/>
  <c r="I352" i="40"/>
  <c r="I418" i="40"/>
  <c r="I378" i="40"/>
  <c r="I234" i="40"/>
  <c r="I175" i="40"/>
  <c r="I389" i="40"/>
  <c r="I98" i="40"/>
  <c r="I217" i="40"/>
  <c r="I449" i="40"/>
  <c r="I339" i="40"/>
  <c r="I261" i="40"/>
  <c r="I367" i="40"/>
  <c r="I324" i="40"/>
  <c r="I428" i="40"/>
  <c r="I74" i="40"/>
  <c r="I361" i="40"/>
  <c r="I252" i="40"/>
  <c r="I330" i="40"/>
  <c r="I186" i="40"/>
  <c r="I447" i="40"/>
  <c r="I305" i="40"/>
  <c r="I152" i="40"/>
  <c r="I183" i="40"/>
  <c r="I310" i="40"/>
  <c r="I274" i="40"/>
  <c r="I374" i="40"/>
  <c r="I3" i="40"/>
  <c r="I455" i="40"/>
  <c r="I168" i="40"/>
  <c r="I129" i="40"/>
  <c r="I473" i="40"/>
  <c r="I180" i="40"/>
  <c r="I411" i="40"/>
  <c r="I176" i="40"/>
  <c r="I213" i="40"/>
  <c r="I83" i="40"/>
  <c r="I232" i="40"/>
  <c r="I402" i="40"/>
  <c r="I115" i="40"/>
  <c r="I70" i="40"/>
  <c r="I134" i="40"/>
  <c r="I9" i="40"/>
  <c r="I37" i="40"/>
  <c r="I384" i="40"/>
  <c r="I323" i="40"/>
  <c r="I317" i="40"/>
  <c r="I306" i="40"/>
  <c r="I119" i="40"/>
  <c r="I264" i="40"/>
  <c r="I27" i="40"/>
  <c r="I223" i="40"/>
  <c r="I35" i="40"/>
  <c r="I93" i="40"/>
  <c r="I62" i="40"/>
  <c r="I336" i="40"/>
  <c r="I108" i="40"/>
  <c r="I430" i="40"/>
  <c r="I321" i="40"/>
  <c r="I337" i="40"/>
  <c r="I195" i="40"/>
  <c r="I11" i="40"/>
  <c r="I65" i="40"/>
  <c r="I353" i="40"/>
  <c r="I80" i="40"/>
  <c r="I408" i="40"/>
  <c r="I240" i="40"/>
  <c r="I417" i="40"/>
  <c r="I246" i="40"/>
  <c r="I233" i="40"/>
  <c r="I342" i="40"/>
  <c r="I23" i="40"/>
  <c r="I298" i="40"/>
  <c r="I290" i="40"/>
  <c r="I216" i="40"/>
  <c r="I49" i="40"/>
  <c r="I208" i="40"/>
  <c r="I124" i="40"/>
  <c r="I19" i="40"/>
  <c r="I395" i="40"/>
  <c r="I151" i="40"/>
  <c r="I75" i="40"/>
  <c r="I169" i="40"/>
  <c r="I303" i="40"/>
  <c r="I144" i="40"/>
  <c r="I173" i="40"/>
  <c r="I322" i="40"/>
  <c r="I253" i="40"/>
  <c r="I118" i="40"/>
  <c r="I179" i="40"/>
  <c r="I380" i="40"/>
  <c r="I6" i="40"/>
  <c r="I297" i="40"/>
  <c r="I356" i="40"/>
  <c r="I442" i="40"/>
  <c r="I51" i="40"/>
  <c r="I149" i="40"/>
  <c r="I433" i="40"/>
  <c r="I59" i="40"/>
  <c r="I21" i="40"/>
  <c r="I343" i="40"/>
  <c r="I126" i="40"/>
  <c r="I52" i="40"/>
  <c r="I66" i="40"/>
  <c r="I272" i="40"/>
  <c r="I386" i="40"/>
  <c r="I22" i="40"/>
  <c r="I338" i="40"/>
  <c r="I48" i="40"/>
  <c r="I351" i="40"/>
  <c r="I91" i="40"/>
  <c r="I392" i="40"/>
  <c r="I259" i="40"/>
  <c r="I488" i="40"/>
  <c r="I120" i="40"/>
  <c r="I466" i="40"/>
  <c r="I50" i="40"/>
  <c r="I123" i="40"/>
  <c r="I301" i="40"/>
  <c r="I355" i="40"/>
  <c r="I197" i="40"/>
  <c r="I28" i="40"/>
  <c r="I278" i="40"/>
  <c r="I262" i="40"/>
  <c r="I90" i="40"/>
  <c r="I189" i="40"/>
  <c r="I117" i="40"/>
  <c r="I312" i="40"/>
  <c r="I206" i="40"/>
  <c r="I148" i="40"/>
  <c r="I172" i="40"/>
  <c r="I327" i="40"/>
  <c r="I97" i="40"/>
  <c r="I423" i="40"/>
  <c r="I188" i="40"/>
  <c r="I393" i="40"/>
  <c r="I469" i="40"/>
  <c r="I92" i="40"/>
  <c r="I346" i="40"/>
  <c r="I158" i="40"/>
  <c r="I8" i="40"/>
  <c r="I463" i="40"/>
  <c r="I387" i="40"/>
  <c r="I114" i="40"/>
  <c r="I283" i="40"/>
  <c r="I190" i="40"/>
  <c r="I84" i="40"/>
  <c r="I38" i="40"/>
  <c r="I42" i="40"/>
  <c r="I292" i="40"/>
  <c r="I401" i="40"/>
  <c r="I157" i="40"/>
  <c r="I182" i="40"/>
  <c r="I226" i="40"/>
  <c r="I24" i="40"/>
  <c r="I69" i="40"/>
  <c r="I221" i="40"/>
  <c r="I458" i="40"/>
  <c r="I231" i="40"/>
  <c r="I309" i="40"/>
  <c r="I103" i="40"/>
  <c r="I139" i="40"/>
  <c r="I341" i="40"/>
  <c r="I141" i="40"/>
  <c r="I30" i="40"/>
  <c r="I432" i="40"/>
  <c r="I211" i="40"/>
  <c r="I362" i="40"/>
  <c r="I205" i="40"/>
  <c r="I171" i="40"/>
  <c r="I315" i="40"/>
  <c r="I287" i="40"/>
  <c r="I133" i="40"/>
  <c r="I60" i="40"/>
  <c r="I94" i="40"/>
  <c r="I326" i="40"/>
  <c r="I194" i="40"/>
  <c r="I44" i="40"/>
  <c r="I371" i="40"/>
  <c r="I228" i="40"/>
  <c r="I238" i="40"/>
  <c r="I377" i="40"/>
  <c r="I462" i="40"/>
  <c r="I222" i="40"/>
  <c r="I47" i="40"/>
  <c r="I41" i="40"/>
  <c r="I26" i="40"/>
  <c r="I204" i="40"/>
  <c r="I399" i="40"/>
  <c r="I64" i="40"/>
  <c r="I237" i="40"/>
  <c r="I280" i="40"/>
  <c r="I13" i="40"/>
  <c r="I7" i="40"/>
  <c r="I255" i="40"/>
  <c r="I429" i="40"/>
  <c r="I147" i="40"/>
  <c r="I295" i="40"/>
  <c r="I235" i="40"/>
  <c r="I225" i="40"/>
  <c r="I29" i="40"/>
  <c r="I191" i="40"/>
  <c r="I137" i="40"/>
  <c r="I412" i="40"/>
  <c r="I348" i="40"/>
  <c r="I167" i="40"/>
  <c r="I296" i="40"/>
  <c r="I160" i="40"/>
  <c r="I242" i="40"/>
  <c r="I138" i="40"/>
  <c r="I87" i="40"/>
  <c r="I328" i="40"/>
  <c r="I219" i="40"/>
  <c r="I394" i="40"/>
  <c r="I254" i="40"/>
  <c r="I16" i="40"/>
  <c r="I277" i="40"/>
  <c r="I20" i="40"/>
  <c r="I170" i="40"/>
  <c r="I333" i="40"/>
  <c r="I267" i="40"/>
  <c r="I482" i="40"/>
  <c r="I218" i="40"/>
  <c r="I63" i="40"/>
  <c r="I17" i="40"/>
  <c r="I414" i="40"/>
  <c r="I105" i="40"/>
  <c r="I492" i="40"/>
  <c r="I373" i="40"/>
  <c r="I409" i="40"/>
  <c r="I289" i="40"/>
  <c r="I55" i="40"/>
  <c r="I214" i="40"/>
  <c r="I291" i="40"/>
  <c r="I364" i="40"/>
  <c r="I68" i="40"/>
  <c r="I485" i="40"/>
  <c r="I379" i="40"/>
  <c r="I106" i="40"/>
  <c r="I257" i="40"/>
  <c r="I472" i="40"/>
  <c r="I99" i="40"/>
  <c r="I163" i="40"/>
  <c r="I478" i="40"/>
  <c r="I397" i="40"/>
  <c r="I294" i="40"/>
  <c r="I73" i="40"/>
  <c r="I269" i="40"/>
  <c r="I14" i="40"/>
  <c r="I318" i="40"/>
  <c r="I443" i="40"/>
  <c r="I439" i="40"/>
  <c r="I319" i="40"/>
  <c r="I444" i="40"/>
  <c r="I434" i="40"/>
  <c r="I307" i="40"/>
  <c r="I437" i="40"/>
  <c r="I2" i="40"/>
  <c r="I453" i="40"/>
  <c r="I420" i="40"/>
  <c r="I88" i="40"/>
  <c r="I78" i="40"/>
  <c r="I85" i="40"/>
  <c r="I86" i="40"/>
  <c r="I358" i="40"/>
  <c r="I436" i="40"/>
  <c r="I4" i="40"/>
  <c r="I210" i="40"/>
  <c r="I12" i="40"/>
  <c r="I239" i="40"/>
  <c r="I135" i="40"/>
  <c r="I288" i="40"/>
  <c r="I184" i="40"/>
  <c r="AR16" i="3"/>
  <c r="AT16" i="3"/>
  <c r="J14" i="45" s="1"/>
  <c r="H14" i="45"/>
  <c r="AP16" i="3"/>
  <c r="AQ16" i="3"/>
  <c r="AK16" i="3" a="1"/>
  <c r="AK16" i="3" s="1"/>
  <c r="AN16" i="3"/>
  <c r="AO16" i="3"/>
  <c r="AS16" i="3"/>
  <c r="AM16" i="3"/>
  <c r="I14" i="45" s="1"/>
  <c r="F439" i="40"/>
  <c r="C151" i="40"/>
  <c r="C39" i="40"/>
  <c r="F399" i="40"/>
  <c r="F262" i="40"/>
  <c r="F114" i="40"/>
  <c r="C279" i="40"/>
  <c r="C127" i="40"/>
  <c r="F133" i="40"/>
  <c r="F462" i="40"/>
  <c r="C493" i="40"/>
  <c r="F18" i="40"/>
  <c r="F145" i="40"/>
  <c r="F109" i="40"/>
  <c r="F240" i="40"/>
  <c r="F371" i="40"/>
  <c r="F27" i="40"/>
  <c r="C164" i="40"/>
  <c r="C20" i="40"/>
  <c r="C243" i="40"/>
  <c r="H392" i="40"/>
  <c r="C485" i="40"/>
  <c r="C23" i="40"/>
  <c r="C147" i="40"/>
  <c r="F220" i="40"/>
  <c r="F450" i="40"/>
  <c r="F144" i="40"/>
  <c r="C162" i="40"/>
  <c r="C159" i="40"/>
  <c r="F397" i="40"/>
  <c r="F254" i="40"/>
  <c r="C45" i="40"/>
  <c r="C157" i="40"/>
  <c r="C484" i="40"/>
  <c r="F436" i="40"/>
  <c r="C278" i="40"/>
  <c r="F248" i="40"/>
  <c r="C444" i="40"/>
  <c r="F415" i="40"/>
  <c r="F284" i="40"/>
  <c r="F246" i="40"/>
  <c r="F26" i="40"/>
  <c r="C435" i="40"/>
  <c r="F17" i="40"/>
  <c r="F249" i="40"/>
  <c r="C125" i="40"/>
  <c r="F141" i="40"/>
  <c r="F102" i="40"/>
  <c r="C153" i="40"/>
  <c r="H398" i="40"/>
  <c r="F460" i="40"/>
  <c r="F99" i="40"/>
  <c r="F388" i="40"/>
  <c r="F229" i="40"/>
  <c r="C443" i="40"/>
  <c r="F377" i="40"/>
  <c r="F239" i="40"/>
  <c r="F473" i="40"/>
  <c r="F413" i="40"/>
  <c r="C445" i="40"/>
  <c r="F89" i="40"/>
  <c r="F204" i="40"/>
  <c r="F140" i="40"/>
  <c r="F208" i="40"/>
  <c r="C40" i="40"/>
  <c r="F14" i="40"/>
  <c r="F87" i="40"/>
  <c r="F19" i="40"/>
  <c r="F428" i="40"/>
  <c r="F274" i="40"/>
  <c r="F391" i="40"/>
  <c r="F266" i="40"/>
  <c r="F479" i="40"/>
  <c r="F406" i="40"/>
  <c r="C495" i="40"/>
  <c r="F459" i="40"/>
  <c r="F211" i="40"/>
  <c r="F372" i="40"/>
  <c r="F403" i="40"/>
  <c r="F84" i="40"/>
  <c r="F441" i="40"/>
  <c r="F433" i="40"/>
  <c r="F390" i="40"/>
  <c r="C492" i="40"/>
  <c r="F110" i="40"/>
  <c r="F475" i="40"/>
  <c r="F232" i="40"/>
  <c r="F490" i="40"/>
  <c r="C447" i="40"/>
  <c r="F31" i="40"/>
  <c r="F115" i="40"/>
  <c r="F394" i="40"/>
  <c r="C282" i="40"/>
  <c r="F96" i="40"/>
  <c r="F474" i="40"/>
  <c r="F83" i="40"/>
  <c r="C22" i="40"/>
  <c r="F276" i="40"/>
  <c r="F165" i="40"/>
  <c r="C161" i="40"/>
  <c r="F488" i="40"/>
  <c r="F146" i="40"/>
  <c r="C46" i="40"/>
  <c r="F250" i="40"/>
  <c r="F437" i="40"/>
  <c r="F429" i="40"/>
  <c r="F381" i="40"/>
  <c r="C242" i="40"/>
  <c r="F395" i="40"/>
  <c r="C129" i="40"/>
  <c r="C268" i="40"/>
  <c r="F387" i="40"/>
  <c r="C154" i="40"/>
  <c r="F466" i="40"/>
  <c r="F223" i="40"/>
  <c r="F259" i="40"/>
  <c r="C281" i="40"/>
  <c r="F470" i="40"/>
  <c r="F275" i="40"/>
  <c r="F138" i="40"/>
  <c r="F414" i="40"/>
  <c r="C244" i="40"/>
  <c r="F424" i="40"/>
  <c r="F425" i="40"/>
  <c r="F258" i="40"/>
  <c r="F13" i="40"/>
  <c r="F206" i="40"/>
  <c r="C456" i="40"/>
  <c r="F422" i="40"/>
  <c r="C33" i="40"/>
  <c r="F264" i="40"/>
  <c r="F241" i="40"/>
  <c r="F98" i="40"/>
  <c r="C43" i="40"/>
  <c r="C453" i="40"/>
  <c r="C487" i="40"/>
  <c r="F210" i="40"/>
  <c r="F214" i="40"/>
  <c r="F132" i="40"/>
  <c r="C247" i="40"/>
  <c r="F106" i="40"/>
  <c r="F222" i="40"/>
  <c r="C155" i="40"/>
  <c r="F449" i="40"/>
  <c r="F401" i="40"/>
  <c r="F461" i="40"/>
  <c r="C280" i="40"/>
  <c r="F260" i="40"/>
  <c r="C269" i="40"/>
  <c r="F207" i="40"/>
  <c r="C166" i="40"/>
  <c r="F286" i="40"/>
  <c r="C163" i="40"/>
  <c r="F477" i="40"/>
  <c r="C156" i="40"/>
  <c r="F28" i="40"/>
  <c r="C41" i="40"/>
  <c r="C121" i="40"/>
  <c r="F255" i="40"/>
  <c r="F393" i="40"/>
  <c r="F265" i="40"/>
  <c r="F85" i="40"/>
  <c r="C267" i="40"/>
  <c r="C432" i="40"/>
  <c r="C122" i="40"/>
  <c r="C32" i="40"/>
  <c r="F231" i="40"/>
  <c r="C384" i="40"/>
  <c r="C34" i="40"/>
  <c r="F257" i="40"/>
  <c r="F213" i="40"/>
  <c r="F105" i="40"/>
  <c r="F373" i="40"/>
  <c r="F418" i="40"/>
  <c r="F285" i="40"/>
  <c r="F472" i="40"/>
  <c r="F111" i="40"/>
  <c r="F15" i="40"/>
  <c r="C149" i="40"/>
  <c r="F396" i="40"/>
  <c r="F93" i="40"/>
  <c r="F225" i="40"/>
  <c r="C24" i="40"/>
  <c r="F417" i="40"/>
  <c r="F380" i="40"/>
  <c r="F216" i="40"/>
  <c r="F272" i="40"/>
  <c r="F234" i="40"/>
  <c r="F30" i="40"/>
  <c r="F465" i="40"/>
  <c r="C119" i="40"/>
  <c r="C21" i="40"/>
  <c r="F251" i="40"/>
  <c r="F236" i="40"/>
  <c r="F95" i="40"/>
  <c r="C245" i="40"/>
  <c r="F420" i="40"/>
  <c r="F400" i="40"/>
  <c r="F448" i="40"/>
  <c r="F263" i="40"/>
  <c r="F476" i="40"/>
  <c r="F253" i="40"/>
  <c r="F379" i="40"/>
  <c r="C38" i="40"/>
  <c r="C44" i="40"/>
  <c r="F113" i="40"/>
  <c r="F446" i="40"/>
  <c r="F271" i="40"/>
  <c r="F409" i="40"/>
  <c r="F378" i="40"/>
  <c r="F12" i="40"/>
  <c r="C130" i="40"/>
  <c r="F139" i="40"/>
  <c r="F100" i="40"/>
  <c r="F97" i="40"/>
  <c r="C37" i="40"/>
  <c r="F412" i="40"/>
  <c r="F469" i="40"/>
  <c r="F468" i="40"/>
  <c r="F430" i="40"/>
  <c r="F219" i="40"/>
  <c r="F142" i="40"/>
  <c r="F375" i="40"/>
  <c r="F252" i="40"/>
  <c r="F238" i="40"/>
  <c r="C124" i="40"/>
  <c r="C486" i="40"/>
  <c r="F256" i="40"/>
  <c r="F91" i="40"/>
  <c r="F386" i="40"/>
  <c r="F233" i="40"/>
  <c r="F481" i="40"/>
  <c r="F431" i="40"/>
  <c r="C120" i="40"/>
  <c r="F136" i="40"/>
  <c r="F426" i="40"/>
  <c r="F90" i="40"/>
  <c r="F104" i="40"/>
  <c r="C434" i="40"/>
  <c r="F116" i="40"/>
  <c r="C148" i="40"/>
  <c r="F405" i="40"/>
  <c r="C454" i="40"/>
  <c r="F374" i="40"/>
  <c r="C457" i="40"/>
  <c r="F135" i="40"/>
  <c r="C482" i="40"/>
  <c r="C270" i="40"/>
  <c r="F376" i="40"/>
  <c r="F212" i="40"/>
  <c r="F29" i="40"/>
  <c r="C42" i="40"/>
  <c r="F92" i="40"/>
  <c r="F427" i="40"/>
  <c r="F205" i="40"/>
  <c r="F478" i="40"/>
  <c r="F408" i="40"/>
  <c r="F496" i="40"/>
  <c r="F389" i="40"/>
  <c r="F131" i="40"/>
  <c r="F411" i="40"/>
  <c r="C452" i="40"/>
  <c r="F226" i="40"/>
  <c r="F383" i="40"/>
  <c r="C277" i="40"/>
  <c r="F440" i="40"/>
  <c r="F438" i="40"/>
  <c r="F416" i="40"/>
  <c r="F101" i="40"/>
  <c r="F11" i="40"/>
  <c r="C118" i="40"/>
  <c r="F16" i="40"/>
  <c r="F273" i="40"/>
  <c r="F86" i="40"/>
  <c r="C152" i="40"/>
  <c r="F230" i="40"/>
  <c r="F224" i="40"/>
  <c r="C385" i="40"/>
  <c r="C237" i="40"/>
  <c r="C35" i="40"/>
  <c r="C160" i="40"/>
  <c r="F143" i="40"/>
  <c r="C494" i="40"/>
  <c r="C382" i="40"/>
  <c r="F261" i="40"/>
  <c r="F283" i="40"/>
  <c r="F419" i="40"/>
  <c r="C126" i="40"/>
  <c r="C458" i="40"/>
  <c r="F404" i="40"/>
  <c r="F128" i="40"/>
  <c r="F103" i="40"/>
  <c r="F464" i="40"/>
  <c r="F221" i="40"/>
  <c r="F112" i="40"/>
  <c r="F218" i="40"/>
  <c r="F410" i="40"/>
  <c r="F227" i="40"/>
  <c r="F471" i="40"/>
  <c r="C150" i="40"/>
  <c r="F94" i="40"/>
  <c r="C25" i="40"/>
  <c r="F203" i="40"/>
  <c r="F480" i="40"/>
  <c r="C483" i="40"/>
  <c r="F215" i="40"/>
  <c r="F407" i="40"/>
  <c r="F209" i="40"/>
  <c r="F491" i="40"/>
  <c r="F423" i="40"/>
  <c r="F134" i="40"/>
  <c r="C442" i="40"/>
  <c r="F228" i="40"/>
  <c r="F88" i="40"/>
  <c r="C36" i="40"/>
  <c r="F489" i="40"/>
  <c r="C117" i="40"/>
  <c r="C158" i="40"/>
  <c r="F107" i="40"/>
  <c r="C123" i="40"/>
  <c r="C455" i="40"/>
  <c r="F108" i="40"/>
  <c r="F137" i="40"/>
  <c r="F467" i="40"/>
  <c r="F217" i="40"/>
  <c r="F402" i="40"/>
  <c r="F463" i="40"/>
  <c r="F235" i="40"/>
  <c r="F421" i="40"/>
  <c r="F451" i="40"/>
  <c r="AS31" i="3"/>
  <c r="AO31" i="3"/>
  <c r="AN31" i="3"/>
  <c r="AM31" i="3"/>
  <c r="I29" i="45" s="1"/>
  <c r="AK31" i="3" a="1"/>
  <c r="AK31" i="3" s="1"/>
  <c r="AQ31" i="3"/>
  <c r="H29" i="45"/>
  <c r="AP31" i="3"/>
  <c r="AR31" i="3"/>
  <c r="AT31" i="3"/>
  <c r="J29" i="45" s="1"/>
  <c r="M116" i="3"/>
  <c r="AA114" i="3" s="1"/>
  <c r="AK22" i="3" a="1"/>
  <c r="AK22" i="3" s="1"/>
  <c r="H20" i="45"/>
  <c r="AR22" i="3"/>
  <c r="AN22" i="3"/>
  <c r="AQ22" i="3"/>
  <c r="AS22" i="3"/>
  <c r="AM22" i="3"/>
  <c r="I20" i="45" s="1"/>
  <c r="AP22" i="3"/>
  <c r="AT22" i="3"/>
  <c r="J20" i="45" s="1"/>
  <c r="AO22" i="3"/>
  <c r="M104" i="3"/>
  <c r="AA102" i="3" s="1"/>
  <c r="D102" i="3" s="1"/>
  <c r="DL16" i="3"/>
  <c r="AU24" i="3" s="1"/>
  <c r="DL25" i="3"/>
  <c r="AU41" i="3" s="1"/>
  <c r="BL67" i="3"/>
  <c r="AQ33" i="3"/>
  <c r="AS33" i="3"/>
  <c r="AT33" i="3"/>
  <c r="J31" i="45" s="1"/>
  <c r="AR33" i="3"/>
  <c r="AK33" i="3" a="1"/>
  <c r="AK33" i="3" s="1"/>
  <c r="AP33" i="3"/>
  <c r="AN33" i="3"/>
  <c r="AO33" i="3"/>
  <c r="AM33" i="3"/>
  <c r="I31" i="45" s="1"/>
  <c r="H31" i="45"/>
  <c r="AO95" i="3"/>
  <c r="AK95" i="3" a="1"/>
  <c r="AK95" i="3" s="1"/>
  <c r="AS95" i="3"/>
  <c r="AM95" i="3"/>
  <c r="U45" i="45" s="1"/>
  <c r="T45" i="45"/>
  <c r="AR95" i="3"/>
  <c r="AN95" i="3"/>
  <c r="AP95" i="3"/>
  <c r="AQ95" i="3"/>
  <c r="AT95" i="3"/>
  <c r="V45" i="45" s="1"/>
  <c r="H39" i="45"/>
  <c r="AK41" i="3" a="1"/>
  <c r="AK41" i="3" s="1"/>
  <c r="AM41" i="3"/>
  <c r="I39" i="45" s="1"/>
  <c r="AR41" i="3"/>
  <c r="AP41" i="3"/>
  <c r="AQ41" i="3"/>
  <c r="AS41" i="3"/>
  <c r="AT41" i="3"/>
  <c r="J39" i="45" s="1"/>
  <c r="AN41" i="3"/>
  <c r="AO41" i="3"/>
  <c r="AQ38" i="3"/>
  <c r="AR38" i="3"/>
  <c r="AT38" i="3"/>
  <c r="J36" i="45" s="1"/>
  <c r="AS38" i="3"/>
  <c r="AP38" i="3"/>
  <c r="AN38" i="3"/>
  <c r="H36" i="45"/>
  <c r="AK38" i="3" a="1"/>
  <c r="AK38" i="3" s="1"/>
  <c r="AO38" i="3"/>
  <c r="AM38" i="3"/>
  <c r="I36" i="45" s="1"/>
  <c r="M102" i="3"/>
  <c r="AA103" i="3" s="1"/>
  <c r="AQ70" i="3"/>
  <c r="AP70" i="3"/>
  <c r="AR70" i="3"/>
  <c r="AT70" i="3"/>
  <c r="V20" i="45" s="1"/>
  <c r="AS70" i="3"/>
  <c r="AM70" i="3"/>
  <c r="U20" i="45" s="1"/>
  <c r="T20" i="45"/>
  <c r="AO70" i="3"/>
  <c r="AN70" i="3"/>
  <c r="AK70" i="3" a="1"/>
  <c r="AK70" i="3" s="1"/>
  <c r="M105" i="3"/>
  <c r="AA106" i="3" s="1"/>
  <c r="D106" i="3" s="1"/>
  <c r="BF67" i="3"/>
  <c r="BE67" i="3"/>
  <c r="BR67" i="3" s="1"/>
  <c r="AK15" i="3" a="1"/>
  <c r="AK15" i="3" s="1"/>
  <c r="AP15" i="3"/>
  <c r="AT15" i="3"/>
  <c r="J13" i="45" s="1"/>
  <c r="AO15" i="3"/>
  <c r="AQ15" i="3"/>
  <c r="AR15" i="3"/>
  <c r="H13" i="45"/>
  <c r="AN15" i="3"/>
  <c r="AM15" i="3"/>
  <c r="I13" i="45" s="1"/>
  <c r="AS15" i="3"/>
  <c r="N101" i="3"/>
  <c r="AF101" i="3" s="1"/>
  <c r="D101" i="3" s="1"/>
  <c r="DL12" i="3"/>
  <c r="AU16" i="3" s="1"/>
  <c r="DL8" i="3"/>
  <c r="AU8" i="3" s="1"/>
  <c r="AM87" i="3"/>
  <c r="U37" i="45" s="1"/>
  <c r="AO87" i="3"/>
  <c r="AN87" i="3"/>
  <c r="AT87" i="3"/>
  <c r="V37" i="45" s="1"/>
  <c r="AQ87" i="3"/>
  <c r="AS87" i="3"/>
  <c r="AP87" i="3"/>
  <c r="AK87" i="3" a="1"/>
  <c r="AK87" i="3" s="1"/>
  <c r="AR87" i="3"/>
  <c r="T37" i="45"/>
  <c r="I413" i="40"/>
  <c r="G150" i="40"/>
  <c r="I468" i="40"/>
  <c r="C343" i="40"/>
  <c r="C170" i="40"/>
  <c r="C173" i="40"/>
  <c r="C260" i="40"/>
  <c r="C397" i="40"/>
  <c r="C4" i="40"/>
  <c r="E277" i="40"/>
  <c r="C212" i="40"/>
  <c r="I314" i="40"/>
  <c r="E219" i="40"/>
  <c r="D359" i="40"/>
  <c r="C2" i="40"/>
  <c r="E225" i="40"/>
  <c r="C351" i="40"/>
  <c r="C257" i="40"/>
  <c r="C398" i="40"/>
  <c r="I368" i="40"/>
  <c r="C193" i="40"/>
  <c r="J496" i="40"/>
  <c r="C211" i="40"/>
  <c r="I266" i="40"/>
  <c r="D148" i="40"/>
  <c r="D154" i="40"/>
  <c r="C224" i="40"/>
  <c r="C12" i="40"/>
  <c r="I406" i="40"/>
  <c r="G161" i="40"/>
  <c r="J163" i="40"/>
  <c r="E284" i="40"/>
  <c r="C188" i="40"/>
  <c r="C109" i="40"/>
  <c r="J483" i="40"/>
  <c r="C306" i="40"/>
  <c r="I199" i="40"/>
  <c r="C138" i="40"/>
  <c r="C303" i="40"/>
  <c r="C294" i="40"/>
  <c r="C417" i="40"/>
  <c r="J283" i="40"/>
  <c r="I230" i="40"/>
  <c r="E270" i="40"/>
  <c r="C299" i="40"/>
  <c r="C252" i="40"/>
  <c r="I162" i="40"/>
  <c r="E197" i="40"/>
  <c r="C338" i="40"/>
  <c r="D34" i="40"/>
  <c r="C476" i="40"/>
  <c r="I370" i="40"/>
  <c r="E217" i="40"/>
  <c r="E200" i="40"/>
  <c r="C472" i="40"/>
  <c r="I360" i="40"/>
  <c r="C75" i="40"/>
  <c r="C169" i="40"/>
  <c r="C392" i="40"/>
  <c r="G147" i="40"/>
  <c r="C31" i="40"/>
  <c r="J262" i="40"/>
  <c r="C18" i="40"/>
  <c r="C94" i="40"/>
  <c r="C474" i="40"/>
  <c r="C50" i="40"/>
  <c r="C407" i="40"/>
  <c r="I480" i="40"/>
  <c r="C182" i="40"/>
  <c r="C395" i="40"/>
  <c r="D218" i="40"/>
  <c r="I357" i="40"/>
  <c r="C66" i="40"/>
  <c r="I164" i="40"/>
  <c r="C63" i="40"/>
  <c r="C363" i="40"/>
  <c r="E265" i="40"/>
  <c r="J226" i="40"/>
  <c r="C14" i="40"/>
  <c r="I403" i="40"/>
  <c r="E280" i="40"/>
  <c r="C74" i="40"/>
  <c r="C76" i="40"/>
  <c r="C307" i="40"/>
  <c r="E44" i="40"/>
  <c r="C28" i="40"/>
  <c r="I416" i="40"/>
  <c r="J492" i="40"/>
  <c r="C184" i="40"/>
  <c r="C73" i="40"/>
  <c r="C473" i="40"/>
  <c r="E256" i="40"/>
  <c r="J356" i="40"/>
  <c r="I107" i="40"/>
  <c r="I166" i="40"/>
  <c r="C139" i="40"/>
  <c r="D482" i="40"/>
  <c r="C362" i="40"/>
  <c r="C344" i="40"/>
  <c r="J158" i="40"/>
  <c r="J198" i="40"/>
  <c r="C313" i="40"/>
  <c r="C301" i="40"/>
  <c r="C210" i="40"/>
  <c r="C418" i="40"/>
  <c r="C196" i="40"/>
  <c r="C185" i="40"/>
  <c r="C410" i="40"/>
  <c r="E253" i="40"/>
  <c r="C132" i="40"/>
  <c r="I153" i="40"/>
  <c r="I143" i="40"/>
  <c r="C477" i="40"/>
  <c r="C214" i="40"/>
  <c r="C339" i="40"/>
  <c r="C54" i="40"/>
  <c r="D151" i="40"/>
  <c r="C77" i="40"/>
  <c r="C405" i="40"/>
  <c r="I311" i="40"/>
  <c r="G160" i="40"/>
  <c r="E286" i="40"/>
  <c r="D355" i="40"/>
  <c r="C136" i="40"/>
  <c r="C475" i="40"/>
  <c r="C17" i="40"/>
  <c r="D466" i="40"/>
  <c r="C401" i="40"/>
  <c r="D415" i="40"/>
  <c r="C400" i="40"/>
  <c r="D254" i="40"/>
  <c r="I202" i="40"/>
  <c r="E191" i="40"/>
  <c r="C108" i="40"/>
  <c r="C27" i="40"/>
  <c r="I46" i="40"/>
  <c r="I347" i="40"/>
  <c r="I156" i="40"/>
  <c r="I425" i="40"/>
  <c r="D470" i="40"/>
  <c r="C96" i="40"/>
  <c r="C71" i="40"/>
  <c r="I227" i="40"/>
  <c r="I110" i="40"/>
  <c r="C103" i="40"/>
  <c r="C394" i="40"/>
  <c r="I493" i="40"/>
  <c r="C409" i="40"/>
  <c r="E38" i="40"/>
  <c r="C186" i="40"/>
  <c r="C352" i="40"/>
  <c r="C81" i="40"/>
  <c r="E261" i="40"/>
  <c r="C309" i="40"/>
  <c r="E39" i="40"/>
  <c r="C145" i="40"/>
  <c r="I494" i="40"/>
  <c r="I159" i="40"/>
  <c r="J423" i="40"/>
  <c r="E192" i="40"/>
  <c r="C421" i="40"/>
  <c r="C135" i="40"/>
  <c r="C62" i="40"/>
  <c r="C305" i="40"/>
  <c r="C104" i="40"/>
  <c r="C462" i="40"/>
  <c r="C52" i="40"/>
  <c r="C68" i="40"/>
  <c r="C7" i="40"/>
  <c r="C295" i="40"/>
  <c r="C298" i="40"/>
  <c r="C53" i="40"/>
  <c r="C137" i="40"/>
  <c r="E33" i="40"/>
  <c r="C168" i="40"/>
  <c r="C308" i="40"/>
  <c r="C419" i="40"/>
  <c r="C10" i="40"/>
  <c r="E37" i="40"/>
  <c r="J142" i="40"/>
  <c r="D486" i="40"/>
  <c r="E32" i="40"/>
  <c r="G157" i="40"/>
  <c r="C92" i="40"/>
  <c r="J467" i="40"/>
  <c r="C90" i="40"/>
  <c r="C95" i="40"/>
  <c r="C366" i="40"/>
  <c r="C13" i="40"/>
  <c r="C51" i="40"/>
  <c r="E281" i="40"/>
  <c r="C8" i="40"/>
  <c r="C393" i="40"/>
  <c r="C98" i="40"/>
  <c r="J272" i="40"/>
  <c r="C93" i="40"/>
  <c r="D358" i="40"/>
  <c r="C222" i="40"/>
  <c r="D155" i="40"/>
  <c r="C6" i="40"/>
  <c r="C9" i="40"/>
  <c r="C464" i="40"/>
  <c r="I471" i="40"/>
  <c r="E269" i="40"/>
  <c r="C105" i="40"/>
  <c r="C183" i="40"/>
  <c r="C80" i="40"/>
  <c r="C420" i="40"/>
  <c r="C336" i="40"/>
  <c r="C404" i="40"/>
  <c r="J310" i="40"/>
  <c r="D489" i="40"/>
  <c r="C70" i="40"/>
  <c r="J346" i="40"/>
  <c r="I146" i="40"/>
  <c r="C353" i="40"/>
  <c r="D275" i="40"/>
  <c r="C296" i="40"/>
  <c r="I487" i="40"/>
  <c r="J488" i="40"/>
  <c r="D190" i="40"/>
  <c r="D274" i="40"/>
  <c r="C341" i="40"/>
  <c r="C29" i="40"/>
  <c r="C213" i="40"/>
  <c r="C100" i="40"/>
  <c r="C259" i="40"/>
  <c r="C463" i="40"/>
  <c r="E228" i="40"/>
  <c r="C49" i="40"/>
  <c r="E267" i="40"/>
  <c r="J278" i="40"/>
  <c r="J478" i="40"/>
  <c r="I426" i="40"/>
  <c r="C465" i="40"/>
  <c r="J152" i="40"/>
  <c r="C174" i="40"/>
  <c r="C422" i="40"/>
  <c r="C396" i="40"/>
  <c r="C72" i="40"/>
  <c r="C221" i="40"/>
  <c r="C302" i="40"/>
  <c r="I495" i="40"/>
  <c r="C67" i="40"/>
  <c r="C144" i="40"/>
  <c r="C64" i="40"/>
  <c r="C172" i="40"/>
  <c r="I481" i="40"/>
  <c r="D491" i="40"/>
  <c r="E229" i="40"/>
  <c r="D411" i="40"/>
  <c r="E273" i="40"/>
  <c r="I279" i="40"/>
  <c r="C348" i="40"/>
  <c r="J402" i="40"/>
  <c r="G149" i="40"/>
  <c r="C141" i="40"/>
  <c r="D271" i="40"/>
  <c r="C258" i="40"/>
  <c r="C91" i="40"/>
  <c r="E35" i="40"/>
  <c r="J106" i="40"/>
  <c r="C65" i="40"/>
  <c r="J165" i="40"/>
  <c r="E41" i="40"/>
  <c r="D268" i="40"/>
  <c r="E255" i="40"/>
  <c r="D469" i="40"/>
  <c r="I484" i="40"/>
  <c r="C342" i="40"/>
  <c r="C69" i="40"/>
  <c r="J412" i="40"/>
  <c r="C216" i="40"/>
  <c r="C223" i="40"/>
  <c r="E201" i="40"/>
  <c r="C215" i="40"/>
  <c r="C99" i="40"/>
  <c r="E220" i="40"/>
  <c r="C354" i="40"/>
  <c r="J490" i="40"/>
  <c r="C102" i="40"/>
  <c r="C194" i="40"/>
  <c r="C133" i="40"/>
  <c r="C312" i="40"/>
  <c r="D485" i="40"/>
  <c r="C140" i="40"/>
  <c r="E36" i="40"/>
  <c r="I350" i="40"/>
  <c r="I479" i="40"/>
  <c r="C15" i="40"/>
  <c r="C30" i="40"/>
  <c r="I282" i="40"/>
  <c r="I424" i="40"/>
  <c r="J42" i="40"/>
  <c r="C408" i="40"/>
  <c r="C345" i="40"/>
  <c r="C171" i="40"/>
  <c r="C364" i="40"/>
  <c r="E40" i="40"/>
  <c r="I263" i="40"/>
  <c r="I369" i="40"/>
  <c r="C5" i="40"/>
  <c r="E264" i="40"/>
  <c r="E189" i="40"/>
  <c r="C297" i="40"/>
  <c r="I79" i="40"/>
  <c r="J285" i="40"/>
  <c r="D414" i="40"/>
  <c r="C300" i="40"/>
  <c r="E276" i="40"/>
  <c r="C48" i="40"/>
  <c r="C365" i="40"/>
  <c r="C361" i="40"/>
  <c r="C195" i="40"/>
  <c r="C101" i="40"/>
  <c r="C187" i="40"/>
  <c r="E45" i="40"/>
  <c r="C349" i="40"/>
  <c r="C304" i="40"/>
  <c r="C26" i="40"/>
  <c r="C97" i="40"/>
  <c r="C337" i="40"/>
  <c r="J78" i="40"/>
  <c r="C16" i="40"/>
  <c r="J367" i="40"/>
  <c r="I43" i="40"/>
  <c r="C134" i="40"/>
  <c r="I82" i="40"/>
  <c r="C399" i="40"/>
  <c r="C340" i="40"/>
  <c r="AO39" i="3"/>
  <c r="AS39" i="3"/>
  <c r="H37" i="45"/>
  <c r="AT39" i="3"/>
  <c r="J37" i="45" s="1"/>
  <c r="AR39" i="3"/>
  <c r="AP39" i="3"/>
  <c r="AN39" i="3"/>
  <c r="AM39" i="3"/>
  <c r="I37" i="45" s="1"/>
  <c r="AK39" i="3" a="1"/>
  <c r="AK39" i="3" s="1"/>
  <c r="AQ39" i="3"/>
  <c r="M106" i="3"/>
  <c r="AA105" i="3" s="1"/>
  <c r="AT64" i="3"/>
  <c r="V14" i="45" s="1"/>
  <c r="AM64" i="3"/>
  <c r="U14" i="45" s="1"/>
  <c r="T14" i="45"/>
  <c r="AR64" i="3"/>
  <c r="AS64" i="3"/>
  <c r="AK64" i="3" a="1"/>
  <c r="AK64" i="3" s="1"/>
  <c r="AQ64" i="3"/>
  <c r="AO64" i="3"/>
  <c r="AP64" i="3"/>
  <c r="AN64" i="3"/>
  <c r="DL28" i="3"/>
  <c r="AU48" i="3" s="1"/>
  <c r="DL24" i="3"/>
  <c r="AU40" i="3" s="1"/>
  <c r="G295" i="40"/>
  <c r="J487" i="40"/>
  <c r="J314" i="40"/>
  <c r="I18" i="40"/>
  <c r="E185" i="40"/>
  <c r="J235" i="40"/>
  <c r="G300" i="40"/>
  <c r="J255" i="40"/>
  <c r="C205" i="40"/>
  <c r="J343" i="40"/>
  <c r="I104" i="40"/>
  <c r="J9" i="40"/>
  <c r="C316" i="40"/>
  <c r="G123" i="40"/>
  <c r="E194" i="40"/>
  <c r="E254" i="40"/>
  <c r="J162" i="40"/>
  <c r="J131" i="40"/>
  <c r="I450" i="40"/>
  <c r="J266" i="40"/>
  <c r="I61" i="40"/>
  <c r="I366" i="40"/>
  <c r="I281" i="40"/>
  <c r="I215" i="40"/>
  <c r="C374" i="40"/>
  <c r="E175" i="40"/>
  <c r="I10" i="40"/>
  <c r="J228" i="40"/>
  <c r="G68" i="40"/>
  <c r="G65" i="40"/>
  <c r="I76" i="40"/>
  <c r="J244" i="40"/>
  <c r="J82" i="40"/>
  <c r="G111" i="40"/>
  <c r="D463" i="40"/>
  <c r="J350" i="40"/>
  <c r="J223" i="40"/>
  <c r="I245" i="40"/>
  <c r="J24" i="40"/>
  <c r="J186" i="40"/>
  <c r="J339" i="40"/>
  <c r="J444" i="40"/>
  <c r="E203" i="40"/>
  <c r="I308" i="40"/>
  <c r="J71" i="40"/>
  <c r="D443" i="40"/>
  <c r="I422" i="40"/>
  <c r="J80" i="40"/>
  <c r="I45" i="40"/>
  <c r="J370" i="40"/>
  <c r="G294" i="40"/>
  <c r="I299" i="40"/>
  <c r="E204" i="40"/>
  <c r="C85" i="40"/>
  <c r="I313" i="40"/>
  <c r="E216" i="40"/>
  <c r="J94" i="40"/>
  <c r="J75" i="40"/>
  <c r="I304" i="40"/>
  <c r="E207" i="40"/>
  <c r="I121" i="40"/>
  <c r="E179" i="40"/>
  <c r="E34" i="40"/>
  <c r="E176" i="40"/>
  <c r="J426" i="40"/>
  <c r="J195" i="40"/>
  <c r="J434" i="40"/>
  <c r="J276" i="40"/>
  <c r="I334" i="40"/>
  <c r="I36" i="40"/>
  <c r="G49" i="40"/>
  <c r="E167" i="40"/>
  <c r="I236" i="40"/>
  <c r="C383" i="40"/>
  <c r="J416" i="40"/>
  <c r="E26" i="40"/>
  <c r="G93" i="40"/>
  <c r="G83" i="40"/>
  <c r="J409" i="40"/>
  <c r="J319" i="40"/>
  <c r="J66" i="40"/>
  <c r="J259" i="40"/>
  <c r="J115" i="40"/>
  <c r="J360" i="40"/>
  <c r="I275" i="40"/>
  <c r="J307" i="40"/>
  <c r="E243" i="40"/>
  <c r="I293" i="40"/>
  <c r="I340" i="40"/>
  <c r="J200" i="40"/>
  <c r="D98" i="40"/>
  <c r="I385" i="40"/>
  <c r="J439" i="40"/>
  <c r="J60" i="40"/>
  <c r="J286" i="40"/>
  <c r="E21" i="40"/>
  <c r="C371" i="40"/>
  <c r="J135" i="40"/>
  <c r="C433" i="40"/>
  <c r="J481" i="40"/>
  <c r="I441" i="40"/>
  <c r="C177" i="40"/>
  <c r="I145" i="40"/>
  <c r="G55" i="40"/>
  <c r="G138" i="40"/>
  <c r="G56" i="40"/>
  <c r="E213" i="40"/>
  <c r="I396" i="40"/>
  <c r="G148" i="40"/>
  <c r="E3" i="40"/>
  <c r="I325" i="40"/>
  <c r="I196" i="40"/>
  <c r="J240" i="40"/>
  <c r="D323" i="40"/>
  <c r="G62" i="40"/>
  <c r="G297" i="40"/>
  <c r="E258" i="40"/>
  <c r="D352" i="40"/>
  <c r="E16" i="40"/>
  <c r="E237" i="40"/>
  <c r="I209" i="40"/>
  <c r="C57" i="40"/>
  <c r="G38" i="40"/>
  <c r="J144" i="40"/>
  <c r="J208" i="40"/>
  <c r="J269" i="40"/>
  <c r="J251" i="40"/>
  <c r="C427" i="40"/>
  <c r="J399" i="40"/>
  <c r="D379" i="40"/>
  <c r="J46" i="40"/>
  <c r="G90" i="40"/>
  <c r="I256" i="40"/>
  <c r="I220" i="40"/>
  <c r="E12" i="40"/>
  <c r="J430" i="40"/>
  <c r="I136" i="40"/>
  <c r="G74" i="40"/>
  <c r="I155" i="40"/>
  <c r="I470" i="40"/>
  <c r="J353" i="40"/>
  <c r="J485" i="40"/>
  <c r="J99" i="40"/>
  <c r="I31" i="40"/>
  <c r="I349" i="40"/>
  <c r="J464" i="40"/>
  <c r="I89" i="40"/>
  <c r="E23" i="40"/>
  <c r="J375" i="40"/>
  <c r="I54" i="40"/>
  <c r="E172" i="40"/>
  <c r="I116" i="40"/>
  <c r="G117" i="40"/>
  <c r="I390" i="40"/>
  <c r="I81" i="40"/>
  <c r="J44" i="40"/>
  <c r="G96" i="40"/>
  <c r="C112" i="40"/>
  <c r="E234" i="40"/>
  <c r="J173" i="40"/>
  <c r="C327" i="40"/>
  <c r="I376" i="40"/>
  <c r="E2" i="40"/>
  <c r="J202" i="40"/>
  <c r="G336" i="40"/>
  <c r="E8" i="40"/>
  <c r="E11" i="40"/>
  <c r="J149" i="40"/>
  <c r="G392" i="40"/>
  <c r="E5" i="40"/>
  <c r="I72" i="40"/>
  <c r="E268" i="40"/>
  <c r="I344" i="40"/>
  <c r="E218" i="40"/>
  <c r="D408" i="40"/>
  <c r="I187" i="40"/>
  <c r="J404" i="40"/>
  <c r="D302" i="40"/>
  <c r="J333" i="40"/>
  <c r="J491" i="40"/>
  <c r="G84" i="40"/>
  <c r="G102" i="40"/>
  <c r="G288" i="40"/>
  <c r="I445" i="40"/>
  <c r="E231" i="40"/>
  <c r="J449" i="40"/>
  <c r="C372" i="40"/>
  <c r="I100" i="40"/>
  <c r="I201" i="40"/>
  <c r="C377" i="40"/>
  <c r="E210" i="40"/>
  <c r="E211" i="40"/>
  <c r="J139" i="40"/>
  <c r="J120" i="40"/>
  <c r="I25" i="40"/>
  <c r="E190" i="40"/>
  <c r="J230" i="40"/>
  <c r="I224" i="40"/>
  <c r="C318" i="40"/>
  <c r="J324" i="40"/>
  <c r="I95" i="40"/>
  <c r="J380" i="40"/>
  <c r="G398" i="40"/>
  <c r="I40" i="40"/>
  <c r="J17" i="40"/>
  <c r="I335" i="40"/>
  <c r="J146" i="40"/>
  <c r="G32" i="40"/>
  <c r="C321" i="40"/>
  <c r="I365" i="40"/>
  <c r="J166" i="40"/>
  <c r="I410" i="40"/>
  <c r="J420" i="40"/>
  <c r="I250" i="40"/>
  <c r="E169" i="40"/>
  <c r="I192" i="40"/>
  <c r="I486" i="40"/>
  <c r="E183" i="40"/>
  <c r="J191" i="40"/>
  <c r="E4" i="40"/>
  <c r="I174" i="40"/>
  <c r="J180" i="40"/>
  <c r="J108" i="40"/>
  <c r="J303" i="40"/>
  <c r="J495" i="40"/>
  <c r="E6" i="40"/>
  <c r="D119" i="40"/>
  <c r="C289" i="40"/>
  <c r="E170" i="40"/>
  <c r="D338" i="40"/>
  <c r="I359" i="40"/>
  <c r="J280" i="40"/>
  <c r="I381" i="40"/>
  <c r="G291" i="40"/>
  <c r="I435" i="40"/>
  <c r="I456" i="40"/>
  <c r="D429" i="40"/>
  <c r="J274" i="40"/>
  <c r="D70" i="40"/>
  <c r="J129" i="40"/>
  <c r="J160" i="40"/>
  <c r="I354" i="40"/>
  <c r="E182" i="40"/>
  <c r="J214" i="40"/>
  <c r="J406" i="40"/>
  <c r="J249" i="40"/>
  <c r="G50" i="40"/>
  <c r="G114" i="40"/>
  <c r="E19" i="40"/>
  <c r="J348" i="40"/>
  <c r="G132" i="40"/>
  <c r="E222" i="40"/>
  <c r="J358" i="40"/>
  <c r="J39" i="40"/>
  <c r="J30" i="40"/>
  <c r="I150" i="40"/>
  <c r="G342" i="40"/>
  <c r="G91" i="40"/>
  <c r="G287" i="40"/>
  <c r="J154" i="40"/>
  <c r="J389" i="40"/>
  <c r="E20" i="40"/>
  <c r="I265" i="40"/>
  <c r="G87" i="40"/>
  <c r="I125" i="40"/>
  <c r="I320" i="40"/>
  <c r="C315" i="40"/>
  <c r="I329" i="40"/>
  <c r="E27" i="40"/>
  <c r="I67" i="40"/>
  <c r="I476" i="40"/>
  <c r="G47" i="40"/>
  <c r="I431" i="40"/>
  <c r="I109" i="40"/>
  <c r="J312" i="40"/>
  <c r="I457" i="40"/>
  <c r="J414" i="40"/>
  <c r="I130" i="40"/>
  <c r="I440" i="40"/>
  <c r="J124" i="40"/>
  <c r="I140" i="40"/>
  <c r="E252" i="40"/>
  <c r="E168" i="40"/>
  <c r="J103" i="40"/>
  <c r="J282" i="40"/>
  <c r="J292" i="40"/>
  <c r="I405" i="40"/>
  <c r="J264" i="40"/>
  <c r="J469" i="40"/>
  <c r="E14" i="40"/>
  <c r="D134" i="40"/>
  <c r="J384" i="40"/>
  <c r="E13" i="40"/>
  <c r="J328" i="40"/>
  <c r="I477" i="40"/>
  <c r="J475" i="40"/>
  <c r="J395" i="40"/>
  <c r="J53" i="40"/>
  <c r="I260" i="40"/>
  <c r="C232" i="40"/>
  <c r="G52" i="40"/>
  <c r="J35" i="40"/>
  <c r="E188" i="40"/>
  <c r="J455" i="40"/>
  <c r="I465" i="40"/>
  <c r="J451" i="40"/>
  <c r="I161" i="40"/>
  <c r="I229" i="40"/>
  <c r="G306" i="40"/>
  <c r="E239" i="40"/>
  <c r="I421" i="40"/>
  <c r="I400" i="40"/>
  <c r="J88" i="40"/>
  <c r="E48" i="40"/>
  <c r="I181" i="40"/>
  <c r="I241" i="40"/>
  <c r="J471" i="40"/>
  <c r="J364" i="40"/>
  <c r="J461" i="40"/>
  <c r="I415" i="40"/>
  <c r="D394" i="40"/>
  <c r="J298" i="40"/>
  <c r="G63" i="40"/>
  <c r="I270" i="40"/>
  <c r="J219" i="40"/>
  <c r="E29" i="40"/>
  <c r="G59" i="40"/>
  <c r="I391" i="40"/>
  <c r="J156" i="40"/>
  <c r="J110" i="40"/>
  <c r="T13" i="45"/>
  <c r="AT63" i="3"/>
  <c r="V13" i="45" s="1"/>
  <c r="AP63" i="3"/>
  <c r="AR63" i="3"/>
  <c r="AK63" i="3" a="1"/>
  <c r="AK63" i="3" s="1"/>
  <c r="AM63" i="3"/>
  <c r="U13" i="45" s="1"/>
  <c r="AQ63" i="3"/>
  <c r="AS63" i="3"/>
  <c r="AO63" i="3"/>
  <c r="AN63" i="3"/>
  <c r="N114" i="3"/>
  <c r="AF115" i="3" s="1"/>
  <c r="DL21" i="3"/>
  <c r="AU33" i="3" s="1"/>
  <c r="G85" i="40"/>
  <c r="E227" i="40"/>
  <c r="D413" i="40"/>
  <c r="D307" i="40"/>
  <c r="G19" i="40"/>
  <c r="D393" i="40"/>
  <c r="G159" i="40"/>
  <c r="D412" i="40"/>
  <c r="J480" i="40"/>
  <c r="G73" i="40"/>
  <c r="D314" i="40"/>
  <c r="E208" i="40"/>
  <c r="D384" i="40"/>
  <c r="D32" i="40"/>
  <c r="D203" i="40"/>
  <c r="J369" i="40"/>
  <c r="D464" i="40"/>
  <c r="E233" i="40"/>
  <c r="D341" i="40"/>
  <c r="D301" i="40"/>
  <c r="D287" i="40"/>
  <c r="D95" i="40"/>
  <c r="D372" i="40"/>
  <c r="J453" i="40"/>
  <c r="D407" i="40"/>
  <c r="G140" i="40"/>
  <c r="G78" i="40"/>
  <c r="D308" i="40"/>
  <c r="J331" i="40"/>
  <c r="E242" i="40"/>
  <c r="G57" i="40"/>
  <c r="D328" i="40"/>
  <c r="E10" i="40"/>
  <c r="G158" i="40"/>
  <c r="D462" i="40"/>
  <c r="G128" i="40"/>
  <c r="E282" i="40"/>
  <c r="D378" i="40"/>
  <c r="D147" i="40"/>
  <c r="E221" i="40"/>
  <c r="D152" i="40"/>
  <c r="D153" i="40"/>
  <c r="I419" i="40"/>
  <c r="G112" i="40"/>
  <c r="D238" i="40"/>
  <c r="D135" i="40"/>
  <c r="D100" i="40"/>
  <c r="E226" i="40"/>
  <c r="E262" i="40"/>
  <c r="G143" i="40"/>
  <c r="I332" i="40"/>
  <c r="D447" i="40"/>
  <c r="D170" i="40"/>
  <c r="E15" i="40"/>
  <c r="D210" i="40"/>
  <c r="D350" i="40"/>
  <c r="E31" i="40"/>
  <c r="D217" i="40"/>
  <c r="D69" i="40"/>
  <c r="E196" i="40"/>
  <c r="D96" i="40"/>
  <c r="E235" i="40"/>
  <c r="E43" i="40"/>
  <c r="D325" i="40"/>
  <c r="E260" i="40"/>
  <c r="G104" i="40"/>
  <c r="E173" i="40"/>
  <c r="D256" i="40"/>
  <c r="D111" i="40"/>
  <c r="G27" i="40"/>
  <c r="G37" i="40"/>
  <c r="D432" i="40"/>
  <c r="E187" i="40"/>
  <c r="E202" i="40"/>
  <c r="D192" i="40"/>
  <c r="D83" i="40"/>
  <c r="D310" i="40"/>
  <c r="E285" i="40"/>
  <c r="D484" i="40"/>
  <c r="D5" i="40"/>
  <c r="D400" i="40"/>
  <c r="G137" i="40"/>
  <c r="G6" i="40"/>
  <c r="D255" i="40"/>
  <c r="D183" i="40"/>
  <c r="E205" i="40"/>
  <c r="D344" i="40"/>
  <c r="D376" i="40"/>
  <c r="D288" i="40"/>
  <c r="E28" i="40"/>
  <c r="D343" i="40"/>
  <c r="D62" i="40"/>
  <c r="E251" i="40"/>
  <c r="D403" i="40"/>
  <c r="I438" i="40"/>
  <c r="D360" i="40"/>
  <c r="J387" i="40"/>
  <c r="G106" i="40"/>
  <c r="D47" i="40"/>
  <c r="I363" i="40"/>
  <c r="D133" i="40"/>
  <c r="J460" i="40"/>
  <c r="D97" i="40"/>
  <c r="D410" i="40"/>
  <c r="D311" i="40"/>
  <c r="D220" i="40"/>
  <c r="D385" i="40"/>
  <c r="D276" i="40"/>
  <c r="D296" i="40"/>
  <c r="E244" i="40"/>
  <c r="E247" i="40"/>
  <c r="G11" i="40"/>
  <c r="D427" i="40"/>
  <c r="G162" i="40"/>
  <c r="D347" i="40"/>
  <c r="D136" i="40"/>
  <c r="D324" i="40"/>
  <c r="D84" i="40"/>
  <c r="D448" i="40"/>
  <c r="D293" i="40"/>
  <c r="D371" i="40"/>
  <c r="D434" i="40"/>
  <c r="D315" i="40"/>
  <c r="E279" i="40"/>
  <c r="E25" i="40"/>
  <c r="D150" i="40"/>
  <c r="D4" i="40"/>
  <c r="G39" i="40"/>
  <c r="D300" i="40"/>
  <c r="E248" i="40"/>
  <c r="D483" i="40"/>
  <c r="D357" i="40"/>
  <c r="D381" i="40"/>
  <c r="D66" i="40"/>
  <c r="J422" i="40"/>
  <c r="D471" i="40"/>
  <c r="D305" i="40"/>
  <c r="D94" i="40"/>
  <c r="J457" i="40"/>
  <c r="D63" i="40"/>
  <c r="E259" i="40"/>
  <c r="I388" i="40"/>
  <c r="E257" i="40"/>
  <c r="D118" i="40"/>
  <c r="G103" i="40"/>
  <c r="D68" i="40"/>
  <c r="E42" i="40"/>
  <c r="J418" i="40"/>
  <c r="D67" i="40"/>
  <c r="E9" i="40"/>
  <c r="E184" i="40"/>
  <c r="J362" i="40"/>
  <c r="D320" i="40"/>
  <c r="I454" i="40"/>
  <c r="D50" i="40"/>
  <c r="G115" i="40"/>
  <c r="D316" i="40"/>
  <c r="D396" i="40"/>
  <c r="D191" i="40"/>
  <c r="D121" i="40"/>
  <c r="D72" i="40"/>
  <c r="D322" i="40"/>
  <c r="D168" i="40"/>
  <c r="G79" i="40"/>
  <c r="D167" i="40"/>
  <c r="D406" i="40"/>
  <c r="D189" i="40"/>
  <c r="D303" i="40"/>
  <c r="D399" i="40"/>
  <c r="G88" i="40"/>
  <c r="D156" i="40"/>
  <c r="D176" i="40"/>
  <c r="E232" i="40"/>
  <c r="D373" i="40"/>
  <c r="D490" i="40"/>
  <c r="G60" i="40"/>
  <c r="D431" i="40"/>
  <c r="E278" i="40"/>
  <c r="D451" i="40"/>
  <c r="E17" i="40"/>
  <c r="D392" i="40"/>
  <c r="E174" i="40"/>
  <c r="E199" i="40"/>
  <c r="D339" i="40"/>
  <c r="E181" i="40"/>
  <c r="D395" i="40"/>
  <c r="D321" i="40"/>
  <c r="D117" i="40"/>
  <c r="G58" i="40"/>
  <c r="G14" i="40"/>
  <c r="D231" i="40"/>
  <c r="I474" i="40"/>
  <c r="J335" i="40"/>
  <c r="D377" i="40"/>
  <c r="D2" i="40"/>
  <c r="E206" i="40"/>
  <c r="J425" i="40"/>
  <c r="D237" i="40"/>
  <c r="E236" i="40"/>
  <c r="D55" i="40"/>
  <c r="J366" i="40"/>
  <c r="E212" i="40"/>
  <c r="J127" i="40"/>
  <c r="E24" i="40"/>
  <c r="D340" i="40"/>
  <c r="G82" i="40"/>
  <c r="D329" i="40"/>
  <c r="D442" i="40"/>
  <c r="D13" i="40"/>
  <c r="D397" i="40"/>
  <c r="G110" i="40"/>
  <c r="D51" i="40"/>
  <c r="D304" i="40"/>
  <c r="D317" i="40"/>
  <c r="D219" i="40"/>
  <c r="G165" i="40"/>
  <c r="D90" i="40"/>
  <c r="D267" i="40"/>
  <c r="E209" i="40"/>
  <c r="D290" i="40"/>
  <c r="G124" i="40"/>
  <c r="J473" i="40"/>
  <c r="D351" i="40"/>
  <c r="D444" i="40"/>
  <c r="D299" i="40"/>
  <c r="D356" i="40"/>
  <c r="E215" i="40"/>
  <c r="E263" i="40"/>
  <c r="D48" i="40"/>
  <c r="G142" i="40"/>
  <c r="G3" i="40"/>
  <c r="E266" i="40"/>
  <c r="D20" i="40"/>
  <c r="D270" i="40"/>
  <c r="D36" i="40"/>
  <c r="D91" i="40"/>
  <c r="D354" i="40"/>
  <c r="D56" i="40"/>
  <c r="D430" i="40"/>
  <c r="D132" i="40"/>
  <c r="D169" i="40"/>
  <c r="D380" i="40"/>
  <c r="D175" i="40"/>
  <c r="G116" i="40"/>
  <c r="D120" i="40"/>
  <c r="E177" i="40"/>
  <c r="D298" i="40"/>
  <c r="D188" i="40"/>
  <c r="D295" i="40"/>
  <c r="D326" i="40"/>
  <c r="D71" i="40"/>
  <c r="G146" i="40"/>
  <c r="D241" i="40"/>
  <c r="G101" i="40"/>
  <c r="E230" i="40"/>
  <c r="D49" i="40"/>
  <c r="E7" i="40"/>
  <c r="D272" i="40"/>
  <c r="D149" i="40"/>
  <c r="G125" i="40"/>
  <c r="D416" i="40"/>
  <c r="D216" i="40"/>
  <c r="J391" i="40"/>
  <c r="D33" i="40"/>
  <c r="J494" i="40"/>
  <c r="E214" i="40"/>
  <c r="E193" i="40"/>
  <c r="D445" i="40"/>
  <c r="D273" i="40"/>
  <c r="D54" i="40"/>
  <c r="G21" i="40"/>
  <c r="D252" i="40"/>
  <c r="D12" i="40"/>
  <c r="D319" i="40"/>
  <c r="D353" i="40"/>
  <c r="E22" i="40"/>
  <c r="E46" i="40"/>
  <c r="J477" i="40"/>
  <c r="G89" i="40"/>
  <c r="D294" i="40"/>
  <c r="G113" i="40"/>
  <c r="D99" i="40"/>
  <c r="D428" i="40"/>
  <c r="E18" i="40"/>
  <c r="D211" i="40"/>
  <c r="D292" i="40"/>
  <c r="G139" i="40"/>
  <c r="D336" i="40"/>
  <c r="D467" i="40"/>
  <c r="D465" i="40"/>
  <c r="J441" i="40"/>
  <c r="D35" i="40"/>
  <c r="E186" i="40"/>
  <c r="D253" i="40"/>
  <c r="G76" i="40"/>
  <c r="D375" i="40"/>
  <c r="G86" i="40"/>
  <c r="G75" i="40"/>
  <c r="G40" i="40"/>
  <c r="D346" i="40"/>
  <c r="E195" i="40"/>
  <c r="D240" i="40"/>
  <c r="D182" i="40"/>
  <c r="E171" i="40"/>
  <c r="E180" i="40"/>
  <c r="D92" i="40"/>
  <c r="J437" i="40"/>
  <c r="E30" i="40"/>
  <c r="D468" i="40"/>
  <c r="D409" i="40"/>
  <c r="D382" i="40"/>
  <c r="G61" i="40"/>
  <c r="D269" i="40"/>
  <c r="D26" i="40"/>
  <c r="G131" i="40"/>
  <c r="E223" i="40"/>
  <c r="E198" i="40"/>
  <c r="D337" i="40"/>
  <c r="G122" i="40"/>
  <c r="D53" i="40"/>
  <c r="D402" i="40"/>
  <c r="D289" i="40"/>
  <c r="D487" i="40"/>
  <c r="E245" i="40"/>
  <c r="D204" i="40"/>
  <c r="D64" i="40"/>
  <c r="E178" i="40"/>
  <c r="G107" i="40"/>
  <c r="E224" i="40"/>
  <c r="D435" i="40"/>
  <c r="F280" i="40"/>
  <c r="F74" i="40"/>
  <c r="F120" i="40"/>
  <c r="H441" i="40"/>
  <c r="F369" i="40"/>
  <c r="F121" i="40"/>
  <c r="H436" i="40"/>
  <c r="H266" i="40"/>
  <c r="F277" i="40"/>
  <c r="F360" i="40"/>
  <c r="F330" i="40"/>
  <c r="F163" i="40"/>
  <c r="F23" i="40"/>
  <c r="H430" i="40"/>
  <c r="F20" i="40"/>
  <c r="H19" i="40"/>
  <c r="F186" i="40"/>
  <c r="H135" i="40"/>
  <c r="F318" i="40"/>
  <c r="H450" i="40"/>
  <c r="H462" i="40"/>
  <c r="F354" i="40"/>
  <c r="F202" i="40"/>
  <c r="I251" i="40"/>
  <c r="F43" i="40"/>
  <c r="F447" i="40"/>
  <c r="H133" i="40"/>
  <c r="F117" i="40"/>
  <c r="F130" i="40"/>
  <c r="F456" i="40"/>
  <c r="H274" i="40"/>
  <c r="F191" i="40"/>
  <c r="H231" i="40"/>
  <c r="F315" i="40"/>
  <c r="F69" i="40"/>
  <c r="F332" i="40"/>
  <c r="F189" i="40"/>
  <c r="F320" i="40"/>
  <c r="F316" i="40"/>
  <c r="H478" i="40"/>
  <c r="F60" i="40"/>
  <c r="F181" i="40"/>
  <c r="H465" i="40"/>
  <c r="F152" i="40"/>
  <c r="F364" i="40"/>
  <c r="F242" i="40"/>
  <c r="H112" i="40"/>
  <c r="H140" i="40"/>
  <c r="H472" i="40"/>
  <c r="F445" i="40"/>
  <c r="F349" i="40"/>
  <c r="F119" i="40"/>
  <c r="F178" i="40"/>
  <c r="F457" i="40"/>
  <c r="H234" i="40"/>
  <c r="F70" i="40"/>
  <c r="H428" i="40"/>
  <c r="H143" i="40"/>
  <c r="F198" i="40"/>
  <c r="F5" i="40"/>
  <c r="F345" i="40"/>
  <c r="F45" i="40"/>
  <c r="F180" i="40"/>
  <c r="F9" i="40"/>
  <c r="F25" i="40"/>
  <c r="F247" i="40"/>
  <c r="F176" i="40"/>
  <c r="F321" i="40"/>
  <c r="H466" i="40"/>
  <c r="H253" i="40"/>
  <c r="F10" i="40"/>
  <c r="H470" i="40"/>
  <c r="F55" i="40"/>
  <c r="F80" i="40"/>
  <c r="H241" i="40"/>
  <c r="F270" i="40"/>
  <c r="H145" i="40"/>
  <c r="H240" i="40"/>
  <c r="H438" i="40"/>
  <c r="H236" i="40"/>
  <c r="H258" i="40"/>
  <c r="F343" i="40"/>
  <c r="F356" i="40"/>
  <c r="F486" i="40"/>
  <c r="H238" i="40"/>
  <c r="I490" i="40"/>
  <c r="F267" i="40"/>
  <c r="F122" i="40"/>
  <c r="F458" i="40"/>
  <c r="H134" i="40"/>
  <c r="I491" i="40"/>
  <c r="F59" i="40"/>
  <c r="H342" i="40"/>
  <c r="F118" i="40"/>
  <c r="F368" i="40"/>
  <c r="H137" i="40"/>
  <c r="F317" i="40"/>
  <c r="H336" i="40"/>
  <c r="F82" i="40"/>
  <c r="H471" i="40"/>
  <c r="F22" i="40"/>
  <c r="H232" i="40"/>
  <c r="F151" i="40"/>
  <c r="F325" i="40"/>
  <c r="H265" i="40"/>
  <c r="F493" i="40"/>
  <c r="F38" i="40"/>
  <c r="F183" i="40"/>
  <c r="H263" i="40"/>
  <c r="F328" i="40"/>
  <c r="H283" i="40"/>
  <c r="F157" i="40"/>
  <c r="F162" i="40"/>
  <c r="F484" i="40"/>
  <c r="F454" i="40"/>
  <c r="F8" i="40"/>
  <c r="F192" i="40"/>
  <c r="I448" i="40"/>
  <c r="H437" i="40"/>
  <c r="F76" i="40"/>
  <c r="H113" i="40"/>
  <c r="F154" i="40"/>
  <c r="F319" i="40"/>
  <c r="F67" i="40"/>
  <c r="F179" i="40"/>
  <c r="F3" i="40"/>
  <c r="H132" i="40"/>
  <c r="F366" i="40"/>
  <c r="F78" i="40"/>
  <c r="F190" i="40"/>
  <c r="F367" i="40"/>
  <c r="H271" i="40"/>
  <c r="H29" i="40"/>
  <c r="F483" i="40"/>
  <c r="F150" i="40"/>
  <c r="F73" i="40"/>
  <c r="H262" i="40"/>
  <c r="F158" i="40"/>
  <c r="F188" i="40"/>
  <c r="F327" i="40"/>
  <c r="F455" i="40"/>
  <c r="F346" i="40"/>
  <c r="F21" i="40"/>
  <c r="I459" i="40"/>
  <c r="F42" i="40"/>
  <c r="F268" i="40"/>
  <c r="H249" i="40"/>
  <c r="F44" i="40"/>
  <c r="F148" i="40"/>
  <c r="F159" i="40"/>
  <c r="H233" i="40"/>
  <c r="H464" i="40"/>
  <c r="H260" i="40"/>
  <c r="H139" i="40"/>
  <c r="I248" i="40"/>
  <c r="F492" i="40"/>
  <c r="H427" i="40"/>
  <c r="H440" i="40"/>
  <c r="F362" i="40"/>
  <c r="H463" i="40"/>
  <c r="F434" i="40"/>
  <c r="F125" i="40"/>
  <c r="F363" i="40"/>
  <c r="F24" i="40"/>
  <c r="F351" i="40"/>
  <c r="H255" i="40"/>
  <c r="F32" i="40"/>
  <c r="I451" i="40"/>
  <c r="F269" i="40"/>
  <c r="H250" i="40"/>
  <c r="H138" i="40"/>
  <c r="F244" i="40"/>
  <c r="F485" i="40"/>
  <c r="F156" i="40"/>
  <c r="F79" i="40"/>
  <c r="F193" i="40"/>
  <c r="H475" i="40"/>
  <c r="F77" i="40"/>
  <c r="F339" i="40"/>
  <c r="F357" i="40"/>
  <c r="H479" i="40"/>
  <c r="F452" i="40"/>
  <c r="H142" i="40"/>
  <c r="H433" i="40"/>
  <c r="F282" i="40"/>
  <c r="F68" i="40"/>
  <c r="H272" i="40"/>
  <c r="H239" i="40"/>
  <c r="F185" i="40"/>
  <c r="F46" i="40"/>
  <c r="I489" i="40"/>
  <c r="F333" i="40"/>
  <c r="F348" i="40"/>
  <c r="F72" i="40"/>
  <c r="F482" i="40"/>
  <c r="H27" i="40"/>
  <c r="F147" i="40"/>
  <c r="H480" i="40"/>
  <c r="H257" i="40"/>
  <c r="H429" i="40"/>
  <c r="F350" i="40"/>
  <c r="F324" i="40"/>
  <c r="F341" i="40"/>
  <c r="H256" i="40"/>
  <c r="F41" i="40"/>
  <c r="F62" i="40"/>
  <c r="F175" i="40"/>
  <c r="H488" i="40"/>
  <c r="H439" i="40"/>
  <c r="F370" i="40"/>
  <c r="F442" i="40"/>
  <c r="F197" i="40"/>
  <c r="H28" i="40"/>
  <c r="I131" i="40"/>
  <c r="F64" i="40"/>
  <c r="F359" i="40"/>
  <c r="F33" i="40"/>
  <c r="H31" i="40"/>
  <c r="F160" i="40"/>
  <c r="H264" i="40"/>
  <c r="F166" i="40"/>
  <c r="H235" i="40"/>
  <c r="F127" i="40"/>
  <c r="F494" i="40"/>
  <c r="F36" i="40"/>
  <c r="F37" i="40"/>
  <c r="F279" i="40"/>
  <c r="F153" i="40"/>
  <c r="F194" i="40"/>
  <c r="F361" i="40"/>
  <c r="F435" i="40"/>
  <c r="F65" i="40"/>
  <c r="H30" i="40"/>
  <c r="H252" i="40"/>
  <c r="H431" i="40"/>
  <c r="F444" i="40"/>
  <c r="H481" i="40"/>
  <c r="F432" i="40"/>
  <c r="H473" i="40"/>
  <c r="H254" i="40"/>
  <c r="F338" i="40"/>
  <c r="H116" i="40"/>
  <c r="F495" i="40"/>
  <c r="F200" i="40"/>
  <c r="H26" i="40"/>
  <c r="F6" i="40"/>
  <c r="F177" i="40"/>
  <c r="F81" i="40"/>
  <c r="F326" i="40"/>
  <c r="I460" i="40"/>
  <c r="F126" i="40"/>
  <c r="F129" i="40"/>
  <c r="H146" i="40"/>
  <c r="F164" i="40"/>
  <c r="F40" i="40"/>
  <c r="I276" i="40"/>
  <c r="F358" i="40"/>
  <c r="F353" i="40"/>
  <c r="F352" i="40"/>
  <c r="F155" i="40"/>
  <c r="F35" i="40"/>
  <c r="F195" i="40"/>
  <c r="H144" i="40"/>
  <c r="H467" i="40"/>
  <c r="F66" i="40"/>
  <c r="F161" i="40"/>
  <c r="F56" i="40"/>
  <c r="H114" i="40"/>
  <c r="F365" i="40"/>
  <c r="F331" i="40"/>
  <c r="H477" i="40"/>
  <c r="F329" i="40"/>
  <c r="F347" i="40"/>
  <c r="I165" i="40"/>
  <c r="H141" i="40"/>
  <c r="F243" i="40"/>
  <c r="F196" i="40"/>
  <c r="I284" i="40"/>
  <c r="I273" i="40"/>
  <c r="F335" i="40"/>
  <c r="H446" i="40"/>
  <c r="H469" i="40"/>
  <c r="F7" i="40"/>
  <c r="F187" i="40"/>
  <c r="H115" i="40"/>
  <c r="F245" i="40"/>
  <c r="I496" i="40"/>
  <c r="F58" i="40"/>
  <c r="F334" i="40"/>
  <c r="F4" i="40"/>
  <c r="H136" i="40"/>
  <c r="F123" i="40"/>
  <c r="H259" i="40"/>
  <c r="F453" i="40"/>
  <c r="F443" i="40"/>
  <c r="F487" i="40"/>
  <c r="I285" i="40"/>
  <c r="F39" i="40"/>
  <c r="H275" i="40"/>
  <c r="H246" i="40"/>
  <c r="H476" i="40"/>
  <c r="F184" i="40"/>
  <c r="F322" i="40"/>
  <c r="F57" i="40"/>
  <c r="F237" i="40"/>
  <c r="I286" i="40"/>
  <c r="F149" i="40"/>
  <c r="F344" i="40"/>
  <c r="F355" i="40"/>
  <c r="H468" i="40"/>
  <c r="F278" i="40"/>
  <c r="F182" i="40"/>
  <c r="F201" i="40"/>
  <c r="F337" i="40"/>
  <c r="H449" i="40"/>
  <c r="H261" i="40"/>
  <c r="F75" i="40"/>
  <c r="F34" i="40"/>
  <c r="F71" i="40"/>
  <c r="F124" i="40"/>
  <c r="F281" i="40"/>
  <c r="F199" i="40"/>
  <c r="H474" i="40"/>
  <c r="F63" i="40"/>
  <c r="F340" i="40"/>
  <c r="H111" i="40"/>
  <c r="I461" i="40"/>
  <c r="F61" i="40"/>
  <c r="F323" i="40"/>
  <c r="I128" i="40"/>
  <c r="BE59" i="3"/>
  <c r="BR59" i="3" s="1"/>
  <c r="BF59" i="3"/>
  <c r="DL30" i="3"/>
  <c r="AU54" i="3" s="1"/>
  <c r="AS14" i="3"/>
  <c r="AO14" i="3"/>
  <c r="H12" i="45"/>
  <c r="AQ14" i="3"/>
  <c r="AR14" i="3"/>
  <c r="AN14" i="3"/>
  <c r="AM14" i="3"/>
  <c r="I12" i="45" s="1"/>
  <c r="AK14" i="3" a="1"/>
  <c r="AK14" i="3" s="1"/>
  <c r="AT14" i="3"/>
  <c r="J12" i="45" s="1"/>
  <c r="AP14" i="3"/>
  <c r="M113" i="3"/>
  <c r="AA113" i="3" s="1"/>
  <c r="D113" i="3" s="1"/>
  <c r="DL22" i="3"/>
  <c r="AU38" i="3" s="1"/>
  <c r="DL11" i="3"/>
  <c r="AU15" i="3" s="1"/>
  <c r="AK81" i="3" a="1"/>
  <c r="AK81" i="3" s="1"/>
  <c r="AR81" i="3"/>
  <c r="AN81" i="3"/>
  <c r="AQ81" i="3"/>
  <c r="AT81" i="3"/>
  <c r="V31" i="45" s="1"/>
  <c r="T31" i="45"/>
  <c r="AM81" i="3"/>
  <c r="U31" i="45" s="1"/>
  <c r="AO81" i="3"/>
  <c r="AP81" i="3"/>
  <c r="AS81" i="3"/>
  <c r="DL6" i="3"/>
  <c r="AU6" i="3" s="1"/>
  <c r="AO56" i="3"/>
  <c r="AK56" i="3" a="1"/>
  <c r="AK56" i="3" s="1"/>
  <c r="AS56" i="3"/>
  <c r="T6" i="45"/>
  <c r="AP56" i="3"/>
  <c r="AQ56" i="3"/>
  <c r="AM56" i="3"/>
  <c r="U6" i="45" s="1"/>
  <c r="AN56" i="3"/>
  <c r="AT56" i="3"/>
  <c r="V6" i="45" s="1"/>
  <c r="AR56" i="3"/>
  <c r="AK73" i="3" a="1"/>
  <c r="AK73" i="3" s="1"/>
  <c r="AP73" i="3"/>
  <c r="AO73" i="3"/>
  <c r="AT73" i="3"/>
  <c r="V23" i="45" s="1"/>
  <c r="AM73" i="3"/>
  <c r="U23" i="45" s="1"/>
  <c r="T23" i="45"/>
  <c r="AQ73" i="3"/>
  <c r="AN73" i="3"/>
  <c r="AR73" i="3"/>
  <c r="AS73" i="3"/>
  <c r="AS72" i="3"/>
  <c r="T22" i="45"/>
  <c r="AT72" i="3"/>
  <c r="V22" i="45" s="1"/>
  <c r="AP72" i="3"/>
  <c r="AM72" i="3"/>
  <c r="U22" i="45" s="1"/>
  <c r="AN72" i="3"/>
  <c r="AQ72" i="3"/>
  <c r="AO72" i="3"/>
  <c r="AK72" i="3" a="1"/>
  <c r="AK72" i="3" s="1"/>
  <c r="AR72" i="3"/>
  <c r="BL63" i="3"/>
  <c r="C114" i="40"/>
  <c r="C175" i="40"/>
  <c r="C334" i="40"/>
  <c r="H309" i="40"/>
  <c r="G25" i="40"/>
  <c r="G145" i="40"/>
  <c r="C311" i="40"/>
  <c r="C204" i="40"/>
  <c r="G16" i="40"/>
  <c r="C201" i="40"/>
  <c r="C219" i="40"/>
  <c r="C379" i="40"/>
  <c r="C233" i="40"/>
  <c r="G97" i="40"/>
  <c r="H169" i="40"/>
  <c r="C323" i="40"/>
  <c r="C231" i="40"/>
  <c r="C332" i="40"/>
  <c r="C470" i="40"/>
  <c r="G166" i="40"/>
  <c r="C448" i="40"/>
  <c r="G71" i="40"/>
  <c r="C128" i="40"/>
  <c r="C79" i="40"/>
  <c r="H214" i="40"/>
  <c r="G42" i="40"/>
  <c r="H212" i="40"/>
  <c r="C228" i="40"/>
  <c r="C276" i="40"/>
  <c r="C387" i="40"/>
  <c r="C264" i="40"/>
  <c r="C310" i="40"/>
  <c r="C479" i="40"/>
  <c r="H174" i="40"/>
  <c r="C218" i="40"/>
  <c r="H90" i="40"/>
  <c r="H395" i="40"/>
  <c r="H348" i="40"/>
  <c r="C87" i="40"/>
  <c r="C86" i="40"/>
  <c r="G23" i="40"/>
  <c r="C199" i="40"/>
  <c r="G133" i="40"/>
  <c r="H215" i="40"/>
  <c r="G72" i="40"/>
  <c r="C360" i="40"/>
  <c r="C496" i="40"/>
  <c r="H339" i="40"/>
  <c r="C373" i="40"/>
  <c r="C416" i="40"/>
  <c r="H349" i="40"/>
  <c r="C460" i="40"/>
  <c r="C403" i="40"/>
  <c r="C450" i="40"/>
  <c r="C491" i="40"/>
  <c r="G30" i="40"/>
  <c r="C390" i="40"/>
  <c r="G12" i="40"/>
  <c r="C229" i="40"/>
  <c r="G64" i="40"/>
  <c r="G43" i="40"/>
  <c r="C198" i="40"/>
  <c r="H297" i="40"/>
  <c r="H187" i="40"/>
  <c r="G127" i="40"/>
  <c r="G298" i="40"/>
  <c r="C437" i="40"/>
  <c r="C82" i="40"/>
  <c r="G154" i="40"/>
  <c r="H396" i="40"/>
  <c r="C179" i="40"/>
  <c r="C181" i="40"/>
  <c r="G8" i="40"/>
  <c r="G94" i="40"/>
  <c r="C227" i="40"/>
  <c r="G77" i="40"/>
  <c r="G134" i="40"/>
  <c r="H312" i="40"/>
  <c r="C287" i="40"/>
  <c r="C250" i="40"/>
  <c r="G13" i="40"/>
  <c r="C197" i="40"/>
  <c r="C253" i="40"/>
  <c r="C386" i="40"/>
  <c r="C319" i="40"/>
  <c r="C217" i="40"/>
  <c r="C254" i="40"/>
  <c r="C451" i="40"/>
  <c r="C286" i="40"/>
  <c r="J447" i="40"/>
  <c r="G81" i="40"/>
  <c r="C274" i="40"/>
  <c r="C283" i="40"/>
  <c r="C438" i="40"/>
  <c r="C376" i="40"/>
  <c r="C56" i="40"/>
  <c r="C288" i="40"/>
  <c r="H210" i="40"/>
  <c r="C333" i="40"/>
  <c r="H393" i="40"/>
  <c r="G17" i="40"/>
  <c r="H52" i="40"/>
  <c r="C488" i="40"/>
  <c r="G66" i="40"/>
  <c r="H171" i="40"/>
  <c r="C146" i="40"/>
  <c r="C235" i="40"/>
  <c r="J458" i="40"/>
  <c r="H371" i="40"/>
  <c r="C110" i="40"/>
  <c r="C143" i="40"/>
  <c r="C423" i="40"/>
  <c r="C489" i="40"/>
  <c r="C466" i="40"/>
  <c r="C317" i="40"/>
  <c r="C480" i="40"/>
  <c r="C335" i="40"/>
  <c r="C11" i="40"/>
  <c r="G9" i="40"/>
  <c r="G26" i="40"/>
  <c r="C190" i="40"/>
  <c r="C368" i="40"/>
  <c r="H93" i="40"/>
  <c r="C414" i="40"/>
  <c r="C255" i="40"/>
  <c r="G4" i="40"/>
  <c r="G168" i="40"/>
  <c r="C429" i="40"/>
  <c r="C111" i="40"/>
  <c r="H185" i="40"/>
  <c r="C273" i="40"/>
  <c r="J247" i="40"/>
  <c r="G152" i="40"/>
  <c r="C165" i="40"/>
  <c r="C209" i="40"/>
  <c r="C356" i="40"/>
  <c r="H337" i="40"/>
  <c r="C246" i="40"/>
  <c r="H65" i="40"/>
  <c r="G105" i="40"/>
  <c r="C230" i="40"/>
  <c r="C271" i="40"/>
  <c r="C284" i="40"/>
  <c r="C107" i="40"/>
  <c r="C275" i="40"/>
  <c r="C115" i="40"/>
  <c r="G54" i="40"/>
  <c r="C113" i="40"/>
  <c r="G44" i="40"/>
  <c r="H304" i="40"/>
  <c r="C430" i="40"/>
  <c r="C241" i="40"/>
  <c r="C322" i="40"/>
  <c r="H313" i="40"/>
  <c r="H374" i="40"/>
  <c r="G24" i="40"/>
  <c r="H294" i="40"/>
  <c r="C347" i="40"/>
  <c r="G109" i="40"/>
  <c r="G33" i="40"/>
  <c r="C320" i="40"/>
  <c r="G95" i="40"/>
  <c r="H186" i="40"/>
  <c r="C58" i="40"/>
  <c r="C240" i="40"/>
  <c r="C468" i="40"/>
  <c r="C265" i="40"/>
  <c r="C189" i="40"/>
  <c r="G126" i="40"/>
  <c r="G70" i="40"/>
  <c r="C426" i="40"/>
  <c r="G108" i="40"/>
  <c r="C83" i="40"/>
  <c r="C285" i="40"/>
  <c r="H182" i="40"/>
  <c r="H315" i="40"/>
  <c r="C411" i="40"/>
  <c r="C251" i="40"/>
  <c r="C441" i="40"/>
  <c r="C370" i="40"/>
  <c r="G67" i="40"/>
  <c r="G69" i="40"/>
  <c r="C19" i="40"/>
  <c r="C359" i="40"/>
  <c r="C424" i="40"/>
  <c r="G36" i="40"/>
  <c r="C176" i="40"/>
  <c r="G92" i="40"/>
  <c r="H405" i="40"/>
  <c r="G18" i="40"/>
  <c r="G48" i="40"/>
  <c r="G80" i="40"/>
  <c r="C88" i="40"/>
  <c r="C346" i="40"/>
  <c r="G141" i="40"/>
  <c r="C293" i="40"/>
  <c r="G296" i="40"/>
  <c r="C355" i="40"/>
  <c r="C314" i="40"/>
  <c r="H338" i="40"/>
  <c r="H62" i="40"/>
  <c r="C490" i="40"/>
  <c r="C131" i="40"/>
  <c r="H173" i="40"/>
  <c r="C84" i="40"/>
  <c r="C459" i="40"/>
  <c r="C89" i="40"/>
  <c r="C325" i="40"/>
  <c r="H345" i="40"/>
  <c r="G28" i="40"/>
  <c r="C206" i="40"/>
  <c r="G151" i="40"/>
  <c r="G7" i="40"/>
  <c r="C481" i="40"/>
  <c r="G164" i="40"/>
  <c r="H213" i="40"/>
  <c r="C249" i="40"/>
  <c r="C358" i="40"/>
  <c r="C331" i="40"/>
  <c r="G22" i="40"/>
  <c r="C261" i="40"/>
  <c r="H318" i="40"/>
  <c r="C167" i="40"/>
  <c r="C449" i="40"/>
  <c r="C431" i="40"/>
  <c r="C436" i="40"/>
  <c r="C350" i="40"/>
  <c r="H184" i="40"/>
  <c r="G299" i="40"/>
  <c r="C375" i="40"/>
  <c r="C378" i="40"/>
  <c r="H303" i="40"/>
  <c r="C406" i="40"/>
  <c r="C412" i="40"/>
  <c r="C461" i="40"/>
  <c r="C262" i="40"/>
  <c r="C292" i="40"/>
  <c r="C142" i="40"/>
  <c r="C357" i="40"/>
  <c r="C226" i="40"/>
  <c r="C446" i="40"/>
  <c r="C391" i="40"/>
  <c r="C60" i="40"/>
  <c r="G99" i="40"/>
  <c r="H302" i="40"/>
  <c r="G153" i="40"/>
  <c r="C178" i="40"/>
  <c r="C389" i="40"/>
  <c r="G5" i="40"/>
  <c r="C388" i="40"/>
  <c r="G2" i="40"/>
  <c r="H301" i="40"/>
  <c r="G129" i="40"/>
  <c r="C381" i="40"/>
  <c r="C191" i="40"/>
  <c r="G41" i="40"/>
  <c r="G51" i="40"/>
  <c r="C415" i="40"/>
  <c r="C238" i="40"/>
  <c r="C236" i="40"/>
  <c r="C225" i="40"/>
  <c r="G119" i="40"/>
  <c r="G46" i="40"/>
  <c r="C202" i="40"/>
  <c r="G20" i="40"/>
  <c r="C324" i="40"/>
  <c r="C478" i="40"/>
  <c r="C106" i="40"/>
  <c r="G53" i="40"/>
  <c r="G155" i="40"/>
  <c r="G144" i="40"/>
  <c r="C369" i="40"/>
  <c r="G34" i="40"/>
  <c r="G135" i="40"/>
  <c r="C55" i="40"/>
  <c r="G10" i="40"/>
  <c r="C413" i="40"/>
  <c r="C290" i="40"/>
  <c r="C425" i="40"/>
  <c r="C330" i="40"/>
  <c r="C291" i="40"/>
  <c r="G98" i="40"/>
  <c r="C207" i="40"/>
  <c r="G120" i="40"/>
  <c r="C200" i="40"/>
  <c r="C192" i="40"/>
  <c r="C234" i="40"/>
  <c r="H49" i="40"/>
  <c r="G156" i="40"/>
  <c r="C248" i="40"/>
  <c r="C116" i="40"/>
  <c r="G31" i="40"/>
  <c r="C402" i="40"/>
  <c r="G118" i="40"/>
  <c r="H401" i="40"/>
  <c r="C61" i="40"/>
  <c r="C272" i="40"/>
  <c r="C180" i="40"/>
  <c r="C428" i="40"/>
  <c r="G163" i="40"/>
  <c r="G121" i="40"/>
  <c r="C59" i="40"/>
  <c r="C203" i="40"/>
  <c r="C439" i="40"/>
  <c r="H404" i="40"/>
  <c r="G15" i="40"/>
  <c r="G45" i="40"/>
  <c r="H394" i="40"/>
  <c r="C78" i="40"/>
  <c r="C266" i="40"/>
  <c r="C47" i="40"/>
  <c r="G100" i="40"/>
  <c r="C3" i="40"/>
  <c r="C367" i="40"/>
  <c r="C440" i="40"/>
  <c r="C467" i="40"/>
  <c r="C469" i="40"/>
  <c r="C239" i="40"/>
  <c r="C263" i="40"/>
  <c r="H340" i="40"/>
  <c r="G130" i="40"/>
  <c r="C256" i="40"/>
  <c r="C208" i="40"/>
  <c r="C220" i="40"/>
  <c r="C380" i="40"/>
  <c r="C471" i="40"/>
  <c r="H172" i="40"/>
  <c r="G29" i="40"/>
  <c r="G35" i="40"/>
  <c r="G136" i="40"/>
  <c r="DL27" i="3"/>
  <c r="AU47" i="3" s="1"/>
  <c r="DL37" i="3"/>
  <c r="AU65" i="3" s="1"/>
  <c r="AK40" i="3" a="1"/>
  <c r="AK40" i="3" s="1"/>
  <c r="AN40" i="3"/>
  <c r="AM40" i="3"/>
  <c r="I38" i="45" s="1"/>
  <c r="AO40" i="3"/>
  <c r="AP40" i="3"/>
  <c r="AS40" i="3"/>
  <c r="H38" i="45"/>
  <c r="AQ40" i="3"/>
  <c r="AT40" i="3"/>
  <c r="J38" i="45" s="1"/>
  <c r="AR40" i="3"/>
  <c r="BL58" i="3"/>
  <c r="AR46" i="3"/>
  <c r="AQ46" i="3"/>
  <c r="AO46" i="3"/>
  <c r="AP46" i="3"/>
  <c r="AT46" i="3"/>
  <c r="J44" i="45" s="1"/>
  <c r="AK46" i="3" a="1"/>
  <c r="AK46" i="3" s="1"/>
  <c r="H44" i="45"/>
  <c r="AN46" i="3"/>
  <c r="AM46" i="3"/>
  <c r="I44" i="45" s="1"/>
  <c r="AS46" i="3"/>
  <c r="M103" i="3"/>
  <c r="AA104" i="3" s="1"/>
  <c r="AT57" i="3"/>
  <c r="V7" i="45" s="1"/>
  <c r="AM57" i="3"/>
  <c r="U7" i="45" s="1"/>
  <c r="AN57" i="3"/>
  <c r="AR57" i="3"/>
  <c r="T7" i="45"/>
  <c r="AP57" i="3"/>
  <c r="AK57" i="3" a="1"/>
  <c r="AK57" i="3" s="1"/>
  <c r="AO57" i="3"/>
  <c r="AS57" i="3"/>
  <c r="AQ57" i="3"/>
  <c r="BE68" i="3"/>
  <c r="BR68" i="3" s="1"/>
  <c r="BF68" i="3"/>
  <c r="DL31" i="3"/>
  <c r="AU55" i="3" s="1"/>
  <c r="AS97" i="3"/>
  <c r="AM97" i="3"/>
  <c r="U47" i="45" s="1"/>
  <c r="AK97" i="3" a="1"/>
  <c r="AK97" i="3" s="1"/>
  <c r="AQ97" i="3"/>
  <c r="AR97" i="3"/>
  <c r="AO97" i="3"/>
  <c r="AP97" i="3"/>
  <c r="AN97" i="3"/>
  <c r="T47" i="45"/>
  <c r="AT97" i="3"/>
  <c r="V47" i="45" s="1"/>
  <c r="BE58" i="3"/>
  <c r="BR58" i="3" s="1"/>
  <c r="BF58" i="3"/>
  <c r="DL14" i="3"/>
  <c r="AU22" i="3" s="1"/>
  <c r="AQ8" i="3"/>
  <c r="AR8" i="3"/>
  <c r="AM8" i="3"/>
  <c r="I6" i="45" s="1"/>
  <c r="AO8" i="3"/>
  <c r="AT8" i="3"/>
  <c r="J6" i="45" s="1"/>
  <c r="AS8" i="3"/>
  <c r="AK8" i="3" a="1"/>
  <c r="AK8" i="3" s="1"/>
  <c r="H6" i="45"/>
  <c r="AP8" i="3"/>
  <c r="AN8" i="3"/>
  <c r="DL26" i="3"/>
  <c r="AU46" i="3" s="1"/>
  <c r="DL32" i="3"/>
  <c r="AU56" i="3" s="1"/>
  <c r="DL10" i="3"/>
  <c r="AU14" i="3" s="1"/>
  <c r="H21" i="45"/>
  <c r="AK23" i="3" a="1"/>
  <c r="AK23" i="3" s="1"/>
  <c r="AP23" i="3"/>
  <c r="AS23" i="3"/>
  <c r="AO23" i="3"/>
  <c r="AR23" i="3"/>
  <c r="AN23" i="3"/>
  <c r="AM23" i="3"/>
  <c r="I21" i="45" s="1"/>
  <c r="AQ23" i="3"/>
  <c r="AT23" i="3"/>
  <c r="J21" i="45" s="1"/>
  <c r="N103" i="3"/>
  <c r="AF104" i="3" s="1"/>
  <c r="D104" i="3" s="1"/>
  <c r="BE62" i="3"/>
  <c r="BR62" i="3" s="1"/>
  <c r="BF62" i="3"/>
  <c r="AQ55" i="3"/>
  <c r="AR55" i="3"/>
  <c r="AM55" i="3"/>
  <c r="U5" i="45" s="1"/>
  <c r="AO55" i="3"/>
  <c r="AN55" i="3"/>
  <c r="AP55" i="3"/>
  <c r="AS55" i="3"/>
  <c r="AK55" i="3" a="1"/>
  <c r="AK55" i="3" s="1"/>
  <c r="AT55" i="3"/>
  <c r="V5" i="45" s="1"/>
  <c r="T5" i="45"/>
  <c r="N116" i="3"/>
  <c r="AF114" i="3" s="1"/>
  <c r="D114" i="3" s="1"/>
  <c r="DL38" i="3"/>
  <c r="AU70" i="3" s="1"/>
  <c r="BF64" i="3"/>
  <c r="BE64" i="3"/>
  <c r="BR64" i="3" s="1"/>
  <c r="AT24" i="3"/>
  <c r="J22" i="45" s="1"/>
  <c r="H22" i="45"/>
  <c r="AP24" i="3"/>
  <c r="AR24" i="3"/>
  <c r="AS24" i="3"/>
  <c r="AK24" i="3" a="1"/>
  <c r="AK24" i="3" s="1"/>
  <c r="AQ24" i="3"/>
  <c r="AN24" i="3"/>
  <c r="AO24" i="3"/>
  <c r="AM24" i="3"/>
  <c r="I22" i="45" s="1"/>
  <c r="DL40" i="3"/>
  <c r="AU72" i="3" s="1"/>
  <c r="DL33" i="3"/>
  <c r="AU57" i="3" s="1"/>
  <c r="DL13" i="3"/>
  <c r="AU17" i="3" s="1"/>
  <c r="AP7" i="3"/>
  <c r="AR7" i="3"/>
  <c r="H5" i="45"/>
  <c r="AN7" i="3"/>
  <c r="AT7" i="3"/>
  <c r="J5" i="45" s="1"/>
  <c r="AS7" i="3"/>
  <c r="AO7" i="3"/>
  <c r="AM7" i="3"/>
  <c r="I5" i="45" s="1"/>
  <c r="AQ7" i="3"/>
  <c r="AK7" i="3" a="1"/>
  <c r="AK7" i="3" s="1"/>
  <c r="M101" i="3"/>
  <c r="AA101" i="3" s="1"/>
  <c r="AM88" i="3"/>
  <c r="U38" i="45" s="1"/>
  <c r="AN88" i="3"/>
  <c r="AQ88" i="3"/>
  <c r="AT88" i="3"/>
  <c r="V38" i="45" s="1"/>
  <c r="T38" i="45"/>
  <c r="AO88" i="3"/>
  <c r="AK88" i="3" a="1"/>
  <c r="AK88" i="3" s="1"/>
  <c r="AP88" i="3"/>
  <c r="AR88" i="3"/>
  <c r="AS88" i="3"/>
  <c r="BE66" i="3"/>
  <c r="BR66" i="3" s="1"/>
  <c r="BF66" i="3"/>
  <c r="AN48" i="3"/>
  <c r="H46" i="45"/>
  <c r="AO48" i="3"/>
  <c r="AR48" i="3"/>
  <c r="AQ48" i="3"/>
  <c r="AS48" i="3"/>
  <c r="AT48" i="3"/>
  <c r="J46" i="45" s="1"/>
  <c r="AM48" i="3"/>
  <c r="I46" i="45" s="1"/>
  <c r="AK48" i="3" a="1"/>
  <c r="AK48" i="3" s="1"/>
  <c r="AP48" i="3"/>
  <c r="DL39" i="3"/>
  <c r="AU71" i="3" s="1"/>
  <c r="AT25" i="3"/>
  <c r="J23" i="45" s="1"/>
  <c r="H23" i="45"/>
  <c r="AM25" i="3"/>
  <c r="I23" i="45" s="1"/>
  <c r="AQ25" i="3"/>
  <c r="AP25" i="3"/>
  <c r="AN25" i="3"/>
  <c r="AS25" i="3"/>
  <c r="AO25" i="3"/>
  <c r="AK25" i="3" a="1"/>
  <c r="AK25" i="3" s="1"/>
  <c r="AR25" i="3"/>
  <c r="BL62" i="3"/>
  <c r="AK65" i="3" a="1"/>
  <c r="AK65" i="3" s="1"/>
  <c r="AR65" i="3"/>
  <c r="AN65" i="3"/>
  <c r="AS65" i="3"/>
  <c r="AO65" i="3"/>
  <c r="AP65" i="3"/>
  <c r="AT65" i="3"/>
  <c r="V15" i="45" s="1"/>
  <c r="T15" i="45"/>
  <c r="AM65" i="3"/>
  <c r="U15" i="45" s="1"/>
  <c r="AQ65" i="3"/>
  <c r="AN17" i="3"/>
  <c r="AR17" i="3"/>
  <c r="AS17" i="3"/>
  <c r="AP17" i="3"/>
  <c r="AQ17" i="3"/>
  <c r="AK17" i="3" a="1"/>
  <c r="AK17" i="3" s="1"/>
  <c r="AT17" i="3"/>
  <c r="J15" i="45" s="1"/>
  <c r="H15" i="45"/>
  <c r="AO17" i="3"/>
  <c r="AM17" i="3"/>
  <c r="I15" i="45" s="1"/>
  <c r="AP6" i="3"/>
  <c r="AK6" i="3" a="1"/>
  <c r="AK6" i="3" s="1"/>
  <c r="AO6" i="3"/>
  <c r="AN6" i="3"/>
  <c r="AT6" i="3"/>
  <c r="J4" i="45" s="1"/>
  <c r="AQ6" i="3"/>
  <c r="AS6" i="3"/>
  <c r="H4" i="45"/>
  <c r="AM6" i="3"/>
  <c r="I4" i="45" s="1"/>
  <c r="AR6" i="3"/>
  <c r="M107" i="3"/>
  <c r="AA107" i="3" s="1"/>
  <c r="D107" i="3" s="1"/>
  <c r="BE61" i="3"/>
  <c r="BR61" i="3" s="1"/>
  <c r="BF61" i="3"/>
  <c r="DL23" i="3"/>
  <c r="AU39" i="3" s="1"/>
  <c r="E493" i="40"/>
  <c r="E409" i="40"/>
  <c r="E458" i="40"/>
  <c r="E63" i="40"/>
  <c r="E394" i="40"/>
  <c r="E333" i="40"/>
  <c r="E297" i="40"/>
  <c r="E369" i="40"/>
  <c r="E319" i="40"/>
  <c r="E401" i="40"/>
  <c r="E57" i="40"/>
  <c r="E71" i="40"/>
  <c r="E299" i="40"/>
  <c r="E372" i="40"/>
  <c r="E486" i="40"/>
  <c r="E365" i="40"/>
  <c r="E52" i="40"/>
  <c r="E315" i="40"/>
  <c r="E134" i="40"/>
  <c r="E428" i="40"/>
  <c r="E70" i="40"/>
  <c r="E154" i="40"/>
  <c r="E316" i="40"/>
  <c r="E339" i="40"/>
  <c r="E164" i="40"/>
  <c r="E430" i="40"/>
  <c r="E77" i="40"/>
  <c r="E356" i="40"/>
  <c r="E109" i="40"/>
  <c r="E301" i="40"/>
  <c r="E123" i="40"/>
  <c r="E160" i="40"/>
  <c r="E453" i="40"/>
  <c r="E104" i="40"/>
  <c r="E89" i="40"/>
  <c r="E61" i="40"/>
  <c r="E349" i="40"/>
  <c r="E158" i="40"/>
  <c r="E107" i="40"/>
  <c r="E74" i="40"/>
  <c r="E374" i="40"/>
  <c r="E68" i="40"/>
  <c r="E336" i="40"/>
  <c r="E444" i="40"/>
  <c r="E427" i="40"/>
  <c r="E380" i="40"/>
  <c r="E303" i="40"/>
  <c r="E355" i="40"/>
  <c r="E398" i="40"/>
  <c r="E325" i="40"/>
  <c r="E338" i="40"/>
  <c r="E465" i="40"/>
  <c r="E110" i="40"/>
  <c r="E445" i="40"/>
  <c r="E404" i="40"/>
  <c r="E54" i="40"/>
  <c r="E159" i="40"/>
  <c r="E119" i="40"/>
  <c r="E291" i="40"/>
  <c r="E449" i="40"/>
  <c r="E92" i="40"/>
  <c r="E443" i="40"/>
  <c r="E452" i="40"/>
  <c r="E366" i="40"/>
  <c r="E51" i="40"/>
  <c r="E86" i="40"/>
  <c r="E347" i="40"/>
  <c r="E131" i="40"/>
  <c r="E462" i="40"/>
  <c r="E476" i="40"/>
  <c r="E90" i="40"/>
  <c r="E385" i="40"/>
  <c r="E290" i="40"/>
  <c r="E412" i="40"/>
  <c r="E151" i="40"/>
  <c r="E431" i="40"/>
  <c r="E50" i="40"/>
  <c r="E483" i="40"/>
  <c r="E416" i="40"/>
  <c r="E140" i="40"/>
  <c r="E130" i="40"/>
  <c r="E454" i="40"/>
  <c r="E91" i="40"/>
  <c r="E489" i="40"/>
  <c r="E435" i="40"/>
  <c r="E341" i="40"/>
  <c r="E120" i="40"/>
  <c r="E80" i="40"/>
  <c r="E357" i="40"/>
  <c r="E293" i="40"/>
  <c r="E143" i="40"/>
  <c r="E461" i="40"/>
  <c r="E73" i="40"/>
  <c r="E383" i="40"/>
  <c r="E162" i="40"/>
  <c r="E463" i="40"/>
  <c r="E97" i="40"/>
  <c r="E485" i="40"/>
  <c r="E488" i="40"/>
  <c r="E477" i="40"/>
  <c r="E395" i="40"/>
  <c r="E377" i="40"/>
  <c r="E75" i="40"/>
  <c r="E399" i="40"/>
  <c r="E311" i="40"/>
  <c r="E459" i="40"/>
  <c r="E495" i="40"/>
  <c r="E479" i="40"/>
  <c r="E420" i="40"/>
  <c r="E139" i="40"/>
  <c r="E425" i="40"/>
  <c r="E79" i="40"/>
  <c r="E329" i="40"/>
  <c r="E102" i="40"/>
  <c r="E396" i="40"/>
  <c r="E287" i="40"/>
  <c r="E457" i="40"/>
  <c r="E468" i="40"/>
  <c r="E289" i="40"/>
  <c r="E150" i="40"/>
  <c r="E361" i="40"/>
  <c r="E317" i="40"/>
  <c r="E138" i="40"/>
  <c r="E456" i="40"/>
  <c r="E58" i="40"/>
  <c r="E65" i="40"/>
  <c r="E482" i="40"/>
  <c r="E288" i="40"/>
  <c r="E388" i="40"/>
  <c r="E478" i="40"/>
  <c r="E60" i="40"/>
  <c r="E354" i="40"/>
  <c r="E83" i="40"/>
  <c r="E296" i="40"/>
  <c r="E145" i="40"/>
  <c r="E324" i="40"/>
  <c r="E323" i="40"/>
  <c r="E100" i="40"/>
  <c r="E411" i="40"/>
  <c r="E292" i="40"/>
  <c r="E367" i="40"/>
  <c r="E469" i="40"/>
  <c r="E410" i="40"/>
  <c r="E67" i="40"/>
  <c r="E464" i="40"/>
  <c r="E148" i="40"/>
  <c r="E137" i="40"/>
  <c r="E161" i="40"/>
  <c r="E84" i="40"/>
  <c r="E481" i="40"/>
  <c r="E390" i="40"/>
  <c r="E471" i="40"/>
  <c r="E442" i="40"/>
  <c r="E360" i="40"/>
  <c r="E402" i="40"/>
  <c r="E405" i="40"/>
  <c r="E49" i="40"/>
  <c r="E66" i="40"/>
  <c r="E433" i="40"/>
  <c r="E165" i="40"/>
  <c r="E155" i="40"/>
  <c r="E321" i="40"/>
  <c r="E473" i="40"/>
  <c r="E441" i="40"/>
  <c r="E423" i="40"/>
  <c r="E129" i="40"/>
  <c r="F48" i="40"/>
  <c r="E382" i="40"/>
  <c r="E351" i="40"/>
  <c r="E144" i="40"/>
  <c r="E434" i="40"/>
  <c r="E56" i="40"/>
  <c r="E455" i="40"/>
  <c r="E448" i="40"/>
  <c r="E96" i="40"/>
  <c r="E346" i="40"/>
  <c r="E166" i="40"/>
  <c r="E397" i="40"/>
  <c r="E114" i="40"/>
  <c r="E135" i="40"/>
  <c r="E438" i="40"/>
  <c r="E392" i="40"/>
  <c r="E334" i="40"/>
  <c r="E332" i="40"/>
  <c r="E94" i="40"/>
  <c r="E141" i="40"/>
  <c r="E358" i="40"/>
  <c r="E113" i="40"/>
  <c r="E470" i="40"/>
  <c r="E302" i="40"/>
  <c r="E308" i="40"/>
  <c r="E403" i="40"/>
  <c r="E312" i="40"/>
  <c r="E147" i="40"/>
  <c r="E81" i="40"/>
  <c r="E142" i="40"/>
  <c r="E64" i="40"/>
  <c r="E85" i="40"/>
  <c r="E95" i="40"/>
  <c r="E421" i="40"/>
  <c r="E424" i="40"/>
  <c r="E446" i="40"/>
  <c r="E379" i="40"/>
  <c r="E53" i="40"/>
  <c r="E484" i="40"/>
  <c r="E116" i="40"/>
  <c r="E387" i="40"/>
  <c r="E298" i="40"/>
  <c r="E337" i="40"/>
  <c r="E146" i="40"/>
  <c r="E126" i="40"/>
  <c r="E342" i="40"/>
  <c r="E407" i="40"/>
  <c r="E408" i="40"/>
  <c r="E326" i="40"/>
  <c r="E391" i="40"/>
  <c r="E413" i="40"/>
  <c r="E103" i="40"/>
  <c r="E436" i="40"/>
  <c r="E376" i="40"/>
  <c r="E426" i="40"/>
  <c r="E350" i="40"/>
  <c r="E309" i="40"/>
  <c r="E127" i="40"/>
  <c r="E105" i="40"/>
  <c r="E375" i="40"/>
  <c r="E490" i="40"/>
  <c r="E419" i="40"/>
  <c r="E491" i="40"/>
  <c r="E475" i="40"/>
  <c r="E98" i="40"/>
  <c r="E472" i="40"/>
  <c r="E314" i="40"/>
  <c r="E115" i="40"/>
  <c r="E78" i="40"/>
  <c r="E295" i="40"/>
  <c r="E378" i="40"/>
  <c r="E99" i="40"/>
  <c r="E306" i="40"/>
  <c r="E47" i="40"/>
  <c r="E118" i="40"/>
  <c r="E451" i="40"/>
  <c r="E76" i="40"/>
  <c r="E389" i="40"/>
  <c r="E93" i="40"/>
  <c r="E322" i="40"/>
  <c r="E106" i="40"/>
  <c r="E82" i="40"/>
  <c r="E381" i="40"/>
  <c r="E111" i="40"/>
  <c r="E133" i="40"/>
  <c r="E101" i="40"/>
  <c r="E386" i="40"/>
  <c r="E310" i="40"/>
  <c r="E492" i="40"/>
  <c r="E414" i="40"/>
  <c r="E307" i="40"/>
  <c r="E112" i="40"/>
  <c r="E328" i="40"/>
  <c r="E62" i="40"/>
  <c r="E128" i="40"/>
  <c r="E59" i="40"/>
  <c r="E466" i="40"/>
  <c r="E474" i="40"/>
  <c r="E368" i="40"/>
  <c r="E136" i="40"/>
  <c r="E370" i="40"/>
  <c r="E364" i="40"/>
  <c r="E362" i="40"/>
  <c r="E422" i="40"/>
  <c r="E55" i="40"/>
  <c r="E348" i="40"/>
  <c r="E152" i="40"/>
  <c r="E117" i="40"/>
  <c r="E124" i="40"/>
  <c r="E363" i="40"/>
  <c r="E353" i="40"/>
  <c r="E108" i="40"/>
  <c r="E352" i="40"/>
  <c r="E318" i="40"/>
  <c r="E343" i="40"/>
  <c r="E331" i="40"/>
  <c r="E496" i="40"/>
  <c r="E149" i="40"/>
  <c r="E460" i="40"/>
  <c r="E340" i="40"/>
  <c r="E153" i="40"/>
  <c r="E330" i="40"/>
  <c r="E467" i="40"/>
  <c r="E373" i="40"/>
  <c r="E450" i="40"/>
  <c r="E480" i="40"/>
  <c r="E313" i="40"/>
  <c r="E69" i="40"/>
  <c r="E437" i="40"/>
  <c r="E418" i="40"/>
  <c r="E487" i="40"/>
  <c r="E359" i="40"/>
  <c r="E344" i="40"/>
  <c r="E494" i="40"/>
  <c r="E335" i="40"/>
  <c r="E439" i="40"/>
  <c r="E304" i="40"/>
  <c r="E432" i="40"/>
  <c r="E393" i="40"/>
  <c r="E447" i="40"/>
  <c r="E345" i="40"/>
  <c r="E320" i="40"/>
  <c r="E156" i="40"/>
  <c r="E125" i="40"/>
  <c r="E157" i="40"/>
  <c r="E305" i="40"/>
  <c r="E300" i="40"/>
  <c r="E417" i="40"/>
  <c r="E294" i="40"/>
  <c r="E121" i="40"/>
  <c r="E429" i="40"/>
  <c r="E406" i="40"/>
  <c r="E327" i="40"/>
  <c r="E122" i="40"/>
  <c r="E400" i="40"/>
  <c r="E371" i="40"/>
  <c r="E440" i="40"/>
  <c r="E163" i="40"/>
  <c r="E72" i="40"/>
  <c r="E384" i="40"/>
  <c r="E132" i="40"/>
  <c r="E87" i="40"/>
  <c r="E415" i="40"/>
  <c r="E88" i="40"/>
  <c r="DL29" i="3"/>
  <c r="AU49" i="3" s="1"/>
  <c r="DL18" i="3"/>
  <c r="AU30" i="3" s="1"/>
  <c r="AQ32" i="3"/>
  <c r="AN32" i="3"/>
  <c r="AS32" i="3"/>
  <c r="AT32" i="3"/>
  <c r="J30" i="45" s="1"/>
  <c r="AM32" i="3"/>
  <c r="I30" i="45" s="1"/>
  <c r="H30" i="45"/>
  <c r="AO32" i="3"/>
  <c r="AR32" i="3"/>
  <c r="AP32" i="3"/>
  <c r="AK32" i="3" a="1"/>
  <c r="AK32" i="3" s="1"/>
  <c r="AR62" i="3"/>
  <c r="T12" i="45"/>
  <c r="AT62" i="3"/>
  <c r="V12" i="45" s="1"/>
  <c r="AS62" i="3"/>
  <c r="AP62" i="3"/>
  <c r="AO62" i="3"/>
  <c r="AN62" i="3"/>
  <c r="AM62" i="3"/>
  <c r="U12" i="45" s="1"/>
  <c r="AK62" i="3" a="1"/>
  <c r="AK62" i="3" s="1"/>
  <c r="AQ62" i="3"/>
  <c r="M112" i="3"/>
  <c r="AA111" i="3" s="1"/>
  <c r="D111" i="3" s="1"/>
  <c r="AR86" i="3"/>
  <c r="AK86" i="3" a="1"/>
  <c r="AK86" i="3" s="1"/>
  <c r="AO86" i="3"/>
  <c r="AN86" i="3"/>
  <c r="AM86" i="3"/>
  <c r="U36" i="45" s="1"/>
  <c r="AP86" i="3"/>
  <c r="T36" i="45"/>
  <c r="AT86" i="3"/>
  <c r="V36" i="45" s="1"/>
  <c r="AS86" i="3"/>
  <c r="AQ86" i="3"/>
  <c r="DF7" i="3"/>
  <c r="DF6" i="3"/>
  <c r="DF9" i="3"/>
  <c r="DF8" i="3"/>
  <c r="DL20" i="3"/>
  <c r="AU32" i="3" s="1"/>
  <c r="J140" i="40"/>
  <c r="J98" i="40"/>
  <c r="J189" i="40"/>
  <c r="J256" i="40"/>
  <c r="J91" i="40"/>
  <c r="J300" i="40"/>
  <c r="J12" i="40"/>
  <c r="J209" i="40"/>
  <c r="J242" i="40"/>
  <c r="J321" i="40"/>
  <c r="J37" i="40"/>
  <c r="J7" i="40"/>
  <c r="J218" i="40"/>
  <c r="J352" i="40"/>
  <c r="J11" i="40"/>
  <c r="J175" i="40"/>
  <c r="J295" i="40"/>
  <c r="J232" i="40"/>
  <c r="J224" i="40"/>
  <c r="J76" i="40"/>
  <c r="J194" i="40"/>
  <c r="J216" i="40"/>
  <c r="J21" i="40"/>
  <c r="J204" i="40"/>
  <c r="J172" i="40"/>
  <c r="J479" i="40"/>
  <c r="J415" i="40"/>
  <c r="J378" i="40"/>
  <c r="J452" i="40"/>
  <c r="J185" i="40"/>
  <c r="J205" i="40"/>
  <c r="J2" i="40"/>
  <c r="J271" i="40"/>
  <c r="J273" i="40"/>
  <c r="J169" i="40"/>
  <c r="J211" i="40"/>
  <c r="J55" i="40"/>
  <c r="J174" i="40"/>
  <c r="J466" i="40"/>
  <c r="J431" i="40"/>
  <c r="J260" i="40"/>
  <c r="J96" i="40"/>
  <c r="J245" i="40"/>
  <c r="J118" i="40"/>
  <c r="J405" i="40"/>
  <c r="J379" i="40"/>
  <c r="J176" i="40"/>
  <c r="J390" i="40"/>
  <c r="J58" i="40"/>
  <c r="J357" i="40"/>
  <c r="J403" i="40"/>
  <c r="J31" i="40"/>
  <c r="J45" i="40"/>
  <c r="J454" i="40"/>
  <c r="J337" i="40"/>
  <c r="J206" i="40"/>
  <c r="J239" i="40"/>
  <c r="J229" i="40"/>
  <c r="J50" i="40"/>
  <c r="J341" i="40"/>
  <c r="J465" i="40"/>
  <c r="J325" i="40"/>
  <c r="J4" i="40"/>
  <c r="J143" i="40"/>
  <c r="J470" i="40"/>
  <c r="J296" i="40"/>
  <c r="J322" i="40"/>
  <c r="J18" i="40"/>
  <c r="J236" i="40"/>
  <c r="J463" i="40"/>
  <c r="J203" i="40"/>
  <c r="J67" i="40"/>
  <c r="J304" i="40"/>
  <c r="J293" i="40"/>
  <c r="J197" i="40"/>
  <c r="J43" i="40"/>
  <c r="J134" i="40"/>
  <c r="J167" i="40"/>
  <c r="J69" i="40"/>
  <c r="J119" i="40"/>
  <c r="J100" i="40"/>
  <c r="J212" i="40"/>
  <c r="J36" i="40"/>
  <c r="J147" i="40"/>
  <c r="J155" i="40"/>
  <c r="J385" i="40"/>
  <c r="J157" i="40"/>
  <c r="J290" i="40"/>
  <c r="J382" i="40"/>
  <c r="J289" i="40"/>
  <c r="J345" i="40"/>
  <c r="J376" i="40"/>
  <c r="J318" i="40"/>
  <c r="J83" i="40"/>
  <c r="J336" i="40"/>
  <c r="J316" i="40"/>
  <c r="J161" i="40"/>
  <c r="J468" i="40"/>
  <c r="J424" i="40"/>
  <c r="J41" i="40"/>
  <c r="J484" i="40"/>
  <c r="J252" i="40"/>
  <c r="J246" i="40"/>
  <c r="J113" i="40"/>
  <c r="J326" i="40"/>
  <c r="J305" i="40"/>
  <c r="J87" i="40"/>
  <c r="J432" i="40"/>
  <c r="J411" i="40"/>
  <c r="J233" i="40"/>
  <c r="J148" i="40"/>
  <c r="J63" i="40"/>
  <c r="J261" i="40"/>
  <c r="J138" i="40"/>
  <c r="J435" i="40"/>
  <c r="J141" i="40"/>
  <c r="J188" i="40"/>
  <c r="J440" i="40"/>
  <c r="J334" i="40"/>
  <c r="J77" i="40"/>
  <c r="J489" i="40"/>
  <c r="J86" i="40"/>
  <c r="J187" i="40"/>
  <c r="J472" i="40"/>
  <c r="J448" i="40"/>
  <c r="J277" i="40"/>
  <c r="J288" i="40"/>
  <c r="J234" i="40"/>
  <c r="J386" i="40"/>
  <c r="J179" i="40"/>
  <c r="J338" i="40"/>
  <c r="J27" i="40"/>
  <c r="J462" i="40"/>
  <c r="J372" i="40"/>
  <c r="J299" i="40"/>
  <c r="J433" i="40"/>
  <c r="J178" i="40"/>
  <c r="J340" i="40"/>
  <c r="J486" i="40"/>
  <c r="J443" i="40"/>
  <c r="J62" i="40"/>
  <c r="J392" i="40"/>
  <c r="J227" i="40"/>
  <c r="J297" i="40"/>
  <c r="J52" i="40"/>
  <c r="J90" i="40"/>
  <c r="J32" i="40"/>
  <c r="J92" i="40"/>
  <c r="J222" i="40"/>
  <c r="J8" i="40"/>
  <c r="J97" i="40"/>
  <c r="J330" i="40"/>
  <c r="J105" i="40"/>
  <c r="J332" i="40"/>
  <c r="J320" i="40"/>
  <c r="J6" i="40"/>
  <c r="J323" i="40"/>
  <c r="J313" i="40"/>
  <c r="J377" i="40"/>
  <c r="J107" i="40"/>
  <c r="J123" i="40"/>
  <c r="J287" i="40"/>
  <c r="J164" i="40"/>
  <c r="J26" i="40"/>
  <c r="J311" i="40"/>
  <c r="J268" i="40"/>
  <c r="J126" i="40"/>
  <c r="J64" i="40"/>
  <c r="J476" i="40"/>
  <c r="J116" i="40"/>
  <c r="J109" i="40"/>
  <c r="J436" i="40"/>
  <c r="J159" i="40"/>
  <c r="J132" i="40"/>
  <c r="J133" i="40"/>
  <c r="J267" i="40"/>
  <c r="J459" i="40"/>
  <c r="J65" i="40"/>
  <c r="J342" i="40"/>
  <c r="J170" i="40"/>
  <c r="J81" i="40"/>
  <c r="J291" i="40"/>
  <c r="J102" i="40"/>
  <c r="J482" i="40"/>
  <c r="J284" i="40"/>
  <c r="J117" i="40"/>
  <c r="J442" i="40"/>
  <c r="J294" i="40"/>
  <c r="J130" i="40"/>
  <c r="J47" i="40"/>
  <c r="J38" i="40"/>
  <c r="J279" i="40"/>
  <c r="J349" i="40"/>
  <c r="J347" i="40"/>
  <c r="J112" i="40"/>
  <c r="J388" i="40"/>
  <c r="J407" i="40"/>
  <c r="J85" i="40"/>
  <c r="J171" i="40"/>
  <c r="J68" i="40"/>
  <c r="J368" i="40"/>
  <c r="J327" i="40"/>
  <c r="J101" i="40"/>
  <c r="J104" i="40"/>
  <c r="J61" i="40"/>
  <c r="J84" i="40"/>
  <c r="J25" i="40"/>
  <c r="J474" i="40"/>
  <c r="J398" i="40"/>
  <c r="J456" i="40"/>
  <c r="J417" i="40"/>
  <c r="J153" i="40"/>
  <c r="J72" i="40"/>
  <c r="J10" i="40"/>
  <c r="J383" i="40"/>
  <c r="J302" i="40"/>
  <c r="J344" i="40"/>
  <c r="J427" i="40"/>
  <c r="J201" i="40"/>
  <c r="J128" i="40"/>
  <c r="J89" i="40"/>
  <c r="J374" i="40"/>
  <c r="J13" i="40"/>
  <c r="J371" i="40"/>
  <c r="J168" i="40"/>
  <c r="J317" i="40"/>
  <c r="J381" i="40"/>
  <c r="J373" i="40"/>
  <c r="J210" i="40"/>
  <c r="J450" i="40"/>
  <c r="J29" i="40"/>
  <c r="J114" i="40"/>
  <c r="J183" i="40"/>
  <c r="J397" i="40"/>
  <c r="J446" i="40"/>
  <c r="J394" i="40"/>
  <c r="J329" i="40"/>
  <c r="J263" i="40"/>
  <c r="J56" i="40"/>
  <c r="J248" i="40"/>
  <c r="J5" i="40"/>
  <c r="J241" i="40"/>
  <c r="J429" i="40"/>
  <c r="J413" i="40"/>
  <c r="J438" i="40"/>
  <c r="J182" i="40"/>
  <c r="J213" i="40"/>
  <c r="J393" i="40"/>
  <c r="J59" i="40"/>
  <c r="J199" i="40"/>
  <c r="J34" i="40"/>
  <c r="J19" i="40"/>
  <c r="J48" i="40"/>
  <c r="J177" i="40"/>
  <c r="J231" i="40"/>
  <c r="J265" i="40"/>
  <c r="J365" i="40"/>
  <c r="J396" i="40"/>
  <c r="J445" i="40"/>
  <c r="J308" i="40"/>
  <c r="J257" i="40"/>
  <c r="J51" i="40"/>
  <c r="J196" i="40"/>
  <c r="J410" i="40"/>
  <c r="J359" i="40"/>
  <c r="J363" i="40"/>
  <c r="J207" i="40"/>
  <c r="J401" i="40"/>
  <c r="J151" i="40"/>
  <c r="J79" i="40"/>
  <c r="J15" i="40"/>
  <c r="J220" i="40"/>
  <c r="J306" i="40"/>
  <c r="J20" i="40"/>
  <c r="J95" i="40"/>
  <c r="J54" i="40"/>
  <c r="J49" i="40"/>
  <c r="J22" i="40"/>
  <c r="J57" i="40"/>
  <c r="J237" i="40"/>
  <c r="J193" i="40"/>
  <c r="J281" i="40"/>
  <c r="J309" i="40"/>
  <c r="J16" i="40"/>
  <c r="J301" i="40"/>
  <c r="J354" i="40"/>
  <c r="J275" i="40"/>
  <c r="J315" i="40"/>
  <c r="J408" i="40"/>
  <c r="J137" i="40"/>
  <c r="J111" i="40"/>
  <c r="J150" i="40"/>
  <c r="J136" i="40"/>
  <c r="J3" i="40"/>
  <c r="J493" i="40"/>
  <c r="J421" i="40"/>
  <c r="J355" i="40"/>
  <c r="J122" i="40"/>
  <c r="J221" i="40"/>
  <c r="J217" i="40"/>
  <c r="J361" i="40"/>
  <c r="J28" i="40"/>
  <c r="J190" i="40"/>
  <c r="J93" i="40"/>
  <c r="J14" i="40"/>
  <c r="J23" i="40"/>
  <c r="J33" i="40"/>
  <c r="J125" i="40"/>
  <c r="J74" i="40"/>
  <c r="J250" i="40"/>
  <c r="J121" i="40"/>
  <c r="J238" i="40"/>
  <c r="J40" i="40"/>
  <c r="J215" i="40"/>
  <c r="J351" i="40"/>
  <c r="J145" i="40"/>
  <c r="J428" i="40"/>
  <c r="J225" i="40"/>
  <c r="J400" i="40"/>
  <c r="J243" i="40"/>
  <c r="J192" i="40"/>
  <c r="J270" i="40"/>
  <c r="J419" i="40"/>
  <c r="J258" i="40"/>
  <c r="J184" i="40"/>
  <c r="J254" i="40"/>
  <c r="J73" i="40"/>
  <c r="J70" i="40"/>
  <c r="J181" i="40"/>
  <c r="J253" i="40"/>
  <c r="AK49" i="3" a="1"/>
  <c r="AK49" i="3" s="1"/>
  <c r="H47" i="45"/>
  <c r="AQ49" i="3"/>
  <c r="AT49" i="3"/>
  <c r="J47" i="45" s="1"/>
  <c r="AS49" i="3"/>
  <c r="AM49" i="3"/>
  <c r="I47" i="45" s="1"/>
  <c r="AP49" i="3"/>
  <c r="AN49" i="3"/>
  <c r="AR49" i="3"/>
  <c r="AO49" i="3"/>
  <c r="BF63" i="3"/>
  <c r="BE63" i="3"/>
  <c r="BR63" i="3" s="1"/>
  <c r="DL15" i="3"/>
  <c r="AU23" i="3" s="1"/>
  <c r="AS78" i="3"/>
  <c r="AK78" i="3" a="1"/>
  <c r="AK78" i="3" s="1"/>
  <c r="AP78" i="3"/>
  <c r="T28" i="45"/>
  <c r="AM78" i="3"/>
  <c r="U28" i="45" s="1"/>
  <c r="AR78" i="3"/>
  <c r="AN78" i="3"/>
  <c r="AQ78" i="3"/>
  <c r="AT78" i="3"/>
  <c r="V28" i="45" s="1"/>
  <c r="AO78" i="3"/>
  <c r="DL19" i="3"/>
  <c r="AU31" i="3" s="1"/>
  <c r="DL35" i="3"/>
  <c r="AU63" i="3" s="1"/>
  <c r="DL7" i="3"/>
  <c r="AU7" i="3" s="1"/>
  <c r="DL9" i="3"/>
  <c r="AU9" i="3" s="1"/>
  <c r="BL68" i="3"/>
  <c r="AT80" i="3"/>
  <c r="V30" i="45" s="1"/>
  <c r="AR80" i="3"/>
  <c r="AK80" i="3" a="1"/>
  <c r="AK80" i="3" s="1"/>
  <c r="AN80" i="3"/>
  <c r="AO80" i="3"/>
  <c r="AS80" i="3"/>
  <c r="AP80" i="3"/>
  <c r="T30" i="45"/>
  <c r="AM80" i="3"/>
  <c r="U30" i="45" s="1"/>
  <c r="AQ80" i="3"/>
  <c r="AR71" i="3"/>
  <c r="AT71" i="3"/>
  <c r="V21" i="45" s="1"/>
  <c r="AS71" i="3"/>
  <c r="AO71" i="3"/>
  <c r="T21" i="45"/>
  <c r="AP71" i="3"/>
  <c r="AM71" i="3"/>
  <c r="U21" i="45" s="1"/>
  <c r="AN71" i="3"/>
  <c r="AK71" i="3" a="1"/>
  <c r="AK71" i="3" s="1"/>
  <c r="AQ71" i="3"/>
  <c r="N106" i="3"/>
  <c r="AF105" i="3" s="1"/>
  <c r="D105" i="3" s="1"/>
  <c r="BF60" i="3"/>
  <c r="BE60" i="3"/>
  <c r="BR60" i="3" s="1"/>
  <c r="H45" i="45"/>
  <c r="AS47" i="3"/>
  <c r="AR47" i="3"/>
  <c r="AM47" i="3"/>
  <c r="I45" i="45" s="1"/>
  <c r="AP47" i="3"/>
  <c r="AK47" i="3" a="1"/>
  <c r="AK47" i="3" s="1"/>
  <c r="AQ47" i="3"/>
  <c r="AT47" i="3"/>
  <c r="J45" i="45" s="1"/>
  <c r="AO47" i="3"/>
  <c r="AN47" i="3"/>
  <c r="N104" i="3"/>
  <c r="AF102" i="3" s="1"/>
  <c r="AP96" i="3"/>
  <c r="AN96" i="3"/>
  <c r="T46" i="45"/>
  <c r="AS96" i="3"/>
  <c r="AO96" i="3"/>
  <c r="AT96" i="3"/>
  <c r="V46" i="45" s="1"/>
  <c r="AK96" i="3" a="1"/>
  <c r="AK96" i="3" s="1"/>
  <c r="AR96" i="3"/>
  <c r="AQ96" i="3"/>
  <c r="AM96" i="3"/>
  <c r="U46" i="45" s="1"/>
  <c r="DL34" i="3"/>
  <c r="AU62" i="3" s="1"/>
  <c r="AT94" i="3"/>
  <c r="V44" i="45" s="1"/>
  <c r="AQ94" i="3"/>
  <c r="AM94" i="3"/>
  <c r="U44" i="45" s="1"/>
  <c r="AP94" i="3"/>
  <c r="AR94" i="3"/>
  <c r="AN94" i="3"/>
  <c r="T44" i="45"/>
  <c r="AO94" i="3"/>
  <c r="AK94" i="3" a="1"/>
  <c r="AK94" i="3" s="1"/>
  <c r="AS94" i="3"/>
  <c r="AR30" i="3"/>
  <c r="AQ30" i="3"/>
  <c r="AT30" i="3"/>
  <c r="J28" i="45" s="1"/>
  <c r="AO30" i="3"/>
  <c r="AS30" i="3"/>
  <c r="AP30" i="3"/>
  <c r="AK30" i="3" a="1"/>
  <c r="AK30" i="3" s="1"/>
  <c r="H28" i="45"/>
  <c r="AN30" i="3"/>
  <c r="AM30" i="3"/>
  <c r="I28" i="45" s="1"/>
  <c r="M109" i="3"/>
  <c r="AA110" i="3" s="1"/>
  <c r="D110" i="3" s="1"/>
  <c r="AS54" i="3"/>
  <c r="AO54" i="3"/>
  <c r="T4" i="45"/>
  <c r="AP54" i="3"/>
  <c r="AT54" i="3"/>
  <c r="V4" i="45" s="1"/>
  <c r="AM54" i="3"/>
  <c r="U4" i="45" s="1"/>
  <c r="AQ54" i="3"/>
  <c r="AR54" i="3"/>
  <c r="AN54" i="3"/>
  <c r="AK54" i="3" a="1"/>
  <c r="AK54" i="3" s="1"/>
  <c r="M110" i="3"/>
  <c r="AA109" i="3" s="1"/>
  <c r="D109" i="3" s="1"/>
  <c r="DM48" i="3" l="1"/>
  <c r="DN48" i="3" a="1"/>
  <c r="DN48" i="3" s="1"/>
  <c r="DN45" i="3" a="1"/>
  <c r="DN45" i="3" s="1"/>
  <c r="DM45" i="3"/>
  <c r="AG123" i="3"/>
  <c r="N133" i="3"/>
  <c r="AF133" i="3" s="1"/>
  <c r="D133" i="3" s="1"/>
  <c r="M134" i="3"/>
  <c r="AA134" i="3" s="1"/>
  <c r="D134" i="3" s="1"/>
  <c r="AG126" i="3"/>
  <c r="DN47" i="3" a="1"/>
  <c r="DN47" i="3" s="1"/>
  <c r="DN53" i="3" a="1"/>
  <c r="DN53" i="3" s="1"/>
  <c r="DM53" i="3"/>
  <c r="AG114" i="3"/>
  <c r="N126" i="3"/>
  <c r="AF126" i="3" s="1"/>
  <c r="C206" i="46" s="1"/>
  <c r="N121" i="3"/>
  <c r="AF120" i="3" s="1"/>
  <c r="D120" i="3" s="1"/>
  <c r="AG104" i="3"/>
  <c r="K45" i="45"/>
  <c r="DN52" i="3" a="1"/>
  <c r="DN52" i="3" s="1"/>
  <c r="M122" i="3"/>
  <c r="AA122" i="3" s="1"/>
  <c r="AG102" i="3"/>
  <c r="N124" i="3"/>
  <c r="AF124" i="3" s="1"/>
  <c r="AG111" i="3"/>
  <c r="DN46" i="3" a="1"/>
  <c r="DN46" i="3" s="1"/>
  <c r="AG106" i="3"/>
  <c r="N120" i="3"/>
  <c r="AF121" i="3" s="1"/>
  <c r="D121" i="3" s="1"/>
  <c r="N125" i="3"/>
  <c r="AF125" i="3" s="1"/>
  <c r="D125" i="3" s="1"/>
  <c r="AG109" i="3"/>
  <c r="M121" i="3"/>
  <c r="AA120" i="3" s="1"/>
  <c r="AG101" i="3"/>
  <c r="AU93" i="3"/>
  <c r="AV92" i="3" s="1"/>
  <c r="M125" i="3"/>
  <c r="AA125" i="3" s="1"/>
  <c r="AG110" i="3"/>
  <c r="DN51" i="3" a="1"/>
  <c r="DN51" i="3" s="1"/>
  <c r="AG107" i="3"/>
  <c r="M123" i="3"/>
  <c r="AA123" i="3" s="1"/>
  <c r="C203" i="46" s="1"/>
  <c r="AG113" i="3"/>
  <c r="M127" i="3"/>
  <c r="AA127" i="3" s="1"/>
  <c r="DM52" i="3"/>
  <c r="AE47" i="45"/>
  <c r="M197" i="46"/>
  <c r="AG105" i="3"/>
  <c r="N122" i="3"/>
  <c r="AF122" i="3" s="1"/>
  <c r="D122" i="3" s="1"/>
  <c r="DM43" i="3"/>
  <c r="DN43" i="3" a="1"/>
  <c r="DN43" i="3" s="1"/>
  <c r="M188" i="46"/>
  <c r="AE40" i="45"/>
  <c r="AE35" i="45"/>
  <c r="M193" i="46"/>
  <c r="DM51" i="3"/>
  <c r="AE16" i="45"/>
  <c r="M186" i="46"/>
  <c r="DM44" i="3"/>
  <c r="DN44" i="3" a="1"/>
  <c r="DN44" i="3" s="1"/>
  <c r="AU85" i="3"/>
  <c r="AV84" i="3" s="1"/>
  <c r="DM49" i="3"/>
  <c r="DN50" i="3" a="1"/>
  <c r="DN50" i="3" s="1"/>
  <c r="DM50" i="3"/>
  <c r="DN49" i="3" a="1"/>
  <c r="DN49" i="3" s="1"/>
  <c r="DM47" i="3"/>
  <c r="W29" i="45"/>
  <c r="DM46" i="3"/>
  <c r="AU77" i="3"/>
  <c r="AV76" i="3" s="1"/>
  <c r="K44" i="45"/>
  <c r="K38" i="45"/>
  <c r="DN12" i="3" a="1"/>
  <c r="DN12" i="3" s="1"/>
  <c r="DN23" i="3" a="1"/>
  <c r="DN23" i="3" s="1"/>
  <c r="DM37" i="3"/>
  <c r="DN24" i="3" a="1"/>
  <c r="DN24" i="3" s="1"/>
  <c r="DM16" i="3"/>
  <c r="DN37" i="3" a="1"/>
  <c r="DN37" i="3" s="1"/>
  <c r="DM21" i="3"/>
  <c r="DN21" i="3" a="1"/>
  <c r="DN21" i="3" s="1"/>
  <c r="DN42" i="3" a="1"/>
  <c r="DN42" i="3" s="1"/>
  <c r="DM42" i="3"/>
  <c r="K6" i="45"/>
  <c r="K21" i="45"/>
  <c r="W45" i="45"/>
  <c r="DM15" i="3"/>
  <c r="K5" i="45"/>
  <c r="DM13" i="3"/>
  <c r="DM30" i="3"/>
  <c r="K29" i="45"/>
  <c r="DM23" i="3"/>
  <c r="DM22" i="3"/>
  <c r="K39" i="45"/>
  <c r="W30" i="45"/>
  <c r="AU21" i="3"/>
  <c r="AV20" i="3" s="1"/>
  <c r="DM6" i="3"/>
  <c r="DN38" i="3" a="1"/>
  <c r="DN38" i="3" s="1"/>
  <c r="DM38" i="3"/>
  <c r="W20" i="45"/>
  <c r="DN18" i="3" a="1"/>
  <c r="DN18" i="3" s="1"/>
  <c r="DN10" i="3" a="1"/>
  <c r="DN10" i="3" s="1"/>
  <c r="W12" i="45"/>
  <c r="BS62" i="3"/>
  <c r="DN11" i="3" a="1"/>
  <c r="DN11" i="3" s="1"/>
  <c r="DM20" i="3"/>
  <c r="DM34" i="3"/>
  <c r="DN35" i="3" a="1"/>
  <c r="DN35" i="3" s="1"/>
  <c r="DN39" i="3" a="1"/>
  <c r="DN39" i="3" s="1"/>
  <c r="W38" i="45"/>
  <c r="DM31" i="3"/>
  <c r="DN6" i="3" a="1"/>
  <c r="DN6" i="3" s="1"/>
  <c r="DN31" i="3" a="1"/>
  <c r="DN31" i="3" s="1"/>
  <c r="DN34" i="3" a="1"/>
  <c r="DN34" i="3" s="1"/>
  <c r="DN22" i="3" a="1"/>
  <c r="DN22" i="3" s="1"/>
  <c r="DN30" i="3" a="1"/>
  <c r="DN30" i="3" s="1"/>
  <c r="DM24" i="3"/>
  <c r="W6" i="45"/>
  <c r="DM41" i="3"/>
  <c r="DM40" i="3"/>
  <c r="K46" i="45"/>
  <c r="K7" i="45"/>
  <c r="M112" i="46"/>
  <c r="M115" i="46"/>
  <c r="M114" i="46"/>
  <c r="M113" i="46"/>
  <c r="DN36" i="3" a="1"/>
  <c r="DN36" i="3" s="1"/>
  <c r="W7" i="45"/>
  <c r="AU13" i="3"/>
  <c r="AV12" i="3" s="1"/>
  <c r="M103" i="46"/>
  <c r="M100" i="46"/>
  <c r="M102" i="46"/>
  <c r="M101" i="46"/>
  <c r="W46" i="45"/>
  <c r="DM35" i="3"/>
  <c r="M110" i="46"/>
  <c r="M111" i="46"/>
  <c r="M108" i="46"/>
  <c r="M109" i="46"/>
  <c r="K15" i="45"/>
  <c r="AU69" i="3"/>
  <c r="AV68" i="3" s="1"/>
  <c r="DM10" i="3"/>
  <c r="AU37" i="3"/>
  <c r="AV36" i="3" s="1"/>
  <c r="AU53" i="3"/>
  <c r="AV52" i="3" s="1"/>
  <c r="M146" i="46"/>
  <c r="AA10" i="45"/>
  <c r="C164" i="46"/>
  <c r="DN16" i="3" a="1"/>
  <c r="DN16" i="3" s="1"/>
  <c r="K14" i="45"/>
  <c r="AA45" i="45"/>
  <c r="M142" i="46"/>
  <c r="DM36" i="3"/>
  <c r="W39" i="45"/>
  <c r="M139" i="46"/>
  <c r="AA21" i="45"/>
  <c r="M127" i="46"/>
  <c r="M125" i="46"/>
  <c r="M124" i="46"/>
  <c r="M126" i="46"/>
  <c r="DM19" i="3"/>
  <c r="AU29" i="3"/>
  <c r="AV28" i="3" s="1"/>
  <c r="AA43" i="45"/>
  <c r="M159" i="46"/>
  <c r="C177" i="46"/>
  <c r="DN32" i="3" a="1"/>
  <c r="DN32" i="3" s="1"/>
  <c r="M93" i="46"/>
  <c r="M92" i="46"/>
  <c r="M94" i="46"/>
  <c r="M95" i="46"/>
  <c r="W44" i="45"/>
  <c r="DN19" i="3" a="1"/>
  <c r="DN19" i="3" s="1"/>
  <c r="DN15" i="3" a="1"/>
  <c r="DN15" i="3" s="1"/>
  <c r="DN20" i="3" a="1"/>
  <c r="DN20" i="3" s="1"/>
  <c r="DM18" i="3"/>
  <c r="DM32" i="3"/>
  <c r="W47" i="45"/>
  <c r="BS59" i="3"/>
  <c r="W13" i="45"/>
  <c r="K13" i="45"/>
  <c r="K36" i="45"/>
  <c r="K31" i="45"/>
  <c r="M85" i="46"/>
  <c r="M87" i="46"/>
  <c r="M86" i="46"/>
  <c r="M84" i="46"/>
  <c r="DM28" i="3"/>
  <c r="M83" i="46"/>
  <c r="M82" i="46"/>
  <c r="M80" i="46"/>
  <c r="M81" i="46"/>
  <c r="M149" i="46"/>
  <c r="AA13" i="45"/>
  <c r="C167" i="46"/>
  <c r="W14" i="45"/>
  <c r="K165" i="46"/>
  <c r="DT102" i="3"/>
  <c r="M131" i="46"/>
  <c r="AA27" i="45"/>
  <c r="BS65" i="3"/>
  <c r="BS61" i="3"/>
  <c r="K164" i="46"/>
  <c r="DT101" i="3"/>
  <c r="AA9" i="45"/>
  <c r="M130" i="46"/>
  <c r="K22" i="45"/>
  <c r="DM26" i="3"/>
  <c r="DN14" i="3" a="1"/>
  <c r="DN14" i="3" s="1"/>
  <c r="DN27" i="3" a="1"/>
  <c r="DN27" i="3" s="1"/>
  <c r="AU61" i="3"/>
  <c r="AV60" i="3" s="1"/>
  <c r="BS60" i="3"/>
  <c r="DM7" i="3"/>
  <c r="W36" i="45"/>
  <c r="K30" i="45"/>
  <c r="AA33" i="45"/>
  <c r="M136" i="46"/>
  <c r="DN33" i="3" a="1"/>
  <c r="DN33" i="3" s="1"/>
  <c r="DN26" i="3" a="1"/>
  <c r="DN26" i="3" s="1"/>
  <c r="DM27" i="3"/>
  <c r="W31" i="45"/>
  <c r="K12" i="45"/>
  <c r="DN28" i="3" a="1"/>
  <c r="DN28" i="3" s="1"/>
  <c r="DM8" i="3"/>
  <c r="M90" i="46"/>
  <c r="M89" i="46"/>
  <c r="M88" i="46"/>
  <c r="M91" i="46"/>
  <c r="BS69" i="3"/>
  <c r="DM17" i="3"/>
  <c r="DN29" i="3" a="1"/>
  <c r="DN29" i="3" s="1"/>
  <c r="W4" i="45"/>
  <c r="DN7" i="3" a="1"/>
  <c r="DN7" i="3" s="1"/>
  <c r="M118" i="46"/>
  <c r="M117" i="46"/>
  <c r="M119" i="46"/>
  <c r="M116" i="46"/>
  <c r="AA18" i="45"/>
  <c r="K174" i="46"/>
  <c r="M140" i="46"/>
  <c r="DT111" i="3"/>
  <c r="C174" i="46"/>
  <c r="K4" i="45"/>
  <c r="W15" i="45"/>
  <c r="DM33" i="3"/>
  <c r="K167" i="46"/>
  <c r="DT104" i="3"/>
  <c r="M133" i="46"/>
  <c r="AA12" i="45"/>
  <c r="DN8" i="3" a="1"/>
  <c r="DN8" i="3" s="1"/>
  <c r="AA3" i="45"/>
  <c r="M132" i="46"/>
  <c r="K20" i="45"/>
  <c r="DN17" i="3" a="1"/>
  <c r="DN17" i="3" s="1"/>
  <c r="M123" i="46"/>
  <c r="M120" i="46"/>
  <c r="M121" i="46"/>
  <c r="M122" i="46"/>
  <c r="W23" i="45"/>
  <c r="W28" i="45"/>
  <c r="BS66" i="3"/>
  <c r="BS67" i="3"/>
  <c r="DN25" i="3" a="1"/>
  <c r="DN25" i="3" s="1"/>
  <c r="M99" i="46"/>
  <c r="M98" i="46"/>
  <c r="M96" i="46"/>
  <c r="M97" i="46"/>
  <c r="M138" i="46"/>
  <c r="AA24" i="45"/>
  <c r="DN9" i="3" a="1"/>
  <c r="DN9" i="3" s="1"/>
  <c r="W22" i="45"/>
  <c r="DT105" i="3"/>
  <c r="AA30" i="45"/>
  <c r="M134" i="46"/>
  <c r="K168" i="46"/>
  <c r="M106" i="46"/>
  <c r="M107" i="46"/>
  <c r="M104" i="46"/>
  <c r="M105" i="46"/>
  <c r="W21" i="45"/>
  <c r="DM9" i="3"/>
  <c r="DN13" i="3" a="1"/>
  <c r="DN13" i="3" s="1"/>
  <c r="AU45" i="3"/>
  <c r="AV44" i="3" s="1"/>
  <c r="DM14" i="3"/>
  <c r="BS63" i="3"/>
  <c r="DM29" i="3"/>
  <c r="C168" i="46"/>
  <c r="M150" i="46"/>
  <c r="AA31" i="45"/>
  <c r="K47" i="45"/>
  <c r="K28" i="45"/>
  <c r="AA28" i="45"/>
  <c r="M147" i="46"/>
  <c r="C165" i="46"/>
  <c r="DM39" i="3"/>
  <c r="DN40" i="3" a="1"/>
  <c r="DN40" i="3" s="1"/>
  <c r="BS64" i="3"/>
  <c r="W5" i="45"/>
  <c r="BS58" i="3"/>
  <c r="AU5" i="3"/>
  <c r="AV4" i="3" s="1"/>
  <c r="DM11" i="3"/>
  <c r="M160" i="46"/>
  <c r="AA40" i="45"/>
  <c r="C178" i="46"/>
  <c r="K178" i="46"/>
  <c r="DT115" i="3"/>
  <c r="K37" i="45"/>
  <c r="DM12" i="3"/>
  <c r="DM25" i="3"/>
  <c r="DN41" i="3" a="1"/>
  <c r="DN41" i="3" s="1"/>
  <c r="K23" i="45"/>
  <c r="BS68" i="3"/>
  <c r="W37" i="45"/>
  <c r="AA6" i="45"/>
  <c r="M135" i="46"/>
  <c r="M143" i="46"/>
  <c r="AA42" i="45"/>
  <c r="DT114" i="3"/>
  <c r="K177" i="46"/>
  <c r="M139" i="3" l="1"/>
  <c r="AA139" i="3" s="1"/>
  <c r="AG133" i="3"/>
  <c r="N139" i="3"/>
  <c r="AF139" i="3" s="1"/>
  <c r="AG134" i="3"/>
  <c r="C207" i="46"/>
  <c r="D127" i="3"/>
  <c r="K206" i="46"/>
  <c r="DT126" i="3"/>
  <c r="AG120" i="3"/>
  <c r="N131" i="3"/>
  <c r="AF131" i="3" s="1"/>
  <c r="M133" i="3"/>
  <c r="AA133" i="3" s="1"/>
  <c r="C222" i="46" s="1"/>
  <c r="AG122" i="3"/>
  <c r="AG125" i="3"/>
  <c r="N132" i="3"/>
  <c r="AF132" i="3" s="1"/>
  <c r="M131" i="3"/>
  <c r="AA131" i="3" s="1"/>
  <c r="D131" i="3" s="1"/>
  <c r="AG121" i="3"/>
  <c r="AI43" i="45"/>
  <c r="M213" i="46"/>
  <c r="DT124" i="3"/>
  <c r="D124" i="3"/>
  <c r="M216" i="46"/>
  <c r="AI32" i="45"/>
  <c r="AE41" i="45"/>
  <c r="M196" i="46"/>
  <c r="K204" i="46"/>
  <c r="M190" i="46"/>
  <c r="AE11" i="45"/>
  <c r="K205" i="46"/>
  <c r="M187" i="46"/>
  <c r="AE22" i="45"/>
  <c r="DT125" i="3"/>
  <c r="M182" i="46"/>
  <c r="DT120" i="3"/>
  <c r="K200" i="46"/>
  <c r="C200" i="46"/>
  <c r="AE10" i="45"/>
  <c r="M195" i="46"/>
  <c r="C205" i="46"/>
  <c r="AE23" i="45"/>
  <c r="K207" i="46"/>
  <c r="AE46" i="45"/>
  <c r="M189" i="46"/>
  <c r="DT127" i="3"/>
  <c r="AE29" i="45"/>
  <c r="M192" i="46"/>
  <c r="C202" i="46"/>
  <c r="AE5" i="45"/>
  <c r="M191" i="46"/>
  <c r="M185" i="46"/>
  <c r="K203" i="46"/>
  <c r="AE34" i="45"/>
  <c r="DT123" i="3"/>
  <c r="M194" i="46"/>
  <c r="AE17" i="45"/>
  <c r="C204" i="46"/>
  <c r="AE28" i="45"/>
  <c r="M184" i="46"/>
  <c r="K202" i="46"/>
  <c r="DT122" i="3"/>
  <c r="BT67" i="3"/>
  <c r="BU67" i="3" s="1"/>
  <c r="CZ117" i="46"/>
  <c r="ED117" i="46"/>
  <c r="EV117" i="46"/>
  <c r="BY117" i="46"/>
  <c r="CH117" i="46"/>
  <c r="DF117" i="46"/>
  <c r="EY117" i="46"/>
  <c r="CE117" i="46"/>
  <c r="CT117" i="46"/>
  <c r="BV117" i="46"/>
  <c r="FE117" i="46"/>
  <c r="FH117" i="46"/>
  <c r="DO117" i="46"/>
  <c r="BM117" i="46"/>
  <c r="EJ117" i="46"/>
  <c r="CK117" i="46"/>
  <c r="Z117" i="46"/>
  <c r="BP117" i="46"/>
  <c r="AO117" i="46"/>
  <c r="BD117" i="46"/>
  <c r="W117" i="46"/>
  <c r="BS117" i="46"/>
  <c r="DX117" i="46"/>
  <c r="AC117" i="46"/>
  <c r="CW117" i="46"/>
  <c r="CQ117" i="46"/>
  <c r="EP117" i="46"/>
  <c r="ES117" i="46"/>
  <c r="DU117" i="46"/>
  <c r="AL117" i="46"/>
  <c r="FK117" i="46"/>
  <c r="DR117" i="46"/>
  <c r="T117" i="46"/>
  <c r="CB117" i="46"/>
  <c r="BA117" i="46"/>
  <c r="DL117" i="46"/>
  <c r="EG117" i="46"/>
  <c r="AR117" i="46"/>
  <c r="AU117" i="46"/>
  <c r="DC117" i="46"/>
  <c r="CN117" i="46"/>
  <c r="FB117" i="46"/>
  <c r="AX117" i="46"/>
  <c r="BJ117" i="46"/>
  <c r="AI117" i="46"/>
  <c r="DI117" i="46"/>
  <c r="BG117" i="46"/>
  <c r="EA117" i="46"/>
  <c r="AF117" i="46"/>
  <c r="EM117" i="46"/>
  <c r="BD98" i="46"/>
  <c r="EY98" i="46"/>
  <c r="AO98" i="46"/>
  <c r="AC98" i="46"/>
  <c r="DX98" i="46"/>
  <c r="DO98" i="46"/>
  <c r="FB98" i="46"/>
  <c r="DC98" i="46"/>
  <c r="AU98" i="46"/>
  <c r="CK98" i="46"/>
  <c r="T98" i="46"/>
  <c r="Z98" i="46"/>
  <c r="ES98" i="46"/>
  <c r="BJ98" i="46"/>
  <c r="BY98" i="46"/>
  <c r="DL98" i="46"/>
  <c r="DI98" i="46"/>
  <c r="DU98" i="46"/>
  <c r="CE98" i="46"/>
  <c r="CT98" i="46"/>
  <c r="CB98" i="46"/>
  <c r="DR98" i="46"/>
  <c r="FE98" i="46"/>
  <c r="BG98" i="46"/>
  <c r="EA98" i="46"/>
  <c r="EP98" i="46"/>
  <c r="CZ98" i="46"/>
  <c r="AI98" i="46"/>
  <c r="W98" i="46"/>
  <c r="AF98" i="46"/>
  <c r="CH98" i="46"/>
  <c r="BP98" i="46"/>
  <c r="AL98" i="46"/>
  <c r="CN98" i="46"/>
  <c r="FK98" i="46"/>
  <c r="BM98" i="46"/>
  <c r="EJ98" i="46"/>
  <c r="EM98" i="46"/>
  <c r="FH98" i="46"/>
  <c r="BV98" i="46"/>
  <c r="EV98" i="46"/>
  <c r="BS98" i="46"/>
  <c r="CQ98" i="46"/>
  <c r="ED98" i="46"/>
  <c r="EG98" i="46"/>
  <c r="BA98" i="46"/>
  <c r="CW98" i="46"/>
  <c r="DF98" i="46"/>
  <c r="AR98" i="46"/>
  <c r="AX98" i="46"/>
  <c r="BY99" i="46"/>
  <c r="AU99" i="46"/>
  <c r="EV99" i="46"/>
  <c r="CZ99" i="46"/>
  <c r="BA99" i="46"/>
  <c r="W99" i="46"/>
  <c r="CE99" i="46"/>
  <c r="CH99" i="46"/>
  <c r="DR99" i="46"/>
  <c r="DL99" i="46"/>
  <c r="EA99" i="46"/>
  <c r="EM99" i="46"/>
  <c r="AO99" i="46"/>
  <c r="BS99" i="46"/>
  <c r="DX99" i="46"/>
  <c r="T99" i="46"/>
  <c r="FH99" i="46"/>
  <c r="BG99" i="46"/>
  <c r="CW99" i="46"/>
  <c r="BP99" i="46"/>
  <c r="DC99" i="46"/>
  <c r="FK99" i="46"/>
  <c r="DF99" i="46"/>
  <c r="DO99" i="46"/>
  <c r="BD99" i="46"/>
  <c r="CQ99" i="46"/>
  <c r="AL99" i="46"/>
  <c r="CN99" i="46"/>
  <c r="EY99" i="46"/>
  <c r="Z99" i="46"/>
  <c r="EJ99" i="46"/>
  <c r="AR99" i="46"/>
  <c r="FE99" i="46"/>
  <c r="EG99" i="46"/>
  <c r="EP99" i="46"/>
  <c r="FB99" i="46"/>
  <c r="AI99" i="46"/>
  <c r="ES99" i="46"/>
  <c r="AF99" i="46"/>
  <c r="AC99" i="46"/>
  <c r="CT99" i="46"/>
  <c r="DU99" i="46"/>
  <c r="AX99" i="46"/>
  <c r="DI99" i="46"/>
  <c r="ED99" i="46"/>
  <c r="BJ99" i="46"/>
  <c r="BV99" i="46"/>
  <c r="CK99" i="46"/>
  <c r="BM99" i="46"/>
  <c r="CB99" i="46"/>
  <c r="DL90" i="46"/>
  <c r="ES90" i="46"/>
  <c r="BD90" i="46"/>
  <c r="CN90" i="46"/>
  <c r="DF90" i="46"/>
  <c r="DX90" i="46"/>
  <c r="T90" i="46"/>
  <c r="EY90" i="46"/>
  <c r="EP90" i="46"/>
  <c r="FE90" i="46"/>
  <c r="BP90" i="46"/>
  <c r="BM90" i="46"/>
  <c r="DR90" i="46"/>
  <c r="EJ90" i="46"/>
  <c r="AC90" i="46"/>
  <c r="AO90" i="46"/>
  <c r="AR90" i="46"/>
  <c r="EG90" i="46"/>
  <c r="CE90" i="46"/>
  <c r="Z90" i="46"/>
  <c r="DI90" i="46"/>
  <c r="AX90" i="46"/>
  <c r="FK90" i="46"/>
  <c r="BY90" i="46"/>
  <c r="FB90" i="46"/>
  <c r="EM90" i="46"/>
  <c r="AL90" i="46"/>
  <c r="CB90" i="46"/>
  <c r="CQ90" i="46"/>
  <c r="AF90" i="46"/>
  <c r="W90" i="46"/>
  <c r="BA90" i="46"/>
  <c r="FH90" i="46"/>
  <c r="DU90" i="46"/>
  <c r="EA90" i="46"/>
  <c r="CH90" i="46"/>
  <c r="DC90" i="46"/>
  <c r="BG90" i="46"/>
  <c r="CT90" i="46"/>
  <c r="DO90" i="46"/>
  <c r="BS90" i="46"/>
  <c r="AU90" i="46"/>
  <c r="EV90" i="46"/>
  <c r="BV90" i="46"/>
  <c r="CZ90" i="46"/>
  <c r="CW90" i="46"/>
  <c r="BJ90" i="46"/>
  <c r="CK90" i="46"/>
  <c r="ED90" i="46"/>
  <c r="AI90" i="46"/>
  <c r="AR124" i="46"/>
  <c r="DC124" i="46"/>
  <c r="W124" i="46"/>
  <c r="CQ124" i="46"/>
  <c r="FE124" i="46"/>
  <c r="BV124" i="46"/>
  <c r="EY124" i="46"/>
  <c r="CE124" i="46"/>
  <c r="CK124" i="46"/>
  <c r="CZ124" i="46"/>
  <c r="BY124" i="46"/>
  <c r="T124" i="46"/>
  <c r="DL124" i="46"/>
  <c r="AF124" i="46"/>
  <c r="BA124" i="46"/>
  <c r="DI124" i="46"/>
  <c r="EM124" i="46"/>
  <c r="AU124" i="46"/>
  <c r="FH124" i="46"/>
  <c r="EP124" i="46"/>
  <c r="DR124" i="46"/>
  <c r="EJ124" i="46"/>
  <c r="BS124" i="46"/>
  <c r="DO124" i="46"/>
  <c r="EG124" i="46"/>
  <c r="BG124" i="46"/>
  <c r="AO124" i="46"/>
  <c r="CB124" i="46"/>
  <c r="FB124" i="46"/>
  <c r="EV124" i="46"/>
  <c r="ED124" i="46"/>
  <c r="DX124" i="46"/>
  <c r="CH124" i="46"/>
  <c r="AX124" i="46"/>
  <c r="BD124" i="46"/>
  <c r="DU124" i="46"/>
  <c r="CN124" i="46"/>
  <c r="AI124" i="46"/>
  <c r="BP124" i="46"/>
  <c r="FK124" i="46"/>
  <c r="BM124" i="46"/>
  <c r="AL124" i="46"/>
  <c r="ES124" i="46"/>
  <c r="AC124" i="46"/>
  <c r="Z124" i="46"/>
  <c r="BJ124" i="46"/>
  <c r="DF124" i="46"/>
  <c r="CW124" i="46"/>
  <c r="EA124" i="46"/>
  <c r="CT124" i="46"/>
  <c r="AF110" i="46"/>
  <c r="AR110" i="46"/>
  <c r="BM110" i="46"/>
  <c r="DL110" i="46"/>
  <c r="ES110" i="46"/>
  <c r="FK110" i="46"/>
  <c r="AI110" i="46"/>
  <c r="CN110" i="46"/>
  <c r="BY110" i="46"/>
  <c r="BS110" i="46"/>
  <c r="CH110" i="46"/>
  <c r="EM110" i="46"/>
  <c r="AL110" i="46"/>
  <c r="W110" i="46"/>
  <c r="AC110" i="46"/>
  <c r="FE110" i="46"/>
  <c r="DI110" i="46"/>
  <c r="EA110" i="46"/>
  <c r="EJ110" i="46"/>
  <c r="FB110" i="46"/>
  <c r="DU110" i="46"/>
  <c r="CQ110" i="46"/>
  <c r="CW110" i="46"/>
  <c r="CK110" i="46"/>
  <c r="BA110" i="46"/>
  <c r="EY110" i="46"/>
  <c r="AU110" i="46"/>
  <c r="EP110" i="46"/>
  <c r="ED110" i="46"/>
  <c r="T110" i="46"/>
  <c r="CT110" i="46"/>
  <c r="EV110" i="46"/>
  <c r="BP110" i="46"/>
  <c r="DX110" i="46"/>
  <c r="BJ110" i="46"/>
  <c r="CZ110" i="46"/>
  <c r="BG110" i="46"/>
  <c r="CB110" i="46"/>
  <c r="CE110" i="46"/>
  <c r="BV110" i="46"/>
  <c r="FH110" i="46"/>
  <c r="BD110" i="46"/>
  <c r="DF110" i="46"/>
  <c r="DC110" i="46"/>
  <c r="AO110" i="46"/>
  <c r="DO110" i="46"/>
  <c r="Z110" i="46"/>
  <c r="EG110" i="46"/>
  <c r="DR110" i="46"/>
  <c r="AX110" i="46"/>
  <c r="BT66" i="3"/>
  <c r="BU66" i="3" s="1"/>
  <c r="DX101" i="46"/>
  <c r="BV101" i="46"/>
  <c r="CK101" i="46"/>
  <c r="CZ101" i="46"/>
  <c r="AX101" i="46"/>
  <c r="EJ101" i="46"/>
  <c r="AF101" i="46"/>
  <c r="EM101" i="46"/>
  <c r="BP101" i="46"/>
  <c r="BG101" i="46"/>
  <c r="Z101" i="46"/>
  <c r="BM101" i="46"/>
  <c r="BY101" i="46"/>
  <c r="AL101" i="46"/>
  <c r="BA101" i="46"/>
  <c r="FB101" i="46"/>
  <c r="EA101" i="46"/>
  <c r="DR101" i="46"/>
  <c r="ED101" i="46"/>
  <c r="BD101" i="46"/>
  <c r="CN101" i="46"/>
  <c r="ES101" i="46"/>
  <c r="CH101" i="46"/>
  <c r="DU101" i="46"/>
  <c r="EG101" i="46"/>
  <c r="AC101" i="46"/>
  <c r="BJ101" i="46"/>
  <c r="CQ101" i="46"/>
  <c r="BS101" i="46"/>
  <c r="T101" i="46"/>
  <c r="AU101" i="46"/>
  <c r="EY101" i="46"/>
  <c r="W101" i="46"/>
  <c r="DC101" i="46"/>
  <c r="FE101" i="46"/>
  <c r="DI101" i="46"/>
  <c r="AI101" i="46"/>
  <c r="CB101" i="46"/>
  <c r="FK101" i="46"/>
  <c r="DO101" i="46"/>
  <c r="DL101" i="46"/>
  <c r="AR101" i="46"/>
  <c r="FH101" i="46"/>
  <c r="DF101" i="46"/>
  <c r="EP101" i="46"/>
  <c r="CT101" i="46"/>
  <c r="AO101" i="46"/>
  <c r="CE101" i="46"/>
  <c r="EV101" i="46"/>
  <c r="CW101" i="46"/>
  <c r="EA118" i="46"/>
  <c r="ES118" i="46"/>
  <c r="CB118" i="46"/>
  <c r="T118" i="46"/>
  <c r="CW118" i="46"/>
  <c r="DO118" i="46"/>
  <c r="FK118" i="46"/>
  <c r="DF118" i="46"/>
  <c r="FE118" i="46"/>
  <c r="Z118" i="46"/>
  <c r="EJ118" i="46"/>
  <c r="DX118" i="46"/>
  <c r="BA118" i="46"/>
  <c r="BJ118" i="46"/>
  <c r="EY118" i="46"/>
  <c r="DC118" i="46"/>
  <c r="CT118" i="46"/>
  <c r="BD118" i="46"/>
  <c r="BS118" i="46"/>
  <c r="EP118" i="46"/>
  <c r="BP118" i="46"/>
  <c r="W118" i="46"/>
  <c r="AL118" i="46"/>
  <c r="DL118" i="46"/>
  <c r="EV118" i="46"/>
  <c r="CE118" i="46"/>
  <c r="DU118" i="46"/>
  <c r="DI118" i="46"/>
  <c r="FH118" i="46"/>
  <c r="CZ118" i="46"/>
  <c r="AI118" i="46"/>
  <c r="AU118" i="46"/>
  <c r="CQ118" i="46"/>
  <c r="AX118" i="46"/>
  <c r="BM118" i="46"/>
  <c r="AF118" i="46"/>
  <c r="DR118" i="46"/>
  <c r="ED118" i="46"/>
  <c r="CH118" i="46"/>
  <c r="AR118" i="46"/>
  <c r="BG118" i="46"/>
  <c r="BY118" i="46"/>
  <c r="FB118" i="46"/>
  <c r="CN118" i="46"/>
  <c r="CK118" i="46"/>
  <c r="AO118" i="46"/>
  <c r="AC118" i="46"/>
  <c r="BV118" i="46"/>
  <c r="EM118" i="46"/>
  <c r="EG118" i="46"/>
  <c r="Z92" i="46"/>
  <c r="FE92" i="46"/>
  <c r="BJ92" i="46"/>
  <c r="FK92" i="46"/>
  <c r="EG92" i="46"/>
  <c r="DX92" i="46"/>
  <c r="DU92" i="46"/>
  <c r="CQ92" i="46"/>
  <c r="BM92" i="46"/>
  <c r="BD92" i="46"/>
  <c r="BS92" i="46"/>
  <c r="AF92" i="46"/>
  <c r="ES92" i="46"/>
  <c r="FH92" i="46"/>
  <c r="CB92" i="46"/>
  <c r="CW92" i="46"/>
  <c r="EJ92" i="46"/>
  <c r="EA92" i="46"/>
  <c r="AC92" i="46"/>
  <c r="BP92" i="46"/>
  <c r="DC92" i="46"/>
  <c r="DR92" i="46"/>
  <c r="EY92" i="46"/>
  <c r="CT92" i="46"/>
  <c r="CH92" i="46"/>
  <c r="BV92" i="46"/>
  <c r="EV92" i="46"/>
  <c r="EM92" i="46"/>
  <c r="ED92" i="46"/>
  <c r="DO92" i="46"/>
  <c r="CZ92" i="46"/>
  <c r="AU92" i="46"/>
  <c r="AI92" i="46"/>
  <c r="W92" i="46"/>
  <c r="DL92" i="46"/>
  <c r="CN92" i="46"/>
  <c r="BY92" i="46"/>
  <c r="EP92" i="46"/>
  <c r="AR92" i="46"/>
  <c r="CE92" i="46"/>
  <c r="CK92" i="46"/>
  <c r="AO92" i="46"/>
  <c r="BG92" i="46"/>
  <c r="AL92" i="46"/>
  <c r="FB92" i="46"/>
  <c r="T92" i="46"/>
  <c r="AX92" i="46"/>
  <c r="DI92" i="46"/>
  <c r="BA92" i="46"/>
  <c r="DF92" i="46"/>
  <c r="CK100" i="46"/>
  <c r="AI100" i="46"/>
  <c r="CT100" i="46"/>
  <c r="BM100" i="46"/>
  <c r="EV100" i="46"/>
  <c r="AC100" i="46"/>
  <c r="T100" i="46"/>
  <c r="ED100" i="46"/>
  <c r="CB100" i="46"/>
  <c r="Z100" i="46"/>
  <c r="FH100" i="46"/>
  <c r="AL100" i="46"/>
  <c r="CW100" i="46"/>
  <c r="AR100" i="46"/>
  <c r="DX100" i="46"/>
  <c r="W100" i="46"/>
  <c r="FE100" i="46"/>
  <c r="CZ100" i="46"/>
  <c r="EM100" i="46"/>
  <c r="AO100" i="46"/>
  <c r="DR100" i="46"/>
  <c r="BS100" i="46"/>
  <c r="DF100" i="46"/>
  <c r="FK100" i="46"/>
  <c r="CH100" i="46"/>
  <c r="ES100" i="46"/>
  <c r="BJ100" i="46"/>
  <c r="CQ100" i="46"/>
  <c r="EA100" i="46"/>
  <c r="BY100" i="46"/>
  <c r="EJ100" i="46"/>
  <c r="DO100" i="46"/>
  <c r="DL100" i="46"/>
  <c r="AX100" i="46"/>
  <c r="CN100" i="46"/>
  <c r="AU100" i="46"/>
  <c r="BP100" i="46"/>
  <c r="EP100" i="46"/>
  <c r="EG100" i="46"/>
  <c r="DU100" i="46"/>
  <c r="FB100" i="46"/>
  <c r="EY100" i="46"/>
  <c r="DC100" i="46"/>
  <c r="BD100" i="46"/>
  <c r="AF100" i="46"/>
  <c r="BA100" i="46"/>
  <c r="BV100" i="46"/>
  <c r="DI100" i="46"/>
  <c r="CE100" i="46"/>
  <c r="BG100" i="46"/>
  <c r="BT68" i="3"/>
  <c r="BU68" i="3" s="1"/>
  <c r="DC122" i="46"/>
  <c r="BA122" i="46"/>
  <c r="BP122" i="46"/>
  <c r="AX122" i="46"/>
  <c r="CE122" i="46"/>
  <c r="Z122" i="46"/>
  <c r="AF122" i="46"/>
  <c r="AU122" i="46"/>
  <c r="FK122" i="46"/>
  <c r="FB122" i="46"/>
  <c r="BM122" i="46"/>
  <c r="DR122" i="46"/>
  <c r="EA122" i="46"/>
  <c r="DL122" i="46"/>
  <c r="CK122" i="46"/>
  <c r="DI122" i="46"/>
  <c r="CZ122" i="46"/>
  <c r="BJ122" i="46"/>
  <c r="T122" i="46"/>
  <c r="BV122" i="46"/>
  <c r="DX122" i="46"/>
  <c r="EY122" i="46"/>
  <c r="AO122" i="46"/>
  <c r="DO122" i="46"/>
  <c r="EJ122" i="46"/>
  <c r="AL122" i="46"/>
  <c r="EV122" i="46"/>
  <c r="DU122" i="46"/>
  <c r="ES122" i="46"/>
  <c r="EP122" i="46"/>
  <c r="EM122" i="46"/>
  <c r="CW122" i="46"/>
  <c r="ED122" i="46"/>
  <c r="CT122" i="46"/>
  <c r="W122" i="46"/>
  <c r="BG122" i="46"/>
  <c r="CQ122" i="46"/>
  <c r="CN122" i="46"/>
  <c r="FE122" i="46"/>
  <c r="BY122" i="46"/>
  <c r="AC122" i="46"/>
  <c r="DF122" i="46"/>
  <c r="CB122" i="46"/>
  <c r="BS122" i="46"/>
  <c r="EG122" i="46"/>
  <c r="AR122" i="46"/>
  <c r="AI122" i="46"/>
  <c r="CH122" i="46"/>
  <c r="BD122" i="46"/>
  <c r="FH122" i="46"/>
  <c r="AO103" i="46"/>
  <c r="BA103" i="46"/>
  <c r="AR103" i="46"/>
  <c r="CQ103" i="46"/>
  <c r="EM103" i="46"/>
  <c r="W103" i="46"/>
  <c r="EY103" i="46"/>
  <c r="BS103" i="46"/>
  <c r="BG103" i="46"/>
  <c r="CB103" i="46"/>
  <c r="BJ103" i="46"/>
  <c r="FE103" i="46"/>
  <c r="DO103" i="46"/>
  <c r="EA103" i="46"/>
  <c r="DL103" i="46"/>
  <c r="DC103" i="46"/>
  <c r="CT103" i="46"/>
  <c r="CH103" i="46"/>
  <c r="BY103" i="46"/>
  <c r="FH103" i="46"/>
  <c r="DR103" i="46"/>
  <c r="ED103" i="46"/>
  <c r="T103" i="46"/>
  <c r="AX103" i="46"/>
  <c r="EG103" i="46"/>
  <c r="EJ103" i="46"/>
  <c r="DI103" i="46"/>
  <c r="AU103" i="46"/>
  <c r="BM103" i="46"/>
  <c r="CZ103" i="46"/>
  <c r="CE103" i="46"/>
  <c r="EP103" i="46"/>
  <c r="DF103" i="46"/>
  <c r="FK103" i="46"/>
  <c r="BV103" i="46"/>
  <c r="DX103" i="46"/>
  <c r="DU103" i="46"/>
  <c r="AI103" i="46"/>
  <c r="CW103" i="46"/>
  <c r="FB103" i="46"/>
  <c r="CK103" i="46"/>
  <c r="AF103" i="46"/>
  <c r="EV103" i="46"/>
  <c r="BD103" i="46"/>
  <c r="Z103" i="46"/>
  <c r="AL103" i="46"/>
  <c r="CN103" i="46"/>
  <c r="ES103" i="46"/>
  <c r="AC103" i="46"/>
  <c r="BP103" i="46"/>
  <c r="CZ121" i="46"/>
  <c r="AX121" i="46"/>
  <c r="BJ121" i="46"/>
  <c r="CB121" i="46"/>
  <c r="Z121" i="46"/>
  <c r="EM121" i="46"/>
  <c r="ES121" i="46"/>
  <c r="BS121" i="46"/>
  <c r="EG121" i="46"/>
  <c r="AI121" i="46"/>
  <c r="FK121" i="46"/>
  <c r="CN121" i="46"/>
  <c r="AF121" i="46"/>
  <c r="DL121" i="46"/>
  <c r="AR121" i="46"/>
  <c r="CW121" i="46"/>
  <c r="BM121" i="46"/>
  <c r="BY121" i="46"/>
  <c r="FB121" i="46"/>
  <c r="T121" i="46"/>
  <c r="EP121" i="46"/>
  <c r="AU121" i="46"/>
  <c r="BV121" i="46"/>
  <c r="AL121" i="46"/>
  <c r="EY121" i="46"/>
  <c r="DO121" i="46"/>
  <c r="EA121" i="46"/>
  <c r="W121" i="46"/>
  <c r="CE121" i="46"/>
  <c r="BP121" i="46"/>
  <c r="DU121" i="46"/>
  <c r="AO121" i="46"/>
  <c r="BA121" i="46"/>
  <c r="AC121" i="46"/>
  <c r="DR121" i="46"/>
  <c r="CT121" i="46"/>
  <c r="ED121" i="46"/>
  <c r="CK121" i="46"/>
  <c r="CH121" i="46"/>
  <c r="DC121" i="46"/>
  <c r="BD121" i="46"/>
  <c r="BG121" i="46"/>
  <c r="EV121" i="46"/>
  <c r="DX121" i="46"/>
  <c r="FE121" i="46"/>
  <c r="DI121" i="46"/>
  <c r="EJ121" i="46"/>
  <c r="FH121" i="46"/>
  <c r="DF121" i="46"/>
  <c r="CQ121" i="46"/>
  <c r="DF46" i="3"/>
  <c r="DF20" i="3"/>
  <c r="DF35" i="3"/>
  <c r="DF45" i="3"/>
  <c r="DF32" i="3"/>
  <c r="DF15" i="3"/>
  <c r="DF43" i="3"/>
  <c r="DF28" i="3"/>
  <c r="DF24" i="3"/>
  <c r="DF19" i="3"/>
  <c r="DF44" i="3"/>
  <c r="DF25" i="3"/>
  <c r="DF12" i="3"/>
  <c r="DF53" i="3"/>
  <c r="DF42" i="3"/>
  <c r="DF39" i="3"/>
  <c r="DF21" i="3"/>
  <c r="DF48" i="3"/>
  <c r="DF51" i="3"/>
  <c r="DF41" i="3"/>
  <c r="DF11" i="3"/>
  <c r="DF26" i="3"/>
  <c r="DF37" i="3"/>
  <c r="DF33" i="3"/>
  <c r="DF36" i="3"/>
  <c r="DF29" i="3"/>
  <c r="DF18" i="3"/>
  <c r="DF50" i="3"/>
  <c r="DF27" i="3"/>
  <c r="DF31" i="3"/>
  <c r="DF47" i="3"/>
  <c r="DF30" i="3"/>
  <c r="DF16" i="3"/>
  <c r="DF40" i="3"/>
  <c r="DF22" i="3"/>
  <c r="DF23" i="3"/>
  <c r="DF13" i="3"/>
  <c r="DF38" i="3"/>
  <c r="DF14" i="3"/>
  <c r="DF52" i="3"/>
  <c r="DF34" i="3"/>
  <c r="DF10" i="3"/>
  <c r="DF17" i="3"/>
  <c r="DF49" i="3"/>
  <c r="AF86" i="46"/>
  <c r="EJ86" i="46"/>
  <c r="BP86" i="46"/>
  <c r="ES86" i="46"/>
  <c r="CN86" i="46"/>
  <c r="FE86" i="46"/>
  <c r="EA86" i="46"/>
  <c r="BY86" i="46"/>
  <c r="CK86" i="46"/>
  <c r="FB86" i="46"/>
  <c r="BG86" i="46"/>
  <c r="CQ86" i="46"/>
  <c r="DL86" i="46"/>
  <c r="CW86" i="46"/>
  <c r="AL86" i="46"/>
  <c r="BA86" i="46"/>
  <c r="DR86" i="46"/>
  <c r="EY86" i="46"/>
  <c r="EM86" i="46"/>
  <c r="FH86" i="46"/>
  <c r="T86" i="46"/>
  <c r="AU86" i="46"/>
  <c r="CT86" i="46"/>
  <c r="DC86" i="46"/>
  <c r="W86" i="46"/>
  <c r="AX86" i="46"/>
  <c r="CE86" i="46"/>
  <c r="AR86" i="46"/>
  <c r="EV86" i="46"/>
  <c r="AO86" i="46"/>
  <c r="DX86" i="46"/>
  <c r="DI86" i="46"/>
  <c r="CZ86" i="46"/>
  <c r="BM86" i="46"/>
  <c r="CB86" i="46"/>
  <c r="DF86" i="46"/>
  <c r="BD86" i="46"/>
  <c r="BJ86" i="46"/>
  <c r="DU86" i="46"/>
  <c r="EP86" i="46"/>
  <c r="CH86" i="46"/>
  <c r="AI86" i="46"/>
  <c r="EG86" i="46"/>
  <c r="ED86" i="46"/>
  <c r="BV86" i="46"/>
  <c r="AC86" i="46"/>
  <c r="FK86" i="46"/>
  <c r="DO86" i="46"/>
  <c r="BS86" i="46"/>
  <c r="Z86" i="46"/>
  <c r="T119" i="46"/>
  <c r="EG119" i="46"/>
  <c r="CE119" i="46"/>
  <c r="CN119" i="46"/>
  <c r="ES119" i="46"/>
  <c r="DC119" i="46"/>
  <c r="AR119" i="46"/>
  <c r="BM119" i="46"/>
  <c r="BY119" i="46"/>
  <c r="FE119" i="46"/>
  <c r="CB119" i="46"/>
  <c r="BG119" i="46"/>
  <c r="BS119" i="46"/>
  <c r="EM119" i="46"/>
  <c r="CK119" i="46"/>
  <c r="EA119" i="46"/>
  <c r="DU119" i="46"/>
  <c r="BD119" i="46"/>
  <c r="W119" i="46"/>
  <c r="AC119" i="46"/>
  <c r="CH119" i="46"/>
  <c r="ED119" i="46"/>
  <c r="CW119" i="46"/>
  <c r="EY119" i="46"/>
  <c r="BA119" i="46"/>
  <c r="DL119" i="46"/>
  <c r="EP119" i="46"/>
  <c r="EV119" i="46"/>
  <c r="CT119" i="46"/>
  <c r="AL119" i="46"/>
  <c r="AI119" i="46"/>
  <c r="DR119" i="46"/>
  <c r="CZ119" i="46"/>
  <c r="BV119" i="46"/>
  <c r="CQ119" i="46"/>
  <c r="AX119" i="46"/>
  <c r="BJ119" i="46"/>
  <c r="Z119" i="46"/>
  <c r="AF119" i="46"/>
  <c r="AU119" i="46"/>
  <c r="DI119" i="46"/>
  <c r="DF119" i="46"/>
  <c r="BP119" i="46"/>
  <c r="EJ119" i="46"/>
  <c r="FH119" i="46"/>
  <c r="AO119" i="46"/>
  <c r="DO119" i="46"/>
  <c r="FK119" i="46"/>
  <c r="DX119" i="46"/>
  <c r="FB119" i="46"/>
  <c r="EM87" i="46"/>
  <c r="DI87" i="46"/>
  <c r="EY87" i="46"/>
  <c r="DO87" i="46"/>
  <c r="CK87" i="46"/>
  <c r="CW87" i="46"/>
  <c r="AU87" i="46"/>
  <c r="FB87" i="46"/>
  <c r="CE87" i="46"/>
  <c r="Z87" i="46"/>
  <c r="AO87" i="46"/>
  <c r="CB87" i="46"/>
  <c r="DR87" i="46"/>
  <c r="FE87" i="46"/>
  <c r="AC87" i="46"/>
  <c r="CT87" i="46"/>
  <c r="EG87" i="46"/>
  <c r="ES87" i="46"/>
  <c r="FK87" i="46"/>
  <c r="DF87" i="46"/>
  <c r="DX87" i="46"/>
  <c r="W87" i="46"/>
  <c r="CZ87" i="46"/>
  <c r="FH87" i="46"/>
  <c r="AI87" i="46"/>
  <c r="EJ87" i="46"/>
  <c r="AF87" i="46"/>
  <c r="CN87" i="46"/>
  <c r="EA87" i="46"/>
  <c r="EP87" i="46"/>
  <c r="BA87" i="46"/>
  <c r="BV87" i="46"/>
  <c r="EV87" i="46"/>
  <c r="AX87" i="46"/>
  <c r="BY87" i="46"/>
  <c r="CQ87" i="46"/>
  <c r="BG87" i="46"/>
  <c r="BS87" i="46"/>
  <c r="DU87" i="46"/>
  <c r="AR87" i="46"/>
  <c r="DL87" i="46"/>
  <c r="BP87" i="46"/>
  <c r="BM87" i="46"/>
  <c r="CH87" i="46"/>
  <c r="BJ87" i="46"/>
  <c r="T87" i="46"/>
  <c r="ED87" i="46"/>
  <c r="AL87" i="46"/>
  <c r="BD87" i="46"/>
  <c r="DC87" i="46"/>
  <c r="BT63" i="3"/>
  <c r="BU63" i="3" s="1"/>
  <c r="BT64" i="3"/>
  <c r="BU64" i="3" s="1"/>
  <c r="BS123" i="46"/>
  <c r="EG123" i="46"/>
  <c r="BM123" i="46"/>
  <c r="BY123" i="46"/>
  <c r="AU123" i="46"/>
  <c r="DF123" i="46"/>
  <c r="Z123" i="46"/>
  <c r="AR123" i="46"/>
  <c r="DL123" i="46"/>
  <c r="ED123" i="46"/>
  <c r="BD123" i="46"/>
  <c r="T123" i="46"/>
  <c r="AF123" i="46"/>
  <c r="CW123" i="46"/>
  <c r="CQ123" i="46"/>
  <c r="DC123" i="46"/>
  <c r="ES123" i="46"/>
  <c r="BJ123" i="46"/>
  <c r="AC123" i="46"/>
  <c r="AI123" i="46"/>
  <c r="FB123" i="46"/>
  <c r="CH123" i="46"/>
  <c r="EV123" i="46"/>
  <c r="CK123" i="46"/>
  <c r="CT123" i="46"/>
  <c r="EJ123" i="46"/>
  <c r="BA123" i="46"/>
  <c r="DI123" i="46"/>
  <c r="CN123" i="46"/>
  <c r="FH123" i="46"/>
  <c r="EA123" i="46"/>
  <c r="BP123" i="46"/>
  <c r="CZ123" i="46"/>
  <c r="FK123" i="46"/>
  <c r="EY123" i="46"/>
  <c r="EM123" i="46"/>
  <c r="AX123" i="46"/>
  <c r="DO123" i="46"/>
  <c r="DX123" i="46"/>
  <c r="BV123" i="46"/>
  <c r="AL123" i="46"/>
  <c r="DR123" i="46"/>
  <c r="AO123" i="46"/>
  <c r="W123" i="46"/>
  <c r="FE123" i="46"/>
  <c r="DU123" i="46"/>
  <c r="CB123" i="46"/>
  <c r="EP123" i="46"/>
  <c r="BG123" i="46"/>
  <c r="CE123" i="46"/>
  <c r="T80" i="46"/>
  <c r="CE80" i="46"/>
  <c r="AC80" i="46"/>
  <c r="DR80" i="46"/>
  <c r="FE80" i="46"/>
  <c r="BG80" i="46"/>
  <c r="FH80" i="46"/>
  <c r="BP80" i="46"/>
  <c r="CK80" i="46"/>
  <c r="DX80" i="46"/>
  <c r="EP80" i="46"/>
  <c r="BJ80" i="46"/>
  <c r="CH80" i="46"/>
  <c r="BA80" i="46"/>
  <c r="DL80" i="46"/>
  <c r="DF80" i="46"/>
  <c r="CQ80" i="46"/>
  <c r="AU80" i="46"/>
  <c r="EY80" i="46"/>
  <c r="AR80" i="46"/>
  <c r="AI80" i="46"/>
  <c r="EM80" i="46"/>
  <c r="ED80" i="46"/>
  <c r="BV80" i="46"/>
  <c r="EA80" i="46"/>
  <c r="Z80" i="46"/>
  <c r="DC80" i="46"/>
  <c r="EJ80" i="46"/>
  <c r="CZ80" i="46"/>
  <c r="W80" i="46"/>
  <c r="AF80" i="46"/>
  <c r="ES80" i="46"/>
  <c r="DU80" i="46"/>
  <c r="CW80" i="46"/>
  <c r="BY80" i="46"/>
  <c r="CB80" i="46"/>
  <c r="EV80" i="46"/>
  <c r="BD80" i="46"/>
  <c r="CN80" i="46"/>
  <c r="BS80" i="46"/>
  <c r="FK80" i="46"/>
  <c r="EG80" i="46"/>
  <c r="AO80" i="46"/>
  <c r="AL80" i="46"/>
  <c r="BM80" i="46"/>
  <c r="FB80" i="46"/>
  <c r="CT80" i="46"/>
  <c r="DO80" i="46"/>
  <c r="AX80" i="46"/>
  <c r="DI80" i="46"/>
  <c r="BT59" i="3"/>
  <c r="BU59" i="3" s="1"/>
  <c r="BT60" i="3"/>
  <c r="BU60" i="3" s="1"/>
  <c r="Z127" i="46"/>
  <c r="CT127" i="46"/>
  <c r="DO127" i="46"/>
  <c r="FE127" i="46"/>
  <c r="BS127" i="46"/>
  <c r="BG127" i="46"/>
  <c r="DX127" i="46"/>
  <c r="BY127" i="46"/>
  <c r="DR127" i="46"/>
  <c r="DI127" i="46"/>
  <c r="CE127" i="46"/>
  <c r="ES127" i="46"/>
  <c r="AC127" i="46"/>
  <c r="DF127" i="46"/>
  <c r="CQ127" i="46"/>
  <c r="CK127" i="46"/>
  <c r="BA127" i="46"/>
  <c r="BP127" i="46"/>
  <c r="AX127" i="46"/>
  <c r="CH127" i="46"/>
  <c r="W127" i="46"/>
  <c r="BJ127" i="46"/>
  <c r="FB127" i="46"/>
  <c r="DL127" i="46"/>
  <c r="EA127" i="46"/>
  <c r="AL127" i="46"/>
  <c r="T127" i="46"/>
  <c r="BV127" i="46"/>
  <c r="CN127" i="46"/>
  <c r="EV127" i="46"/>
  <c r="AO127" i="46"/>
  <c r="CZ127" i="46"/>
  <c r="EP127" i="46"/>
  <c r="CB127" i="46"/>
  <c r="EM127" i="46"/>
  <c r="BD127" i="46"/>
  <c r="BM127" i="46"/>
  <c r="AF127" i="46"/>
  <c r="EJ127" i="46"/>
  <c r="FH127" i="46"/>
  <c r="AI127" i="46"/>
  <c r="FK127" i="46"/>
  <c r="DU127" i="46"/>
  <c r="AR127" i="46"/>
  <c r="EG127" i="46"/>
  <c r="DC127" i="46"/>
  <c r="ED127" i="46"/>
  <c r="CW127" i="46"/>
  <c r="AU127" i="46"/>
  <c r="EY127" i="46"/>
  <c r="ES95" i="46"/>
  <c r="BV95" i="46"/>
  <c r="CN95" i="46"/>
  <c r="AF95" i="46"/>
  <c r="DU95" i="46"/>
  <c r="AR95" i="46"/>
  <c r="BG95" i="46"/>
  <c r="EM95" i="46"/>
  <c r="BA95" i="46"/>
  <c r="CZ95" i="46"/>
  <c r="DO95" i="46"/>
  <c r="CQ95" i="46"/>
  <c r="CH95" i="46"/>
  <c r="EY95" i="46"/>
  <c r="DI95" i="46"/>
  <c r="DC95" i="46"/>
  <c r="CK95" i="46"/>
  <c r="AC95" i="46"/>
  <c r="BP95" i="46"/>
  <c r="CB95" i="46"/>
  <c r="FB95" i="46"/>
  <c r="AI95" i="46"/>
  <c r="BM95" i="46"/>
  <c r="BJ95" i="46"/>
  <c r="EV95" i="46"/>
  <c r="CT95" i="46"/>
  <c r="T95" i="46"/>
  <c r="DR95" i="46"/>
  <c r="CW95" i="46"/>
  <c r="Z95" i="46"/>
  <c r="ED95" i="46"/>
  <c r="W95" i="46"/>
  <c r="CE95" i="46"/>
  <c r="BY95" i="46"/>
  <c r="AX95" i="46"/>
  <c r="DF95" i="46"/>
  <c r="AU95" i="46"/>
  <c r="AL95" i="46"/>
  <c r="FE95" i="46"/>
  <c r="EJ95" i="46"/>
  <c r="DX95" i="46"/>
  <c r="FK95" i="46"/>
  <c r="FH95" i="46"/>
  <c r="BS95" i="46"/>
  <c r="AO95" i="46"/>
  <c r="EA95" i="46"/>
  <c r="EP95" i="46"/>
  <c r="DL95" i="46"/>
  <c r="BD95" i="46"/>
  <c r="EG95" i="46"/>
  <c r="BT58" i="3"/>
  <c r="BU58" i="3" s="1"/>
  <c r="EV85" i="46"/>
  <c r="EY85" i="46"/>
  <c r="BJ85" i="46"/>
  <c r="T85" i="46"/>
  <c r="DX85" i="46"/>
  <c r="DO85" i="46"/>
  <c r="Z85" i="46"/>
  <c r="DL85" i="46"/>
  <c r="BD85" i="46"/>
  <c r="ES85" i="46"/>
  <c r="BG85" i="46"/>
  <c r="CK85" i="46"/>
  <c r="BY85" i="46"/>
  <c r="BA85" i="46"/>
  <c r="CB85" i="46"/>
  <c r="AI85" i="46"/>
  <c r="AR85" i="46"/>
  <c r="CE85" i="46"/>
  <c r="EA85" i="46"/>
  <c r="FE85" i="46"/>
  <c r="AU85" i="46"/>
  <c r="CQ85" i="46"/>
  <c r="BM85" i="46"/>
  <c r="BV85" i="46"/>
  <c r="AO85" i="46"/>
  <c r="AC85" i="46"/>
  <c r="CZ85" i="46"/>
  <c r="EM85" i="46"/>
  <c r="AF85" i="46"/>
  <c r="CW85" i="46"/>
  <c r="DU85" i="46"/>
  <c r="CT85" i="46"/>
  <c r="AL85" i="46"/>
  <c r="DF85" i="46"/>
  <c r="EP85" i="46"/>
  <c r="FH85" i="46"/>
  <c r="DC85" i="46"/>
  <c r="EJ85" i="46"/>
  <c r="BS85" i="46"/>
  <c r="DI85" i="46"/>
  <c r="FK85" i="46"/>
  <c r="CH85" i="46"/>
  <c r="FB85" i="46"/>
  <c r="CN85" i="46"/>
  <c r="BP85" i="46"/>
  <c r="AX85" i="46"/>
  <c r="DR85" i="46"/>
  <c r="EG85" i="46"/>
  <c r="ED85" i="46"/>
  <c r="W85" i="46"/>
  <c r="CB81" i="46"/>
  <c r="Z81" i="46"/>
  <c r="ED81" i="46"/>
  <c r="CK81" i="46"/>
  <c r="BD81" i="46"/>
  <c r="FK81" i="46"/>
  <c r="BM81" i="46"/>
  <c r="AI81" i="46"/>
  <c r="DU81" i="46"/>
  <c r="CQ81" i="46"/>
  <c r="DI81" i="46"/>
  <c r="CW81" i="46"/>
  <c r="FH81" i="46"/>
  <c r="DC81" i="46"/>
  <c r="DX81" i="46"/>
  <c r="BS81" i="46"/>
  <c r="CE81" i="46"/>
  <c r="CZ81" i="46"/>
  <c r="AU81" i="46"/>
  <c r="FE81" i="46"/>
  <c r="BY81" i="46"/>
  <c r="DL81" i="46"/>
  <c r="EY81" i="46"/>
  <c r="DO81" i="46"/>
  <c r="CH81" i="46"/>
  <c r="W81" i="46"/>
  <c r="T81" i="46"/>
  <c r="EJ81" i="46"/>
  <c r="AF81" i="46"/>
  <c r="BP81" i="46"/>
  <c r="EM81" i="46"/>
  <c r="CN81" i="46"/>
  <c r="AR81" i="46"/>
  <c r="EA81" i="46"/>
  <c r="BJ81" i="46"/>
  <c r="DF81" i="46"/>
  <c r="EV81" i="46"/>
  <c r="ES81" i="46"/>
  <c r="BA81" i="46"/>
  <c r="EP81" i="46"/>
  <c r="DR81" i="46"/>
  <c r="AC81" i="46"/>
  <c r="CT81" i="46"/>
  <c r="BG81" i="46"/>
  <c r="AO81" i="46"/>
  <c r="BV81" i="46"/>
  <c r="AX81" i="46"/>
  <c r="EG81" i="46"/>
  <c r="AL81" i="46"/>
  <c r="FB81" i="46"/>
  <c r="BT69" i="3"/>
  <c r="BU69" i="3" s="1"/>
  <c r="FH82" i="46"/>
  <c r="DF82" i="46"/>
  <c r="BD82" i="46"/>
  <c r="EJ82" i="46"/>
  <c r="CH82" i="46"/>
  <c r="AF82" i="46"/>
  <c r="BP82" i="46"/>
  <c r="EY82" i="46"/>
  <c r="CW82" i="46"/>
  <c r="FK82" i="46"/>
  <c r="BM82" i="46"/>
  <c r="CB82" i="46"/>
  <c r="AU82" i="46"/>
  <c r="EA82" i="46"/>
  <c r="DR82" i="46"/>
  <c r="W82" i="46"/>
  <c r="DC82" i="46"/>
  <c r="CT82" i="46"/>
  <c r="AR82" i="46"/>
  <c r="AI82" i="46"/>
  <c r="Z82" i="46"/>
  <c r="AO82" i="46"/>
  <c r="AC82" i="46"/>
  <c r="FB82" i="46"/>
  <c r="EP82" i="46"/>
  <c r="ED82" i="46"/>
  <c r="BV82" i="46"/>
  <c r="EM82" i="46"/>
  <c r="AL82" i="46"/>
  <c r="CN82" i="46"/>
  <c r="BA82" i="46"/>
  <c r="FE82" i="46"/>
  <c r="AX82" i="46"/>
  <c r="EG82" i="46"/>
  <c r="DI82" i="46"/>
  <c r="CK82" i="46"/>
  <c r="BY82" i="46"/>
  <c r="BJ82" i="46"/>
  <c r="CE82" i="46"/>
  <c r="BG82" i="46"/>
  <c r="DX82" i="46"/>
  <c r="CZ82" i="46"/>
  <c r="CQ82" i="46"/>
  <c r="BS82" i="46"/>
  <c r="DL82" i="46"/>
  <c r="ES82" i="46"/>
  <c r="DU82" i="46"/>
  <c r="T82" i="46"/>
  <c r="DO82" i="46"/>
  <c r="EV82" i="46"/>
  <c r="DO113" i="46"/>
  <c r="AF113" i="46"/>
  <c r="BV113" i="46"/>
  <c r="CN113" i="46"/>
  <c r="FH113" i="46"/>
  <c r="EV113" i="46"/>
  <c r="EM113" i="46"/>
  <c r="CE113" i="46"/>
  <c r="BP113" i="46"/>
  <c r="DL113" i="46"/>
  <c r="ED113" i="46"/>
  <c r="AO113" i="46"/>
  <c r="AL113" i="46"/>
  <c r="DC113" i="46"/>
  <c r="CZ113" i="46"/>
  <c r="CK113" i="46"/>
  <c r="CB113" i="46"/>
  <c r="FK113" i="46"/>
  <c r="EY113" i="46"/>
  <c r="CW113" i="46"/>
  <c r="BD113" i="46"/>
  <c r="BY113" i="46"/>
  <c r="Z113" i="46"/>
  <c r="BA113" i="46"/>
  <c r="FE113" i="46"/>
  <c r="EP113" i="46"/>
  <c r="W113" i="46"/>
  <c r="DI113" i="46"/>
  <c r="FB113" i="46"/>
  <c r="CH113" i="46"/>
  <c r="BG113" i="46"/>
  <c r="EG113" i="46"/>
  <c r="DF113" i="46"/>
  <c r="AX113" i="46"/>
  <c r="EJ113" i="46"/>
  <c r="BS113" i="46"/>
  <c r="EA113" i="46"/>
  <c r="AU113" i="46"/>
  <c r="DR113" i="46"/>
  <c r="DU113" i="46"/>
  <c r="AC113" i="46"/>
  <c r="BM113" i="46"/>
  <c r="AI113" i="46"/>
  <c r="DX113" i="46"/>
  <c r="CQ113" i="46"/>
  <c r="T113" i="46"/>
  <c r="ES113" i="46"/>
  <c r="BJ113" i="46"/>
  <c r="AR113" i="46"/>
  <c r="CT113" i="46"/>
  <c r="DU84" i="46"/>
  <c r="CQ84" i="46"/>
  <c r="BM84" i="46"/>
  <c r="BD84" i="46"/>
  <c r="CW84" i="46"/>
  <c r="BS84" i="46"/>
  <c r="AO84" i="46"/>
  <c r="AF84" i="46"/>
  <c r="AC84" i="46"/>
  <c r="FH84" i="46"/>
  <c r="DF84" i="46"/>
  <c r="CB84" i="46"/>
  <c r="ES84" i="46"/>
  <c r="EJ84" i="46"/>
  <c r="EY84" i="46"/>
  <c r="CT84" i="46"/>
  <c r="EG84" i="46"/>
  <c r="DX84" i="46"/>
  <c r="T84" i="46"/>
  <c r="BV84" i="46"/>
  <c r="DI84" i="46"/>
  <c r="CZ84" i="46"/>
  <c r="FK84" i="46"/>
  <c r="ED84" i="46"/>
  <c r="Z84" i="46"/>
  <c r="AL84" i="46"/>
  <c r="EM84" i="46"/>
  <c r="EA84" i="46"/>
  <c r="DO84" i="46"/>
  <c r="DC84" i="46"/>
  <c r="W84" i="46"/>
  <c r="BG84" i="46"/>
  <c r="EP84" i="46"/>
  <c r="AI84" i="46"/>
  <c r="DR84" i="46"/>
  <c r="EV84" i="46"/>
  <c r="AX84" i="46"/>
  <c r="AU84" i="46"/>
  <c r="DL84" i="46"/>
  <c r="CE84" i="46"/>
  <c r="BY84" i="46"/>
  <c r="AR84" i="46"/>
  <c r="BA84" i="46"/>
  <c r="CN84" i="46"/>
  <c r="FE84" i="46"/>
  <c r="CK84" i="46"/>
  <c r="FB84" i="46"/>
  <c r="BJ84" i="46"/>
  <c r="BP84" i="46"/>
  <c r="CH84" i="46"/>
  <c r="FK116" i="46"/>
  <c r="EA116" i="46"/>
  <c r="EV116" i="46"/>
  <c r="AX116" i="46"/>
  <c r="EM116" i="46"/>
  <c r="CW116" i="46"/>
  <c r="DR116" i="46"/>
  <c r="ED116" i="46"/>
  <c r="BS116" i="46"/>
  <c r="FB116" i="46"/>
  <c r="Z116" i="46"/>
  <c r="DC116" i="46"/>
  <c r="FH116" i="46"/>
  <c r="DU116" i="46"/>
  <c r="EG116" i="46"/>
  <c r="BP116" i="46"/>
  <c r="CH116" i="46"/>
  <c r="AL116" i="46"/>
  <c r="FE116" i="46"/>
  <c r="CE116" i="46"/>
  <c r="BM116" i="46"/>
  <c r="BA116" i="46"/>
  <c r="CT116" i="46"/>
  <c r="EP116" i="46"/>
  <c r="DO116" i="46"/>
  <c r="BG116" i="46"/>
  <c r="CQ116" i="46"/>
  <c r="AC116" i="46"/>
  <c r="AU116" i="46"/>
  <c r="BD116" i="46"/>
  <c r="EJ116" i="46"/>
  <c r="DI116" i="46"/>
  <c r="CB116" i="46"/>
  <c r="BY116" i="46"/>
  <c r="BV116" i="46"/>
  <c r="W116" i="46"/>
  <c r="AO116" i="46"/>
  <c r="DL116" i="46"/>
  <c r="DF116" i="46"/>
  <c r="CN116" i="46"/>
  <c r="AR116" i="46"/>
  <c r="AI116" i="46"/>
  <c r="BJ116" i="46"/>
  <c r="ES116" i="46"/>
  <c r="DX116" i="46"/>
  <c r="AF116" i="46"/>
  <c r="EY116" i="46"/>
  <c r="T116" i="46"/>
  <c r="CZ116" i="46"/>
  <c r="CK116" i="46"/>
  <c r="DU102" i="46"/>
  <c r="AO102" i="46"/>
  <c r="CH102" i="46"/>
  <c r="FE102" i="46"/>
  <c r="CW102" i="46"/>
  <c r="EP102" i="46"/>
  <c r="BG102" i="46"/>
  <c r="CE102" i="46"/>
  <c r="AC102" i="46"/>
  <c r="BM102" i="46"/>
  <c r="BD102" i="46"/>
  <c r="CB102" i="46"/>
  <c r="BY102" i="46"/>
  <c r="EM102" i="46"/>
  <c r="DC102" i="46"/>
  <c r="DR102" i="46"/>
  <c r="ED102" i="46"/>
  <c r="CQ102" i="46"/>
  <c r="EA102" i="46"/>
  <c r="CN102" i="46"/>
  <c r="AU102" i="46"/>
  <c r="AR102" i="46"/>
  <c r="DF102" i="46"/>
  <c r="EV102" i="46"/>
  <c r="Z102" i="46"/>
  <c r="BP102" i="46"/>
  <c r="FH102" i="46"/>
  <c r="AL102" i="46"/>
  <c r="W102" i="46"/>
  <c r="DL102" i="46"/>
  <c r="CK102" i="46"/>
  <c r="BJ102" i="46"/>
  <c r="AI102" i="46"/>
  <c r="FK102" i="46"/>
  <c r="CT102" i="46"/>
  <c r="BA102" i="46"/>
  <c r="EY102" i="46"/>
  <c r="DX102" i="46"/>
  <c r="DO102" i="46"/>
  <c r="EJ102" i="46"/>
  <c r="T102" i="46"/>
  <c r="ES102" i="46"/>
  <c r="AF102" i="46"/>
  <c r="CZ102" i="46"/>
  <c r="BS102" i="46"/>
  <c r="AX102" i="46"/>
  <c r="DI102" i="46"/>
  <c r="FB102" i="46"/>
  <c r="EG102" i="46"/>
  <c r="BV102" i="46"/>
  <c r="CN120" i="46"/>
  <c r="AL120" i="46"/>
  <c r="BV120" i="46"/>
  <c r="AU120" i="46"/>
  <c r="BP120" i="46"/>
  <c r="EY120" i="46"/>
  <c r="Z120" i="46"/>
  <c r="EP120" i="46"/>
  <c r="EG120" i="46"/>
  <c r="CE120" i="46"/>
  <c r="BS120" i="46"/>
  <c r="BM120" i="46"/>
  <c r="DU120" i="46"/>
  <c r="ES120" i="46"/>
  <c r="DF120" i="46"/>
  <c r="FK120" i="46"/>
  <c r="AR120" i="46"/>
  <c r="CB120" i="46"/>
  <c r="EM120" i="46"/>
  <c r="FE120" i="46"/>
  <c r="AF120" i="46"/>
  <c r="CW120" i="46"/>
  <c r="AO120" i="46"/>
  <c r="DR120" i="46"/>
  <c r="CH120" i="46"/>
  <c r="CT120" i="46"/>
  <c r="BJ120" i="46"/>
  <c r="CQ120" i="46"/>
  <c r="EA120" i="46"/>
  <c r="BA120" i="46"/>
  <c r="BG120" i="46"/>
  <c r="CK120" i="46"/>
  <c r="FB120" i="46"/>
  <c r="ED120" i="46"/>
  <c r="DC120" i="46"/>
  <c r="AI120" i="46"/>
  <c r="DO120" i="46"/>
  <c r="W120" i="46"/>
  <c r="EV120" i="46"/>
  <c r="BD120" i="46"/>
  <c r="EJ120" i="46"/>
  <c r="AC120" i="46"/>
  <c r="CZ120" i="46"/>
  <c r="AX120" i="46"/>
  <c r="FH120" i="46"/>
  <c r="DL120" i="46"/>
  <c r="BY120" i="46"/>
  <c r="T120" i="46"/>
  <c r="DI120" i="46"/>
  <c r="DX120" i="46"/>
  <c r="CB105" i="46"/>
  <c r="DL105" i="46"/>
  <c r="AC105" i="46"/>
  <c r="DO105" i="46"/>
  <c r="BD105" i="46"/>
  <c r="CE105" i="46"/>
  <c r="EG105" i="46"/>
  <c r="BG105" i="46"/>
  <c r="DU105" i="46"/>
  <c r="DI105" i="46"/>
  <c r="Z105" i="46"/>
  <c r="DX105" i="46"/>
  <c r="EP105" i="46"/>
  <c r="CN105" i="46"/>
  <c r="DR105" i="46"/>
  <c r="BM105" i="46"/>
  <c r="CQ105" i="46"/>
  <c r="CW105" i="46"/>
  <c r="FB105" i="46"/>
  <c r="ED105" i="46"/>
  <c r="EY105" i="46"/>
  <c r="EJ105" i="46"/>
  <c r="CT105" i="46"/>
  <c r="DC105" i="46"/>
  <c r="BS105" i="46"/>
  <c r="BJ105" i="46"/>
  <c r="ES105" i="46"/>
  <c r="FH105" i="46"/>
  <c r="AF105" i="46"/>
  <c r="AX105" i="46"/>
  <c r="AR105" i="46"/>
  <c r="W105" i="46"/>
  <c r="BP105" i="46"/>
  <c r="FE105" i="46"/>
  <c r="AO105" i="46"/>
  <c r="CK105" i="46"/>
  <c r="AU105" i="46"/>
  <c r="CH105" i="46"/>
  <c r="BV105" i="46"/>
  <c r="EA105" i="46"/>
  <c r="BA105" i="46"/>
  <c r="T105" i="46"/>
  <c r="EV105" i="46"/>
  <c r="CZ105" i="46"/>
  <c r="AL105" i="46"/>
  <c r="EM105" i="46"/>
  <c r="FK105" i="46"/>
  <c r="BY105" i="46"/>
  <c r="DF105" i="46"/>
  <c r="AI105" i="46"/>
  <c r="EA104" i="46"/>
  <c r="EP104" i="46"/>
  <c r="AU104" i="46"/>
  <c r="T104" i="46"/>
  <c r="CQ104" i="46"/>
  <c r="DL104" i="46"/>
  <c r="ED104" i="46"/>
  <c r="CZ104" i="46"/>
  <c r="FB104" i="46"/>
  <c r="W104" i="46"/>
  <c r="AL104" i="46"/>
  <c r="BM104" i="46"/>
  <c r="DI104" i="46"/>
  <c r="DX104" i="46"/>
  <c r="BJ104" i="46"/>
  <c r="BV104" i="46"/>
  <c r="CN104" i="46"/>
  <c r="BP104" i="46"/>
  <c r="AC104" i="46"/>
  <c r="EG104" i="46"/>
  <c r="BD104" i="46"/>
  <c r="CK104" i="46"/>
  <c r="DC104" i="46"/>
  <c r="DU104" i="46"/>
  <c r="CE104" i="46"/>
  <c r="CT104" i="46"/>
  <c r="AX104" i="46"/>
  <c r="BS104" i="46"/>
  <c r="FH104" i="46"/>
  <c r="FE104" i="46"/>
  <c r="AO104" i="46"/>
  <c r="EY104" i="46"/>
  <c r="CW104" i="46"/>
  <c r="AR104" i="46"/>
  <c r="BY104" i="46"/>
  <c r="AI104" i="46"/>
  <c r="DR104" i="46"/>
  <c r="ES104" i="46"/>
  <c r="BG104" i="46"/>
  <c r="Z104" i="46"/>
  <c r="CH104" i="46"/>
  <c r="EM104" i="46"/>
  <c r="EV104" i="46"/>
  <c r="CB104" i="46"/>
  <c r="AF104" i="46"/>
  <c r="BA104" i="46"/>
  <c r="EJ104" i="46"/>
  <c r="DO104" i="46"/>
  <c r="FK104" i="46"/>
  <c r="DF104" i="46"/>
  <c r="AR97" i="46"/>
  <c r="BG97" i="46"/>
  <c r="DR97" i="46"/>
  <c r="EV97" i="46"/>
  <c r="AF97" i="46"/>
  <c r="AX97" i="46"/>
  <c r="EM97" i="46"/>
  <c r="BP97" i="46"/>
  <c r="DF97" i="46"/>
  <c r="CZ97" i="46"/>
  <c r="W97" i="46"/>
  <c r="DI97" i="46"/>
  <c r="AL97" i="46"/>
  <c r="BV97" i="46"/>
  <c r="CE97" i="46"/>
  <c r="FB97" i="46"/>
  <c r="CT97" i="46"/>
  <c r="BY97" i="46"/>
  <c r="AO97" i="46"/>
  <c r="ED97" i="46"/>
  <c r="T97" i="46"/>
  <c r="CK97" i="46"/>
  <c r="BA97" i="46"/>
  <c r="CW97" i="46"/>
  <c r="EA97" i="46"/>
  <c r="DU97" i="46"/>
  <c r="DC97" i="46"/>
  <c r="EP97" i="46"/>
  <c r="Z97" i="46"/>
  <c r="BJ97" i="46"/>
  <c r="CN97" i="46"/>
  <c r="CH97" i="46"/>
  <c r="FH97" i="46"/>
  <c r="EG97" i="46"/>
  <c r="BD97" i="46"/>
  <c r="FK97" i="46"/>
  <c r="AC97" i="46"/>
  <c r="AI97" i="46"/>
  <c r="EJ97" i="46"/>
  <c r="ES97" i="46"/>
  <c r="FE97" i="46"/>
  <c r="CQ97" i="46"/>
  <c r="DO97" i="46"/>
  <c r="BS97" i="46"/>
  <c r="AU97" i="46"/>
  <c r="DX97" i="46"/>
  <c r="DL97" i="46"/>
  <c r="EY97" i="46"/>
  <c r="BM97" i="46"/>
  <c r="CB97" i="46"/>
  <c r="ED91" i="46"/>
  <c r="CB91" i="46"/>
  <c r="Z91" i="46"/>
  <c r="EJ91" i="46"/>
  <c r="DF91" i="46"/>
  <c r="BD91" i="46"/>
  <c r="DL91" i="46"/>
  <c r="BS91" i="46"/>
  <c r="AL91" i="46"/>
  <c r="DU91" i="46"/>
  <c r="DI91" i="46"/>
  <c r="DO91" i="46"/>
  <c r="AF91" i="46"/>
  <c r="FH91" i="46"/>
  <c r="BJ91" i="46"/>
  <c r="BA91" i="46"/>
  <c r="CN91" i="46"/>
  <c r="CE91" i="46"/>
  <c r="AX91" i="46"/>
  <c r="BG91" i="46"/>
  <c r="AU91" i="46"/>
  <c r="DX91" i="46"/>
  <c r="CQ91" i="46"/>
  <c r="BY91" i="46"/>
  <c r="BP91" i="46"/>
  <c r="AC91" i="46"/>
  <c r="BM91" i="46"/>
  <c r="EP91" i="46"/>
  <c r="FB91" i="46"/>
  <c r="CT91" i="46"/>
  <c r="CW91" i="46"/>
  <c r="DR91" i="46"/>
  <c r="BV91" i="46"/>
  <c r="FK91" i="46"/>
  <c r="AR91" i="46"/>
  <c r="CK91" i="46"/>
  <c r="T91" i="46"/>
  <c r="EG91" i="46"/>
  <c r="CH91" i="46"/>
  <c r="EA91" i="46"/>
  <c r="CZ91" i="46"/>
  <c r="ES91" i="46"/>
  <c r="AO91" i="46"/>
  <c r="FE91" i="46"/>
  <c r="EM91" i="46"/>
  <c r="EY91" i="46"/>
  <c r="DC91" i="46"/>
  <c r="AI91" i="46"/>
  <c r="W91" i="46"/>
  <c r="EV91" i="46"/>
  <c r="T83" i="46"/>
  <c r="DX83" i="46"/>
  <c r="BV83" i="46"/>
  <c r="BP83" i="46"/>
  <c r="FB83" i="46"/>
  <c r="CZ83" i="46"/>
  <c r="AX83" i="46"/>
  <c r="AR83" i="46"/>
  <c r="CH83" i="46"/>
  <c r="AF83" i="46"/>
  <c r="EM83" i="46"/>
  <c r="EG83" i="46"/>
  <c r="DC83" i="46"/>
  <c r="DR83" i="46"/>
  <c r="AO83" i="46"/>
  <c r="BJ83" i="46"/>
  <c r="BA83" i="46"/>
  <c r="CN83" i="46"/>
  <c r="AL83" i="46"/>
  <c r="AC83" i="46"/>
  <c r="FE83" i="46"/>
  <c r="CE83" i="46"/>
  <c r="Z83" i="46"/>
  <c r="BM83" i="46"/>
  <c r="BG83" i="46"/>
  <c r="BS83" i="46"/>
  <c r="AI83" i="46"/>
  <c r="AU83" i="46"/>
  <c r="EV83" i="46"/>
  <c r="W83" i="46"/>
  <c r="BD83" i="46"/>
  <c r="EJ83" i="46"/>
  <c r="EA83" i="46"/>
  <c r="CK83" i="46"/>
  <c r="CB83" i="46"/>
  <c r="ES83" i="46"/>
  <c r="DU83" i="46"/>
  <c r="CW83" i="46"/>
  <c r="ED83" i="46"/>
  <c r="EY83" i="46"/>
  <c r="FK83" i="46"/>
  <c r="DI83" i="46"/>
  <c r="BY83" i="46"/>
  <c r="EP83" i="46"/>
  <c r="CQ83" i="46"/>
  <c r="DL83" i="46"/>
  <c r="DF83" i="46"/>
  <c r="CT83" i="46"/>
  <c r="FH83" i="46"/>
  <c r="DO83" i="46"/>
  <c r="T109" i="46"/>
  <c r="ED109" i="46"/>
  <c r="CB109" i="46"/>
  <c r="CT109" i="46"/>
  <c r="FH109" i="46"/>
  <c r="DF109" i="46"/>
  <c r="BD109" i="46"/>
  <c r="AC109" i="46"/>
  <c r="CN109" i="46"/>
  <c r="AL109" i="46"/>
  <c r="BV109" i="46"/>
  <c r="Z109" i="46"/>
  <c r="BP109" i="46"/>
  <c r="CE109" i="46"/>
  <c r="CW109" i="46"/>
  <c r="FB109" i="46"/>
  <c r="BS109" i="46"/>
  <c r="CH109" i="46"/>
  <c r="DR109" i="46"/>
  <c r="EA109" i="46"/>
  <c r="AX109" i="46"/>
  <c r="EY109" i="46"/>
  <c r="CQ109" i="46"/>
  <c r="DC109" i="46"/>
  <c r="BY109" i="46"/>
  <c r="BG109" i="46"/>
  <c r="W109" i="46"/>
  <c r="EJ109" i="46"/>
  <c r="EV109" i="46"/>
  <c r="EP109" i="46"/>
  <c r="AF109" i="46"/>
  <c r="EM109" i="46"/>
  <c r="DL109" i="46"/>
  <c r="DU109" i="46"/>
  <c r="AR109" i="46"/>
  <c r="BA109" i="46"/>
  <c r="FE109" i="46"/>
  <c r="DO109" i="46"/>
  <c r="AI109" i="46"/>
  <c r="DX109" i="46"/>
  <c r="CZ109" i="46"/>
  <c r="FK109" i="46"/>
  <c r="ES109" i="46"/>
  <c r="CK109" i="46"/>
  <c r="AO109" i="46"/>
  <c r="BJ109" i="46"/>
  <c r="AU109" i="46"/>
  <c r="EG109" i="46"/>
  <c r="DI109" i="46"/>
  <c r="BM109" i="46"/>
  <c r="EJ114" i="46"/>
  <c r="CQ114" i="46"/>
  <c r="DF114" i="46"/>
  <c r="CZ114" i="46"/>
  <c r="DL114" i="46"/>
  <c r="BG114" i="46"/>
  <c r="CB114" i="46"/>
  <c r="AL114" i="46"/>
  <c r="AR114" i="46"/>
  <c r="DR114" i="46"/>
  <c r="DC114" i="46"/>
  <c r="EA114" i="46"/>
  <c r="FB114" i="46"/>
  <c r="EM114" i="46"/>
  <c r="EY114" i="46"/>
  <c r="CT114" i="46"/>
  <c r="T114" i="46"/>
  <c r="CH114" i="46"/>
  <c r="BV114" i="46"/>
  <c r="BP114" i="46"/>
  <c r="ES114" i="46"/>
  <c r="ED114" i="46"/>
  <c r="BD114" i="46"/>
  <c r="AI114" i="46"/>
  <c r="Z114" i="46"/>
  <c r="AF114" i="46"/>
  <c r="DO114" i="46"/>
  <c r="DX114" i="46"/>
  <c r="CN114" i="46"/>
  <c r="BA114" i="46"/>
  <c r="W114" i="46"/>
  <c r="EP114" i="46"/>
  <c r="AX114" i="46"/>
  <c r="FH114" i="46"/>
  <c r="BY114" i="46"/>
  <c r="FE114" i="46"/>
  <c r="AU114" i="46"/>
  <c r="BJ114" i="46"/>
  <c r="BM114" i="46"/>
  <c r="AO114" i="46"/>
  <c r="EV114" i="46"/>
  <c r="AC114" i="46"/>
  <c r="CE114" i="46"/>
  <c r="EG114" i="46"/>
  <c r="DU114" i="46"/>
  <c r="FK114" i="46"/>
  <c r="DI114" i="46"/>
  <c r="CW114" i="46"/>
  <c r="CK114" i="46"/>
  <c r="BS114" i="46"/>
  <c r="CN125" i="46"/>
  <c r="CZ125" i="46"/>
  <c r="CQ125" i="46"/>
  <c r="BA125" i="46"/>
  <c r="BP125" i="46"/>
  <c r="BV125" i="46"/>
  <c r="AC125" i="46"/>
  <c r="AX125" i="46"/>
  <c r="EG125" i="46"/>
  <c r="EA125" i="46"/>
  <c r="Z125" i="46"/>
  <c r="FH125" i="46"/>
  <c r="AL125" i="46"/>
  <c r="CE125" i="46"/>
  <c r="DI125" i="46"/>
  <c r="DX125" i="46"/>
  <c r="BD125" i="46"/>
  <c r="CK125" i="46"/>
  <c r="CT125" i="46"/>
  <c r="DR125" i="46"/>
  <c r="EM125" i="46"/>
  <c r="EY125" i="46"/>
  <c r="AR125" i="46"/>
  <c r="AF125" i="46"/>
  <c r="FE125" i="46"/>
  <c r="EV125" i="46"/>
  <c r="BM125" i="46"/>
  <c r="CH125" i="46"/>
  <c r="DC125" i="46"/>
  <c r="W125" i="46"/>
  <c r="BJ125" i="46"/>
  <c r="ES125" i="46"/>
  <c r="T125" i="46"/>
  <c r="EP125" i="46"/>
  <c r="EJ125" i="46"/>
  <c r="CB125" i="46"/>
  <c r="DL125" i="46"/>
  <c r="DU125" i="46"/>
  <c r="BY125" i="46"/>
  <c r="ED125" i="46"/>
  <c r="CW125" i="46"/>
  <c r="BG125" i="46"/>
  <c r="DO125" i="46"/>
  <c r="AU125" i="46"/>
  <c r="BS125" i="46"/>
  <c r="AO125" i="46"/>
  <c r="FK125" i="46"/>
  <c r="AI125" i="46"/>
  <c r="FB125" i="46"/>
  <c r="DF125" i="46"/>
  <c r="BS94" i="46"/>
  <c r="AU94" i="46"/>
  <c r="DC94" i="46"/>
  <c r="AR94" i="46"/>
  <c r="FK94" i="46"/>
  <c r="BG94" i="46"/>
  <c r="T94" i="46"/>
  <c r="CQ94" i="46"/>
  <c r="AF94" i="46"/>
  <c r="CZ94" i="46"/>
  <c r="BP94" i="46"/>
  <c r="AC94" i="46"/>
  <c r="AX94" i="46"/>
  <c r="ED94" i="46"/>
  <c r="CN94" i="46"/>
  <c r="Z94" i="46"/>
  <c r="DO94" i="46"/>
  <c r="W94" i="46"/>
  <c r="BM94" i="46"/>
  <c r="EM94" i="46"/>
  <c r="CH94" i="46"/>
  <c r="CE94" i="46"/>
  <c r="CW94" i="46"/>
  <c r="EP94" i="46"/>
  <c r="BA94" i="46"/>
  <c r="AI94" i="46"/>
  <c r="EG94" i="46"/>
  <c r="EA94" i="46"/>
  <c r="CK94" i="46"/>
  <c r="FB94" i="46"/>
  <c r="CB94" i="46"/>
  <c r="DF94" i="46"/>
  <c r="DI94" i="46"/>
  <c r="BJ94" i="46"/>
  <c r="BV94" i="46"/>
  <c r="AL94" i="46"/>
  <c r="EY94" i="46"/>
  <c r="EV94" i="46"/>
  <c r="BD94" i="46"/>
  <c r="DU94" i="46"/>
  <c r="EJ94" i="46"/>
  <c r="FE94" i="46"/>
  <c r="DR94" i="46"/>
  <c r="ES94" i="46"/>
  <c r="AO94" i="46"/>
  <c r="DX94" i="46"/>
  <c r="CT94" i="46"/>
  <c r="FH94" i="46"/>
  <c r="DL94" i="46"/>
  <c r="BY94" i="46"/>
  <c r="CN93" i="46"/>
  <c r="DF93" i="46"/>
  <c r="AX93" i="46"/>
  <c r="BM93" i="46"/>
  <c r="CE93" i="46"/>
  <c r="FB93" i="46"/>
  <c r="FK93" i="46"/>
  <c r="DL93" i="46"/>
  <c r="FH93" i="46"/>
  <c r="BV93" i="46"/>
  <c r="CQ93" i="46"/>
  <c r="CH93" i="46"/>
  <c r="EJ93" i="46"/>
  <c r="BD93" i="46"/>
  <c r="CT93" i="46"/>
  <c r="EM93" i="46"/>
  <c r="BG93" i="46"/>
  <c r="CW93" i="46"/>
  <c r="DO93" i="46"/>
  <c r="AF93" i="46"/>
  <c r="AR93" i="46"/>
  <c r="W93" i="46"/>
  <c r="ED93" i="46"/>
  <c r="EY93" i="46"/>
  <c r="ES93" i="46"/>
  <c r="CZ93" i="46"/>
  <c r="CK93" i="46"/>
  <c r="BY93" i="46"/>
  <c r="BJ93" i="46"/>
  <c r="DX93" i="46"/>
  <c r="EP93" i="46"/>
  <c r="AO93" i="46"/>
  <c r="DI93" i="46"/>
  <c r="EG93" i="46"/>
  <c r="AC93" i="46"/>
  <c r="DC93" i="46"/>
  <c r="CB93" i="46"/>
  <c r="FE93" i="46"/>
  <c r="EA93" i="46"/>
  <c r="BP93" i="46"/>
  <c r="EV93" i="46"/>
  <c r="T93" i="46"/>
  <c r="BS93" i="46"/>
  <c r="AU93" i="46"/>
  <c r="AL93" i="46"/>
  <c r="AI93" i="46"/>
  <c r="BA93" i="46"/>
  <c r="Z93" i="46"/>
  <c r="DR93" i="46"/>
  <c r="DU93" i="46"/>
  <c r="AL107" i="46"/>
  <c r="AR107" i="46"/>
  <c r="CQ107" i="46"/>
  <c r="AX107" i="46"/>
  <c r="ES107" i="46"/>
  <c r="EV107" i="46"/>
  <c r="BG107" i="46"/>
  <c r="AU107" i="46"/>
  <c r="BY107" i="46"/>
  <c r="AO107" i="46"/>
  <c r="EA107" i="46"/>
  <c r="DU107" i="46"/>
  <c r="DC107" i="46"/>
  <c r="FE107" i="46"/>
  <c r="ED107" i="46"/>
  <c r="DI107" i="46"/>
  <c r="W107" i="46"/>
  <c r="DF107" i="46"/>
  <c r="BS107" i="46"/>
  <c r="FH107" i="46"/>
  <c r="CW107" i="46"/>
  <c r="AI107" i="46"/>
  <c r="CK107" i="46"/>
  <c r="BV107" i="46"/>
  <c r="BD107" i="46"/>
  <c r="EY107" i="46"/>
  <c r="DX107" i="46"/>
  <c r="DL107" i="46"/>
  <c r="DO107" i="46"/>
  <c r="EM107" i="46"/>
  <c r="EP107" i="46"/>
  <c r="DR107" i="46"/>
  <c r="CT107" i="46"/>
  <c r="CB107" i="46"/>
  <c r="BP107" i="46"/>
  <c r="FB107" i="46"/>
  <c r="AF107" i="46"/>
  <c r="EG107" i="46"/>
  <c r="Z107" i="46"/>
  <c r="CN107" i="46"/>
  <c r="CE107" i="46"/>
  <c r="CH107" i="46"/>
  <c r="BJ107" i="46"/>
  <c r="BA107" i="46"/>
  <c r="EJ107" i="46"/>
  <c r="CZ107" i="46"/>
  <c r="AC107" i="46"/>
  <c r="BM107" i="46"/>
  <c r="FK107" i="46"/>
  <c r="T107" i="46"/>
  <c r="EM96" i="46"/>
  <c r="BY96" i="46"/>
  <c r="AL96" i="46"/>
  <c r="AO96" i="46"/>
  <c r="DL96" i="46"/>
  <c r="AX96" i="46"/>
  <c r="CQ96" i="46"/>
  <c r="AI96" i="46"/>
  <c r="EA96" i="46"/>
  <c r="CN96" i="46"/>
  <c r="FK96" i="46"/>
  <c r="EY96" i="46"/>
  <c r="DR96" i="46"/>
  <c r="BG96" i="46"/>
  <c r="AR96" i="46"/>
  <c r="BD96" i="46"/>
  <c r="BV96" i="46"/>
  <c r="BA96" i="46"/>
  <c r="AF96" i="46"/>
  <c r="AU96" i="46"/>
  <c r="DO96" i="46"/>
  <c r="EJ96" i="46"/>
  <c r="BS96" i="46"/>
  <c r="CZ96" i="46"/>
  <c r="CT96" i="46"/>
  <c r="CB96" i="46"/>
  <c r="DF96" i="46"/>
  <c r="CK96" i="46"/>
  <c r="Z96" i="46"/>
  <c r="DI96" i="46"/>
  <c r="ES96" i="46"/>
  <c r="DC96" i="46"/>
  <c r="W96" i="46"/>
  <c r="FB96" i="46"/>
  <c r="CW96" i="46"/>
  <c r="DU96" i="46"/>
  <c r="CH96" i="46"/>
  <c r="AC96" i="46"/>
  <c r="FE96" i="46"/>
  <c r="FH96" i="46"/>
  <c r="EG96" i="46"/>
  <c r="T96" i="46"/>
  <c r="EV96" i="46"/>
  <c r="DX96" i="46"/>
  <c r="BJ96" i="46"/>
  <c r="CE96" i="46"/>
  <c r="EP96" i="46"/>
  <c r="BM96" i="46"/>
  <c r="ED96" i="46"/>
  <c r="BP96" i="46"/>
  <c r="AO88" i="46"/>
  <c r="DX88" i="46"/>
  <c r="BV88" i="46"/>
  <c r="EJ88" i="46"/>
  <c r="FB88" i="46"/>
  <c r="CZ88" i="46"/>
  <c r="FK88" i="46"/>
  <c r="Z88" i="46"/>
  <c r="CH88" i="46"/>
  <c r="AF88" i="46"/>
  <c r="CQ88" i="46"/>
  <c r="EA88" i="46"/>
  <c r="EP88" i="46"/>
  <c r="BG88" i="46"/>
  <c r="DO88" i="46"/>
  <c r="T88" i="46"/>
  <c r="AI88" i="46"/>
  <c r="DL88" i="46"/>
  <c r="DI88" i="46"/>
  <c r="BD88" i="46"/>
  <c r="BS88" i="46"/>
  <c r="DF88" i="46"/>
  <c r="DR88" i="46"/>
  <c r="BJ88" i="46"/>
  <c r="CT88" i="46"/>
  <c r="AL88" i="46"/>
  <c r="EM88" i="46"/>
  <c r="DC88" i="46"/>
  <c r="CN88" i="46"/>
  <c r="CK88" i="46"/>
  <c r="BP88" i="46"/>
  <c r="BM88" i="46"/>
  <c r="AX88" i="46"/>
  <c r="ED88" i="46"/>
  <c r="AU88" i="46"/>
  <c r="EY88" i="46"/>
  <c r="FH88" i="46"/>
  <c r="CE88" i="46"/>
  <c r="AR88" i="46"/>
  <c r="DU88" i="46"/>
  <c r="CW88" i="46"/>
  <c r="BY88" i="46"/>
  <c r="BA88" i="46"/>
  <c r="W88" i="46"/>
  <c r="FE88" i="46"/>
  <c r="EG88" i="46"/>
  <c r="EV88" i="46"/>
  <c r="ES88" i="46"/>
  <c r="AC88" i="46"/>
  <c r="CB88" i="46"/>
  <c r="BT61" i="3"/>
  <c r="BU61" i="3" s="1"/>
  <c r="BT62" i="3"/>
  <c r="CW108" i="46"/>
  <c r="BS108" i="46"/>
  <c r="AO108" i="46"/>
  <c r="BG108" i="46"/>
  <c r="BY108" i="46"/>
  <c r="AU108" i="46"/>
  <c r="FB108" i="46"/>
  <c r="BD108" i="46"/>
  <c r="EP108" i="46"/>
  <c r="EJ108" i="46"/>
  <c r="EY108" i="46"/>
  <c r="DC108" i="46"/>
  <c r="Z108" i="46"/>
  <c r="CK108" i="46"/>
  <c r="DF108" i="46"/>
  <c r="AX108" i="46"/>
  <c r="BM108" i="46"/>
  <c r="FK108" i="46"/>
  <c r="CZ108" i="46"/>
  <c r="CQ108" i="46"/>
  <c r="AF108" i="46"/>
  <c r="EM108" i="46"/>
  <c r="CE108" i="46"/>
  <c r="DO108" i="46"/>
  <c r="ED108" i="46"/>
  <c r="W108" i="46"/>
  <c r="CB108" i="46"/>
  <c r="DL108" i="46"/>
  <c r="BJ108" i="46"/>
  <c r="BA108" i="46"/>
  <c r="EV108" i="46"/>
  <c r="AC108" i="46"/>
  <c r="EA108" i="46"/>
  <c r="DR108" i="46"/>
  <c r="DX108" i="46"/>
  <c r="CT108" i="46"/>
  <c r="AL108" i="46"/>
  <c r="BV108" i="46"/>
  <c r="AI108" i="46"/>
  <c r="T108" i="46"/>
  <c r="CN108" i="46"/>
  <c r="FE108" i="46"/>
  <c r="EG108" i="46"/>
  <c r="DI108" i="46"/>
  <c r="DU108" i="46"/>
  <c r="BP108" i="46"/>
  <c r="FH108" i="46"/>
  <c r="ES108" i="46"/>
  <c r="AR108" i="46"/>
  <c r="CH108" i="46"/>
  <c r="FH115" i="46"/>
  <c r="CW115" i="46"/>
  <c r="CK115" i="46"/>
  <c r="DI115" i="46"/>
  <c r="EG115" i="46"/>
  <c r="BV115" i="46"/>
  <c r="EP115" i="46"/>
  <c r="BA115" i="46"/>
  <c r="DU115" i="46"/>
  <c r="BM115" i="46"/>
  <c r="ED115" i="46"/>
  <c r="CQ115" i="46"/>
  <c r="DL115" i="46"/>
  <c r="EV115" i="46"/>
  <c r="W115" i="46"/>
  <c r="CH115" i="46"/>
  <c r="AX115" i="46"/>
  <c r="EJ115" i="46"/>
  <c r="FB115" i="46"/>
  <c r="BJ115" i="46"/>
  <c r="CZ115" i="46"/>
  <c r="EY115" i="46"/>
  <c r="CN115" i="46"/>
  <c r="CB115" i="46"/>
  <c r="ES115" i="46"/>
  <c r="BD115" i="46"/>
  <c r="DR115" i="46"/>
  <c r="AF115" i="46"/>
  <c r="BP115" i="46"/>
  <c r="CE115" i="46"/>
  <c r="FK115" i="46"/>
  <c r="CT115" i="46"/>
  <c r="BS115" i="46"/>
  <c r="AR115" i="46"/>
  <c r="AO115" i="46"/>
  <c r="EM115" i="46"/>
  <c r="DX115" i="46"/>
  <c r="DF115" i="46"/>
  <c r="Z115" i="46"/>
  <c r="DC115" i="46"/>
  <c r="DO115" i="46"/>
  <c r="AC115" i="46"/>
  <c r="EA115" i="46"/>
  <c r="AU115" i="46"/>
  <c r="BG115" i="46"/>
  <c r="AI115" i="46"/>
  <c r="AL115" i="46"/>
  <c r="T115" i="46"/>
  <c r="FE115" i="46"/>
  <c r="BY115" i="46"/>
  <c r="DF106" i="46"/>
  <c r="AX106" i="46"/>
  <c r="AF106" i="46"/>
  <c r="CE106" i="46"/>
  <c r="EY106" i="46"/>
  <c r="DU106" i="46"/>
  <c r="T106" i="46"/>
  <c r="FE106" i="46"/>
  <c r="BV106" i="46"/>
  <c r="BM106" i="46"/>
  <c r="BS106" i="46"/>
  <c r="CZ106" i="46"/>
  <c r="DR106" i="46"/>
  <c r="DC106" i="46"/>
  <c r="CK106" i="46"/>
  <c r="CB106" i="46"/>
  <c r="AI106" i="46"/>
  <c r="EM106" i="46"/>
  <c r="FB106" i="46"/>
  <c r="BP106" i="46"/>
  <c r="AU106" i="46"/>
  <c r="ES106" i="46"/>
  <c r="W106" i="46"/>
  <c r="CN106" i="46"/>
  <c r="FH106" i="46"/>
  <c r="AL106" i="46"/>
  <c r="BD106" i="46"/>
  <c r="EJ106" i="46"/>
  <c r="BA106" i="46"/>
  <c r="AO106" i="46"/>
  <c r="Z106" i="46"/>
  <c r="EV106" i="46"/>
  <c r="EA106" i="46"/>
  <c r="BY106" i="46"/>
  <c r="DX106" i="46"/>
  <c r="EG106" i="46"/>
  <c r="ED106" i="46"/>
  <c r="AR106" i="46"/>
  <c r="FK106" i="46"/>
  <c r="DO106" i="46"/>
  <c r="CQ106" i="46"/>
  <c r="CW106" i="46"/>
  <c r="EP106" i="46"/>
  <c r="AC106" i="46"/>
  <c r="CH106" i="46"/>
  <c r="BJ106" i="46"/>
  <c r="DI106" i="46"/>
  <c r="DL106" i="46"/>
  <c r="BG106" i="46"/>
  <c r="CT106" i="46"/>
  <c r="DX89" i="46"/>
  <c r="DO89" i="46"/>
  <c r="EG89" i="46"/>
  <c r="AO89" i="46"/>
  <c r="CZ89" i="46"/>
  <c r="CH89" i="46"/>
  <c r="DC89" i="46"/>
  <c r="FB89" i="46"/>
  <c r="DL89" i="46"/>
  <c r="EP89" i="46"/>
  <c r="W89" i="46"/>
  <c r="BM89" i="46"/>
  <c r="AR89" i="46"/>
  <c r="DF89" i="46"/>
  <c r="BS89" i="46"/>
  <c r="FH89" i="46"/>
  <c r="BD89" i="46"/>
  <c r="EA89" i="46"/>
  <c r="EJ89" i="46"/>
  <c r="AC89" i="46"/>
  <c r="CT89" i="46"/>
  <c r="EY89" i="46"/>
  <c r="BA89" i="46"/>
  <c r="AL89" i="46"/>
  <c r="EV89" i="46"/>
  <c r="Z89" i="46"/>
  <c r="CN89" i="46"/>
  <c r="BY89" i="46"/>
  <c r="BP89" i="46"/>
  <c r="AX89" i="46"/>
  <c r="CK89" i="46"/>
  <c r="ED89" i="46"/>
  <c r="CW89" i="46"/>
  <c r="BV89" i="46"/>
  <c r="T89" i="46"/>
  <c r="AU89" i="46"/>
  <c r="DR89" i="46"/>
  <c r="FE89" i="46"/>
  <c r="BJ89" i="46"/>
  <c r="DU89" i="46"/>
  <c r="DI89" i="46"/>
  <c r="BG89" i="46"/>
  <c r="AF89" i="46"/>
  <c r="CE89" i="46"/>
  <c r="CB89" i="46"/>
  <c r="FK89" i="46"/>
  <c r="AI89" i="46"/>
  <c r="EM89" i="46"/>
  <c r="ES89" i="46"/>
  <c r="CQ89" i="46"/>
  <c r="BT65" i="3"/>
  <c r="BU65" i="3" s="1"/>
  <c r="BG126" i="46"/>
  <c r="FE126" i="46"/>
  <c r="BS126" i="46"/>
  <c r="CK126" i="46"/>
  <c r="AI126" i="46"/>
  <c r="ED126" i="46"/>
  <c r="AR126" i="46"/>
  <c r="BJ126" i="46"/>
  <c r="DI126" i="46"/>
  <c r="AX126" i="46"/>
  <c r="CQ126" i="46"/>
  <c r="EG126" i="46"/>
  <c r="DU126" i="46"/>
  <c r="EY126" i="46"/>
  <c r="Z126" i="46"/>
  <c r="BP126" i="46"/>
  <c r="BA126" i="46"/>
  <c r="EP126" i="46"/>
  <c r="CZ126" i="46"/>
  <c r="DO126" i="46"/>
  <c r="DC126" i="46"/>
  <c r="FB126" i="46"/>
  <c r="AL126" i="46"/>
  <c r="FH126" i="46"/>
  <c r="CN126" i="46"/>
  <c r="DF126" i="46"/>
  <c r="BM126" i="46"/>
  <c r="CB126" i="46"/>
  <c r="EM126" i="46"/>
  <c r="W126" i="46"/>
  <c r="AF126" i="46"/>
  <c r="AC126" i="46"/>
  <c r="BY126" i="46"/>
  <c r="DX126" i="46"/>
  <c r="CW126" i="46"/>
  <c r="BV126" i="46"/>
  <c r="BD126" i="46"/>
  <c r="AU126" i="46"/>
  <c r="EV126" i="46"/>
  <c r="ES126" i="46"/>
  <c r="T126" i="46"/>
  <c r="DR126" i="46"/>
  <c r="AO126" i="46"/>
  <c r="DL126" i="46"/>
  <c r="EA126" i="46"/>
  <c r="CE126" i="46"/>
  <c r="FK126" i="46"/>
  <c r="CH126" i="46"/>
  <c r="CT126" i="46"/>
  <c r="EJ126" i="46"/>
  <c r="BP111" i="46"/>
  <c r="BV111" i="46"/>
  <c r="CE111" i="46"/>
  <c r="AR111" i="46"/>
  <c r="AF111" i="46"/>
  <c r="CB111" i="46"/>
  <c r="EM111" i="46"/>
  <c r="DF111" i="46"/>
  <c r="BM111" i="46"/>
  <c r="EY111" i="46"/>
  <c r="T111" i="46"/>
  <c r="BJ111" i="46"/>
  <c r="Z111" i="46"/>
  <c r="AU111" i="46"/>
  <c r="ES111" i="46"/>
  <c r="AX111" i="46"/>
  <c r="W111" i="46"/>
  <c r="DC111" i="46"/>
  <c r="DX111" i="46"/>
  <c r="DL111" i="46"/>
  <c r="AC111" i="46"/>
  <c r="DR111" i="46"/>
  <c r="FH111" i="46"/>
  <c r="CW111" i="46"/>
  <c r="EJ111" i="46"/>
  <c r="BG111" i="46"/>
  <c r="CN111" i="46"/>
  <c r="EA111" i="46"/>
  <c r="ED111" i="46"/>
  <c r="BD111" i="46"/>
  <c r="BY111" i="46"/>
  <c r="AI111" i="46"/>
  <c r="EP111" i="46"/>
  <c r="CZ111" i="46"/>
  <c r="EG111" i="46"/>
  <c r="DI111" i="46"/>
  <c r="CK111" i="46"/>
  <c r="FE111" i="46"/>
  <c r="BA111" i="46"/>
  <c r="DU111" i="46"/>
  <c r="FK111" i="46"/>
  <c r="AO111" i="46"/>
  <c r="BS111" i="46"/>
  <c r="CH111" i="46"/>
  <c r="DO111" i="46"/>
  <c r="FB111" i="46"/>
  <c r="CQ111" i="46"/>
  <c r="AL111" i="46"/>
  <c r="EV111" i="46"/>
  <c r="CT111" i="46"/>
  <c r="AL112" i="46"/>
  <c r="DU112" i="46"/>
  <c r="AR112" i="46"/>
  <c r="FE112" i="46"/>
  <c r="CW112" i="46"/>
  <c r="CQ112" i="46"/>
  <c r="CE112" i="46"/>
  <c r="AC112" i="46"/>
  <c r="CN112" i="46"/>
  <c r="FH112" i="46"/>
  <c r="AF112" i="46"/>
  <c r="FK112" i="46"/>
  <c r="BJ112" i="46"/>
  <c r="ES112" i="46"/>
  <c r="BM112" i="46"/>
  <c r="FB112" i="46"/>
  <c r="EV112" i="46"/>
  <c r="CK112" i="46"/>
  <c r="ED112" i="46"/>
  <c r="BY112" i="46"/>
  <c r="EM112" i="46"/>
  <c r="CH112" i="46"/>
  <c r="CT112" i="46"/>
  <c r="BS112" i="46"/>
  <c r="BA112" i="46"/>
  <c r="DR112" i="46"/>
  <c r="T112" i="46"/>
  <c r="BV112" i="46"/>
  <c r="DF112" i="46"/>
  <c r="Z112" i="46"/>
  <c r="BG112" i="46"/>
  <c r="EJ112" i="46"/>
  <c r="AI112" i="46"/>
  <c r="DO112" i="46"/>
  <c r="EY112" i="46"/>
  <c r="BP112" i="46"/>
  <c r="DX112" i="46"/>
  <c r="CZ112" i="46"/>
  <c r="EG112" i="46"/>
  <c r="DC112" i="46"/>
  <c r="DL112" i="46"/>
  <c r="EA112" i="46"/>
  <c r="CB112" i="46"/>
  <c r="AU112" i="46"/>
  <c r="AO112" i="46"/>
  <c r="BD112" i="46"/>
  <c r="DI112" i="46"/>
  <c r="AX112" i="46"/>
  <c r="W112" i="46"/>
  <c r="EP112" i="46"/>
  <c r="D139" i="3" l="1"/>
  <c r="AF147" i="3"/>
  <c r="AF143" i="3"/>
  <c r="H139" i="3"/>
  <c r="M229" i="46"/>
  <c r="AM38" i="45" a="1"/>
  <c r="AM38" i="45" s="1"/>
  <c r="C233" i="46"/>
  <c r="AG131" i="3"/>
  <c r="M138" i="3"/>
  <c r="AA138" i="3" s="1"/>
  <c r="DT139" i="3"/>
  <c r="K233" i="46"/>
  <c r="M227" i="46"/>
  <c r="AM37" i="45"/>
  <c r="AG127" i="3"/>
  <c r="N134" i="3"/>
  <c r="AF134" i="3" s="1"/>
  <c r="K220" i="46"/>
  <c r="M210" i="46"/>
  <c r="AI7" i="45"/>
  <c r="DT131" i="3"/>
  <c r="M215" i="46"/>
  <c r="AI20" i="45"/>
  <c r="M212" i="46"/>
  <c r="AI31" i="45"/>
  <c r="DT133" i="3"/>
  <c r="K222" i="46"/>
  <c r="M214" i="46"/>
  <c r="C220" i="46"/>
  <c r="AI8" i="45"/>
  <c r="AG124" i="3"/>
  <c r="M132" i="3"/>
  <c r="AA132" i="3" s="1"/>
  <c r="D132" i="3" s="1"/>
  <c r="BV58" i="3"/>
  <c r="BV65" i="3"/>
  <c r="BM128" i="46"/>
  <c r="AF128" i="46"/>
  <c r="CQ128" i="46"/>
  <c r="AC128" i="46"/>
  <c r="CT128" i="46"/>
  <c r="FE128" i="46"/>
  <c r="FB128" i="46"/>
  <c r="DR128" i="46"/>
  <c r="AL128" i="46"/>
  <c r="W128" i="46"/>
  <c r="DF128" i="46"/>
  <c r="CE128" i="46"/>
  <c r="AO128" i="46"/>
  <c r="CZ128" i="46"/>
  <c r="DL128" i="46"/>
  <c r="T128" i="46"/>
  <c r="BV66" i="3"/>
  <c r="DO128" i="46"/>
  <c r="AR128" i="46"/>
  <c r="DU128" i="46"/>
  <c r="ES128" i="46"/>
  <c r="BU62" i="3"/>
  <c r="BV63" i="3" s="1"/>
  <c r="EG128" i="46"/>
  <c r="EJ128" i="46"/>
  <c r="BA128" i="46"/>
  <c r="FK128" i="46"/>
  <c r="DC128" i="46"/>
  <c r="CH128" i="46"/>
  <c r="BV60" i="3"/>
  <c r="BS128" i="46"/>
  <c r="Z128" i="46"/>
  <c r="BJ128" i="46"/>
  <c r="CN128" i="46"/>
  <c r="EA128" i="46"/>
  <c r="EP128" i="46"/>
  <c r="BD128" i="46"/>
  <c r="BV128" i="46"/>
  <c r="DX128" i="46"/>
  <c r="AU128" i="46"/>
  <c r="EV128" i="46"/>
  <c r="ED128" i="46"/>
  <c r="CK128" i="46"/>
  <c r="EY128" i="46"/>
  <c r="BV64" i="3"/>
  <c r="DI128" i="46"/>
  <c r="CB128" i="46"/>
  <c r="EM128" i="46"/>
  <c r="BP128" i="46"/>
  <c r="CW128" i="46"/>
  <c r="BG128" i="46"/>
  <c r="AX128" i="46"/>
  <c r="BY128" i="46"/>
  <c r="AI128" i="46"/>
  <c r="FH128" i="46"/>
  <c r="H147" i="3" l="1"/>
  <c r="AA151" i="3"/>
  <c r="AA152" i="3"/>
  <c r="D143" i="3"/>
  <c r="AG143" i="3" s="1"/>
  <c r="AA143" i="3"/>
  <c r="C244" i="46" s="1"/>
  <c r="D4" i="48" s="1" a="1"/>
  <c r="D4" i="48" s="1"/>
  <c r="H138" i="3"/>
  <c r="AQ32" i="45"/>
  <c r="M237" i="46"/>
  <c r="M241" i="46"/>
  <c r="AU26" i="45"/>
  <c r="N147" i="3"/>
  <c r="AG139" i="3"/>
  <c r="N143" i="3"/>
  <c r="AG132" i="3"/>
  <c r="N138" i="3"/>
  <c r="AF138" i="3" s="1"/>
  <c r="AM13" i="45"/>
  <c r="M226" i="46"/>
  <c r="AI44" i="45"/>
  <c r="M217" i="46"/>
  <c r="K223" i="46"/>
  <c r="C223" i="46"/>
  <c r="DT134" i="3"/>
  <c r="C221" i="46"/>
  <c r="DT132" i="3"/>
  <c r="M211" i="46"/>
  <c r="AI19" i="45"/>
  <c r="K221" i="46"/>
  <c r="BV69" i="3"/>
  <c r="BV67" i="3"/>
  <c r="BV68" i="3"/>
  <c r="BV62" i="3"/>
  <c r="BV59" i="3"/>
  <c r="BV61" i="3"/>
  <c r="CK214" i="46" l="1"/>
  <c r="BB23" i="45"/>
  <c r="AG151" i="3"/>
  <c r="M251" i="46"/>
  <c r="M252" i="46"/>
  <c r="AZ25" i="45"/>
  <c r="AG152" i="3"/>
  <c r="DX217" i="46"/>
  <c r="AC212" i="46"/>
  <c r="FB222" i="46"/>
  <c r="AA147" i="3"/>
  <c r="D138" i="3"/>
  <c r="DT138" i="3"/>
  <c r="K232" i="46"/>
  <c r="K244" i="46"/>
  <c r="AQ31" i="45"/>
  <c r="DT143" i="3"/>
  <c r="M236" i="46"/>
  <c r="BY216" i="46"/>
  <c r="M228" i="46"/>
  <c r="CQ229" i="46" s="1"/>
  <c r="C232" i="46"/>
  <c r="AM14" i="45"/>
  <c r="DL222" i="46"/>
  <c r="CZ214" i="46"/>
  <c r="AC211" i="46"/>
  <c r="FH215" i="46"/>
  <c r="DR212" i="46"/>
  <c r="BJ210" i="46"/>
  <c r="T217" i="46"/>
  <c r="EJ214" i="46"/>
  <c r="AC216" i="46"/>
  <c r="AX213" i="46"/>
  <c r="BP216" i="46"/>
  <c r="BP214" i="46"/>
  <c r="EM222" i="46"/>
  <c r="CW211" i="46"/>
  <c r="BG210" i="46"/>
  <c r="BD211" i="46"/>
  <c r="CH215" i="46"/>
  <c r="ED212" i="46"/>
  <c r="FB217" i="46"/>
  <c r="DX212" i="46"/>
  <c r="EA213" i="46"/>
  <c r="AO215" i="46"/>
  <c r="EV216" i="46"/>
  <c r="BP210" i="46"/>
  <c r="DU221" i="46"/>
  <c r="EY222" i="46"/>
  <c r="DU216" i="46"/>
  <c r="FE214" i="46"/>
  <c r="BA211" i="46"/>
  <c r="BJ214" i="46"/>
  <c r="CW210" i="46"/>
  <c r="AL215" i="46"/>
  <c r="EA217" i="46"/>
  <c r="EV223" i="46"/>
  <c r="DI221" i="46"/>
  <c r="AU222" i="46"/>
  <c r="DC215" i="46"/>
  <c r="Z223" i="46"/>
  <c r="ES217" i="46"/>
  <c r="CE212" i="46"/>
  <c r="CH213" i="46"/>
  <c r="CZ212" i="46"/>
  <c r="BG217" i="46"/>
  <c r="AO210" i="46"/>
  <c r="AI221" i="46"/>
  <c r="DO223" i="46"/>
  <c r="DU217" i="46"/>
  <c r="DR211" i="46"/>
  <c r="CW216" i="46"/>
  <c r="EY220" i="46"/>
  <c r="AO212" i="46"/>
  <c r="BD216" i="46"/>
  <c r="AL216" i="46"/>
  <c r="AO222" i="46"/>
  <c r="AU211" i="46"/>
  <c r="CT216" i="46"/>
  <c r="FH214" i="46"/>
  <c r="AF212" i="46"/>
  <c r="EA214" i="46"/>
  <c r="AF215" i="46"/>
  <c r="EP214" i="46"/>
  <c r="DC211" i="46"/>
  <c r="BA215" i="46"/>
  <c r="DC217" i="46"/>
  <c r="CW221" i="46"/>
  <c r="DX214" i="46"/>
  <c r="CW215" i="46"/>
  <c r="AU213" i="46"/>
  <c r="CQ214" i="46"/>
  <c r="Z212" i="46"/>
  <c r="BP213" i="46"/>
  <c r="AU217" i="46"/>
  <c r="AC217" i="46"/>
  <c r="BV215" i="46"/>
  <c r="ED220" i="46"/>
  <c r="DF213" i="46"/>
  <c r="W212" i="46"/>
  <c r="DR214" i="46"/>
  <c r="CW214" i="46"/>
  <c r="T214" i="46"/>
  <c r="BS216" i="46"/>
  <c r="BY223" i="46"/>
  <c r="DL210" i="46"/>
  <c r="EJ215" i="46"/>
  <c r="CT217" i="46"/>
  <c r="CN215" i="46"/>
  <c r="AL213" i="46"/>
  <c r="EG221" i="46"/>
  <c r="EP220" i="46"/>
  <c r="BD223" i="46"/>
  <c r="CN221" i="46"/>
  <c r="DX220" i="46"/>
  <c r="DO220" i="46"/>
  <c r="FH223" i="46"/>
  <c r="BS220" i="46"/>
  <c r="DL221" i="46"/>
  <c r="DU220" i="46"/>
  <c r="CB222" i="46"/>
  <c r="DC220" i="46"/>
  <c r="BY221" i="46"/>
  <c r="AL220" i="46"/>
  <c r="CZ223" i="46"/>
  <c r="AU220" i="46"/>
  <c r="AO223" i="46"/>
  <c r="BM223" i="46"/>
  <c r="FB220" i="46"/>
  <c r="T223" i="46"/>
  <c r="BJ220" i="46"/>
  <c r="CB221" i="46"/>
  <c r="BG221" i="46"/>
  <c r="DR220" i="46"/>
  <c r="BP222" i="46"/>
  <c r="CH221" i="46"/>
  <c r="DX221" i="46"/>
  <c r="BJ221" i="46"/>
  <c r="DX222" i="46"/>
  <c r="DI222" i="46"/>
  <c r="CQ220" i="46"/>
  <c r="AR221" i="46"/>
  <c r="Z221" i="46"/>
  <c r="AI222" i="46"/>
  <c r="Z220" i="46"/>
  <c r="CT221" i="46"/>
  <c r="CE220" i="46"/>
  <c r="EJ223" i="46"/>
  <c r="AR222" i="46"/>
  <c r="DU223" i="46"/>
  <c r="DF223" i="46"/>
  <c r="FH222" i="46"/>
  <c r="EA223" i="46"/>
  <c r="AL222" i="46"/>
  <c r="CT223" i="46"/>
  <c r="EM221" i="46"/>
  <c r="W221" i="46"/>
  <c r="DR223" i="46"/>
  <c r="DL220" i="46"/>
  <c r="BP223" i="46"/>
  <c r="AO221" i="46"/>
  <c r="ED222" i="46"/>
  <c r="CN222" i="46"/>
  <c r="AC223" i="46"/>
  <c r="CK221" i="46"/>
  <c r="BG222" i="46"/>
  <c r="T221" i="46"/>
  <c r="BS222" i="46"/>
  <c r="DF220" i="46"/>
  <c r="BG223" i="46"/>
  <c r="AR220" i="46"/>
  <c r="EV222" i="46"/>
  <c r="BD221" i="46"/>
  <c r="W223" i="46"/>
  <c r="FB221" i="46"/>
  <c r="EP221" i="46"/>
  <c r="CT215" i="46"/>
  <c r="CW213" i="46"/>
  <c r="EG217" i="46"/>
  <c r="AR216" i="46"/>
  <c r="AI217" i="46"/>
  <c r="AO213" i="46"/>
  <c r="EJ213" i="46"/>
  <c r="DL212" i="46"/>
  <c r="CE216" i="46"/>
  <c r="BM210" i="46"/>
  <c r="AU216" i="46"/>
  <c r="AO217" i="46"/>
  <c r="BP217" i="46"/>
  <c r="DF216" i="46"/>
  <c r="BG213" i="46"/>
  <c r="EG212" i="46"/>
  <c r="AI215" i="46"/>
  <c r="FK216" i="46"/>
  <c r="CW217" i="46"/>
  <c r="FB211" i="46"/>
  <c r="BM211" i="46"/>
  <c r="DI215" i="46"/>
  <c r="CE215" i="46"/>
  <c r="CQ217" i="46"/>
  <c r="W216" i="46"/>
  <c r="CT214" i="46"/>
  <c r="AL212" i="46"/>
  <c r="T213" i="46"/>
  <c r="BA213" i="46"/>
  <c r="AX216" i="46"/>
  <c r="FH217" i="46"/>
  <c r="DL211" i="46"/>
  <c r="AU212" i="46"/>
  <c r="DL217" i="46"/>
  <c r="W217" i="46"/>
  <c r="AO211" i="46"/>
  <c r="AI212" i="46"/>
  <c r="BV211" i="46"/>
  <c r="AU214" i="46"/>
  <c r="BV210" i="46"/>
  <c r="BG214" i="46"/>
  <c r="BG211" i="46"/>
  <c r="DO213" i="46"/>
  <c r="EY211" i="46"/>
  <c r="AF211" i="46"/>
  <c r="FE216" i="46"/>
  <c r="BA212" i="46"/>
  <c r="CZ211" i="46"/>
  <c r="EJ212" i="46"/>
  <c r="EG213" i="46"/>
  <c r="BA217" i="46"/>
  <c r="FK214" i="46"/>
  <c r="EM213" i="46"/>
  <c r="CB215" i="46"/>
  <c r="FB212" i="46"/>
  <c r="CK211" i="46"/>
  <c r="EY214" i="46"/>
  <c r="BY217" i="46"/>
  <c r="CB213" i="46"/>
  <c r="BA210" i="46"/>
  <c r="BD214" i="46"/>
  <c r="DU212" i="46"/>
  <c r="EM215" i="46"/>
  <c r="BJ213" i="46"/>
  <c r="AU210" i="46"/>
  <c r="BY212" i="46"/>
  <c r="AL214" i="46"/>
  <c r="BY215" i="46"/>
  <c r="FK217" i="46"/>
  <c r="FH213" i="46"/>
  <c r="AI216" i="46"/>
  <c r="DC214" i="46"/>
  <c r="BY213" i="46"/>
  <c r="CZ210" i="46"/>
  <c r="Z216" i="46"/>
  <c r="BS214" i="46"/>
  <c r="CQ216" i="46"/>
  <c r="CQ215" i="46"/>
  <c r="AF216" i="46"/>
  <c r="DO214" i="46"/>
  <c r="DU210" i="46"/>
  <c r="ES210" i="46"/>
  <c r="EM216" i="46"/>
  <c r="DX215" i="46"/>
  <c r="DO211" i="46"/>
  <c r="DO210" i="46"/>
  <c r="CT213" i="46"/>
  <c r="EP215" i="46"/>
  <c r="DU211" i="46"/>
  <c r="BV213" i="46"/>
  <c r="BD213" i="46"/>
  <c r="CH216" i="46"/>
  <c r="DC213" i="46"/>
  <c r="BD217" i="46"/>
  <c r="EA210" i="46"/>
  <c r="W213" i="46"/>
  <c r="AR211" i="46"/>
  <c r="EP217" i="46"/>
  <c r="FB216" i="46"/>
  <c r="CN216" i="46"/>
  <c r="DL213" i="46"/>
  <c r="FK213" i="46"/>
  <c r="FB214" i="46"/>
  <c r="ES213" i="46"/>
  <c r="ED215" i="46"/>
  <c r="CK216" i="46"/>
  <c r="EJ210" i="46"/>
  <c r="DX211" i="46"/>
  <c r="CK212" i="46"/>
  <c r="BA216" i="46"/>
  <c r="CH211" i="46"/>
  <c r="AI211" i="46"/>
  <c r="AX212" i="46"/>
  <c r="FE213" i="46"/>
  <c r="EA215" i="46"/>
  <c r="DI213" i="46"/>
  <c r="CH214" i="46"/>
  <c r="AX215" i="46"/>
  <c r="CH210" i="46"/>
  <c r="EV211" i="46"/>
  <c r="EP210" i="46"/>
  <c r="FB213" i="46"/>
  <c r="CN214" i="46"/>
  <c r="EV217" i="46"/>
  <c r="DO215" i="46"/>
  <c r="AR210" i="46"/>
  <c r="CE213" i="46"/>
  <c r="CQ211" i="46"/>
  <c r="ES214" i="46"/>
  <c r="EP216" i="46"/>
  <c r="DF214" i="46"/>
  <c r="Z215" i="46"/>
  <c r="CZ213" i="46"/>
  <c r="EP211" i="46"/>
  <c r="Z211" i="46"/>
  <c r="T212" i="46"/>
  <c r="BM212" i="46"/>
  <c r="AR214" i="46"/>
  <c r="ED210" i="46"/>
  <c r="EM211" i="46"/>
  <c r="AC215" i="46"/>
  <c r="DI216" i="46"/>
  <c r="DR210" i="46"/>
  <c r="CN212" i="46"/>
  <c r="EP212" i="46"/>
  <c r="CH212" i="46"/>
  <c r="EJ217" i="46"/>
  <c r="BV214" i="46"/>
  <c r="DF211" i="46"/>
  <c r="CQ210" i="46"/>
  <c r="DI217" i="46"/>
  <c r="CZ215" i="46"/>
  <c r="DR217" i="46"/>
  <c r="FH216" i="46"/>
  <c r="BJ217" i="46"/>
  <c r="W211" i="46"/>
  <c r="CQ213" i="46"/>
  <c r="DO212" i="46"/>
  <c r="FE215" i="46"/>
  <c r="BJ212" i="46"/>
  <c r="BS211" i="46"/>
  <c r="T210" i="46"/>
  <c r="BD215" i="46"/>
  <c r="AU215" i="46"/>
  <c r="AR213" i="46"/>
  <c r="BS210" i="46"/>
  <c r="FE217" i="46"/>
  <c r="AX214" i="46"/>
  <c r="DU213" i="46"/>
  <c r="BM213" i="46"/>
  <c r="FB210" i="46"/>
  <c r="DC212" i="46"/>
  <c r="T216" i="46"/>
  <c r="BP212" i="46"/>
  <c r="DF217" i="46"/>
  <c r="FK212" i="46"/>
  <c r="CE214" i="46"/>
  <c r="AR217" i="46"/>
  <c r="CK210" i="46"/>
  <c r="EP213" i="46"/>
  <c r="CT210" i="46"/>
  <c r="FH210" i="46"/>
  <c r="EV213" i="46"/>
  <c r="CE217" i="46"/>
  <c r="AI210" i="46"/>
  <c r="BG215" i="46"/>
  <c r="DL215" i="46"/>
  <c r="CK213" i="46"/>
  <c r="ED211" i="46"/>
  <c r="FB215" i="46"/>
  <c r="BS215" i="46"/>
  <c r="DX216" i="46"/>
  <c r="DF210" i="46"/>
  <c r="CZ216" i="46"/>
  <c r="BG216" i="46"/>
  <c r="FE212" i="46"/>
  <c r="DI214" i="46"/>
  <c r="CB212" i="46"/>
  <c r="CN211" i="46"/>
  <c r="EM210" i="46"/>
  <c r="CB216" i="46"/>
  <c r="AX217" i="46"/>
  <c r="CN213" i="46"/>
  <c r="DO216" i="46"/>
  <c r="DU214" i="46"/>
  <c r="ES211" i="46"/>
  <c r="EY217" i="46"/>
  <c r="CB211" i="46"/>
  <c r="AF213" i="46"/>
  <c r="AL210" i="46"/>
  <c r="BM214" i="46"/>
  <c r="EG216" i="46"/>
  <c r="DR221" i="46"/>
  <c r="EV220" i="46"/>
  <c r="BA220" i="46"/>
  <c r="AX220" i="46"/>
  <c r="ES222" i="46"/>
  <c r="AU223" i="46"/>
  <c r="EV221" i="46"/>
  <c r="BD222" i="46"/>
  <c r="DI223" i="46"/>
  <c r="DC222" i="46"/>
  <c r="BD220" i="46"/>
  <c r="CQ222" i="46"/>
  <c r="T222" i="46"/>
  <c r="CE222" i="46"/>
  <c r="ES220" i="46"/>
  <c r="CH223" i="46"/>
  <c r="Z222" i="46"/>
  <c r="AL223" i="46"/>
  <c r="EM220" i="46"/>
  <c r="CW222" i="46"/>
  <c r="W222" i="46"/>
  <c r="EY223" i="46"/>
  <c r="CB223" i="46"/>
  <c r="BA221" i="46"/>
  <c r="CT222" i="46"/>
  <c r="AR223" i="46"/>
  <c r="CK222" i="46"/>
  <c r="FK221" i="46"/>
  <c r="AC222" i="46"/>
  <c r="FK222" i="46"/>
  <c r="AC220" i="46"/>
  <c r="CZ221" i="46"/>
  <c r="BS223" i="46"/>
  <c r="CQ221" i="46"/>
  <c r="FK220" i="46"/>
  <c r="ED221" i="46"/>
  <c r="FE221" i="46"/>
  <c r="BM221" i="46"/>
  <c r="AI220" i="46"/>
  <c r="DX223" i="46"/>
  <c r="FB223" i="46"/>
  <c r="CW223" i="46"/>
  <c r="DR222" i="46"/>
  <c r="CH220" i="46"/>
  <c r="CK220" i="46"/>
  <c r="BS221" i="46"/>
  <c r="DF222" i="46"/>
  <c r="BJ223" i="46"/>
  <c r="EP222" i="46"/>
  <c r="CE223" i="46"/>
  <c r="BM220" i="46"/>
  <c r="BA223" i="46"/>
  <c r="CZ222" i="46"/>
  <c r="BP221" i="46"/>
  <c r="ES221" i="46"/>
  <c r="DO221" i="46"/>
  <c r="AF222" i="46"/>
  <c r="BV222" i="46"/>
  <c r="CN223" i="46"/>
  <c r="BV220" i="46"/>
  <c r="DU222" i="46"/>
  <c r="EM223" i="46"/>
  <c r="FE223" i="46"/>
  <c r="CT220" i="46"/>
  <c r="FK223" i="46"/>
  <c r="DF221" i="46"/>
  <c r="ED223" i="46"/>
  <c r="AF223" i="46"/>
  <c r="EY221" i="46"/>
  <c r="FE220" i="46"/>
  <c r="AC221" i="46"/>
  <c r="BY222" i="46"/>
  <c r="CK223" i="46"/>
  <c r="CH222" i="46"/>
  <c r="CB220" i="46"/>
  <c r="W220" i="46"/>
  <c r="DO222" i="46"/>
  <c r="BG220" i="46"/>
  <c r="BP220" i="46"/>
  <c r="ES223" i="46"/>
  <c r="BM222" i="46"/>
  <c r="DC221" i="46"/>
  <c r="CE221" i="46"/>
  <c r="CW220" i="46"/>
  <c r="FH221" i="46"/>
  <c r="EJ221" i="46"/>
  <c r="EA222" i="46"/>
  <c r="EG223" i="46"/>
  <c r="AO220" i="46"/>
  <c r="EG222" i="46"/>
  <c r="CZ220" i="46"/>
  <c r="AI223" i="46"/>
  <c r="BV223" i="46"/>
  <c r="DL223" i="46"/>
  <c r="EG220" i="46"/>
  <c r="AU221" i="46"/>
  <c r="AF220" i="46"/>
  <c r="DI220" i="46"/>
  <c r="EA220" i="46"/>
  <c r="EJ222" i="46"/>
  <c r="EP223" i="46"/>
  <c r="CN220" i="46"/>
  <c r="EA221" i="46"/>
  <c r="DC223" i="46"/>
  <c r="AL221" i="46"/>
  <c r="AX223" i="46"/>
  <c r="BA222" i="46"/>
  <c r="FE222" i="46"/>
  <c r="AX221" i="46"/>
  <c r="AF221" i="46"/>
  <c r="BJ222" i="46"/>
  <c r="BY220" i="46"/>
  <c r="T220" i="46"/>
  <c r="BV221" i="46"/>
  <c r="FH220" i="46"/>
  <c r="CQ223" i="46"/>
  <c r="EJ220" i="46"/>
  <c r="AX222" i="46"/>
  <c r="CT212" i="46"/>
  <c r="AL217" i="46"/>
  <c r="FH212" i="46"/>
  <c r="DL214" i="46"/>
  <c r="BS212" i="46"/>
  <c r="ED213" i="46"/>
  <c r="FK211" i="46"/>
  <c r="EY212" i="46"/>
  <c r="CB214" i="46"/>
  <c r="CK217" i="46"/>
  <c r="BJ211" i="46"/>
  <c r="AI213" i="46"/>
  <c r="DC210" i="46"/>
  <c r="EV214" i="46"/>
  <c r="W214" i="46"/>
  <c r="BJ215" i="46"/>
  <c r="BD210" i="46"/>
  <c r="EA211" i="46"/>
  <c r="DF212" i="46"/>
  <c r="BS217" i="46"/>
  <c r="BM216" i="46"/>
  <c r="AF214" i="46"/>
  <c r="FK215" i="46"/>
  <c r="AX211" i="46"/>
  <c r="DI211" i="46"/>
  <c r="AC213" i="46"/>
  <c r="AC210" i="46"/>
  <c r="EM217" i="46"/>
  <c r="EJ216" i="46"/>
  <c r="CE211" i="46"/>
  <c r="BV212" i="46"/>
  <c r="CH217" i="46"/>
  <c r="EY215" i="46"/>
  <c r="FE211" i="46"/>
  <c r="CT211" i="46"/>
  <c r="BG212" i="46"/>
  <c r="AO216" i="46"/>
  <c r="EG215" i="46"/>
  <c r="ES216" i="46"/>
  <c r="AL211" i="46"/>
  <c r="AO214" i="46"/>
  <c r="AR215" i="46"/>
  <c r="BP211" i="46"/>
  <c r="FH211" i="46"/>
  <c r="W210" i="46"/>
  <c r="EV212" i="46"/>
  <c r="BV217" i="46"/>
  <c r="AI214" i="46"/>
  <c r="EM212" i="46"/>
  <c r="DI212" i="46"/>
  <c r="DR215" i="46"/>
  <c r="Z210" i="46"/>
  <c r="W215" i="46"/>
  <c r="AR212" i="46"/>
  <c r="BM217" i="46"/>
  <c r="DR213" i="46"/>
  <c r="BV216" i="46"/>
  <c r="CK215" i="46"/>
  <c r="CN217" i="46"/>
  <c r="ES215" i="46"/>
  <c r="EY210" i="46"/>
  <c r="EY216" i="46"/>
  <c r="ED214" i="46"/>
  <c r="BD212" i="46"/>
  <c r="FK210" i="46"/>
  <c r="DX210" i="46"/>
  <c r="BY214" i="46"/>
  <c r="EG211" i="46"/>
  <c r="T211" i="46"/>
  <c r="DU215" i="46"/>
  <c r="EM214" i="46"/>
  <c r="DC216" i="46"/>
  <c r="AC214" i="46"/>
  <c r="EG210" i="46"/>
  <c r="AX210" i="46"/>
  <c r="FE210" i="46"/>
  <c r="BP215" i="46"/>
  <c r="CN210" i="46"/>
  <c r="CB217" i="46"/>
  <c r="EV210" i="46"/>
  <c r="Z214" i="46"/>
  <c r="ES212" i="46"/>
  <c r="Z217" i="46"/>
  <c r="DR216" i="46"/>
  <c r="DO217" i="46"/>
  <c r="DF215" i="46"/>
  <c r="CE210" i="46"/>
  <c r="CB210" i="46"/>
  <c r="CZ217" i="46"/>
  <c r="BY211" i="46"/>
  <c r="DI210" i="46"/>
  <c r="BA214" i="46"/>
  <c r="CQ212" i="46"/>
  <c r="BY210" i="46"/>
  <c r="Z213" i="46"/>
  <c r="CW212" i="46"/>
  <c r="T215" i="46"/>
  <c r="EA212" i="46"/>
  <c r="DL216" i="46"/>
  <c r="BJ216" i="46"/>
  <c r="EA216" i="46"/>
  <c r="BM215" i="46"/>
  <c r="AF217" i="46"/>
  <c r="EV215" i="46"/>
  <c r="EG214" i="46"/>
  <c r="AF210" i="46"/>
  <c r="ED217" i="46"/>
  <c r="EJ211" i="46"/>
  <c r="BS213" i="46"/>
  <c r="DX213" i="46"/>
  <c r="ED216" i="46"/>
  <c r="EY213" i="46"/>
  <c r="BW67" i="3"/>
  <c r="BX67" i="3" s="1"/>
  <c r="BW69" i="3"/>
  <c r="BX69" i="3" s="1"/>
  <c r="BW63" i="3"/>
  <c r="BX63" i="3" s="1"/>
  <c r="BW64" i="3"/>
  <c r="BX64" i="3" s="1"/>
  <c r="BW66" i="3"/>
  <c r="BX66" i="3" s="1"/>
  <c r="BW59" i="3"/>
  <c r="BX59" i="3" s="1"/>
  <c r="BW58" i="3"/>
  <c r="BW65" i="3"/>
  <c r="BW60" i="3"/>
  <c r="BW61" i="3"/>
  <c r="BX61" i="3" s="1"/>
  <c r="BW62" i="3"/>
  <c r="BW68" i="3"/>
  <c r="AF232" i="46" l="1"/>
  <c r="AX229" i="46"/>
  <c r="DI229" i="46"/>
  <c r="FK226" i="46"/>
  <c r="EA227" i="46"/>
  <c r="EG226" i="46"/>
  <c r="BG229" i="46"/>
  <c r="AL227" i="46"/>
  <c r="BV228" i="46"/>
  <c r="CE226" i="46"/>
  <c r="W227" i="46"/>
  <c r="BP228" i="46"/>
  <c r="A4" i="48" a="1"/>
  <c r="A4" i="48" s="1"/>
  <c r="A4" i="50" a="1"/>
  <c r="A4" i="50" s="1"/>
  <c r="B4" i="50" a="1"/>
  <c r="B4" i="50" s="1"/>
  <c r="C8" i="48" a="1"/>
  <c r="C8" i="48" s="1"/>
  <c r="B8" i="48" s="1"/>
  <c r="B8" i="50" a="1"/>
  <c r="B8" i="50" s="1"/>
  <c r="C7" i="48" a="1"/>
  <c r="C7" i="48" s="1"/>
  <c r="B7" i="48" s="1"/>
  <c r="B7" i="50" a="1"/>
  <c r="B7" i="50" s="1"/>
  <c r="EY233" i="46"/>
  <c r="ES232" i="46"/>
  <c r="AA150" i="3"/>
  <c r="D147" i="3"/>
  <c r="AG147" i="3" s="1"/>
  <c r="AF226" i="46"/>
  <c r="ES233" i="46"/>
  <c r="T226" i="46"/>
  <c r="DO227" i="46"/>
  <c r="BY251" i="46"/>
  <c r="AO251" i="46"/>
  <c r="DC251" i="46"/>
  <c r="FB251" i="46"/>
  <c r="BG251" i="46"/>
  <c r="BA251" i="46"/>
  <c r="EJ251" i="46"/>
  <c r="EY251" i="46"/>
  <c r="CK251" i="46"/>
  <c r="FK251" i="46"/>
  <c r="FH251" i="46"/>
  <c r="AL251" i="46"/>
  <c r="AI251" i="46"/>
  <c r="AC251" i="46"/>
  <c r="CW251" i="46"/>
  <c r="T251" i="46"/>
  <c r="DL251" i="46"/>
  <c r="ED251" i="46"/>
  <c r="FE251" i="46"/>
  <c r="BV251" i="46"/>
  <c r="CE251" i="46"/>
  <c r="BP251" i="46"/>
  <c r="AR251" i="46"/>
  <c r="EG251" i="46"/>
  <c r="BJ251" i="46"/>
  <c r="CZ251" i="46"/>
  <c r="DX251" i="46"/>
  <c r="AU251" i="46"/>
  <c r="CT251" i="46"/>
  <c r="CB251" i="46"/>
  <c r="W251" i="46"/>
  <c r="CN251" i="46"/>
  <c r="AX251" i="46"/>
  <c r="DR251" i="46"/>
  <c r="DU251" i="46"/>
  <c r="CH251" i="46"/>
  <c r="EA251" i="46"/>
  <c r="BD251" i="46"/>
  <c r="DF251" i="46"/>
  <c r="DO251" i="46"/>
  <c r="Z251" i="46"/>
  <c r="AF251" i="46"/>
  <c r="CQ251" i="46"/>
  <c r="EP251" i="46"/>
  <c r="ES251" i="46"/>
  <c r="DI251" i="46"/>
  <c r="EV251" i="46"/>
  <c r="EM251" i="46"/>
  <c r="BS251" i="46"/>
  <c r="BM251" i="46"/>
  <c r="BN24" i="45"/>
  <c r="BN43" i="45"/>
  <c r="BN37" i="45"/>
  <c r="BN38" i="45"/>
  <c r="BN48" i="45"/>
  <c r="BN8" i="45"/>
  <c r="BN51" i="45"/>
  <c r="BN31" i="45"/>
  <c r="BN20" i="45"/>
  <c r="BN47" i="45"/>
  <c r="BN42" i="45"/>
  <c r="BN16" i="45"/>
  <c r="BN25" i="45"/>
  <c r="BN5" i="45"/>
  <c r="BN30" i="45"/>
  <c r="BN45" i="45"/>
  <c r="BN32" i="45"/>
  <c r="BN49" i="45"/>
  <c r="BN44" i="45"/>
  <c r="BN11" i="45"/>
  <c r="BN4" i="45"/>
  <c r="BN33" i="45"/>
  <c r="BN19" i="45"/>
  <c r="BN41" i="45"/>
  <c r="BN12" i="45"/>
  <c r="BN27" i="45"/>
  <c r="BN28" i="45"/>
  <c r="BN14" i="45"/>
  <c r="BN17" i="45"/>
  <c r="BN40" i="45"/>
  <c r="BN36" i="45"/>
  <c r="BN9" i="45"/>
  <c r="BN18" i="45"/>
  <c r="BN7" i="45"/>
  <c r="BN39" i="45"/>
  <c r="BN15" i="45"/>
  <c r="BN6" i="45"/>
  <c r="BN26" i="45"/>
  <c r="BN34" i="45"/>
  <c r="BN50" i="45"/>
  <c r="BN29" i="45"/>
  <c r="BN10" i="45"/>
  <c r="BN23" i="45"/>
  <c r="BN21" i="45"/>
  <c r="BN46" i="45"/>
  <c r="BN35" i="45"/>
  <c r="BN13" i="45"/>
  <c r="BN22" i="45"/>
  <c r="DO226" i="46"/>
  <c r="CQ227" i="46"/>
  <c r="BS229" i="46"/>
  <c r="DR227" i="46"/>
  <c r="BD232" i="46"/>
  <c r="EG233" i="46"/>
  <c r="CB232" i="46"/>
  <c r="CW228" i="46"/>
  <c r="AC229" i="46"/>
  <c r="AO233" i="46"/>
  <c r="AI233" i="46"/>
  <c r="ED226" i="46"/>
  <c r="EP226" i="46"/>
  <c r="EY252" i="46"/>
  <c r="BJ252" i="46"/>
  <c r="CW252" i="46"/>
  <c r="CE252" i="46"/>
  <c r="DR252" i="46"/>
  <c r="FH252" i="46"/>
  <c r="FE252" i="46"/>
  <c r="DU252" i="46"/>
  <c r="T252" i="46"/>
  <c r="BY252" i="46"/>
  <c r="CZ252" i="46"/>
  <c r="EP252" i="46"/>
  <c r="AL252" i="46"/>
  <c r="EG252" i="46"/>
  <c r="CQ252" i="46"/>
  <c r="BV252" i="46"/>
  <c r="CH252" i="46"/>
  <c r="BP252" i="46"/>
  <c r="DO252" i="46"/>
  <c r="DC252" i="46"/>
  <c r="CN252" i="46"/>
  <c r="ED252" i="46"/>
  <c r="AU252" i="46"/>
  <c r="CT252" i="46"/>
  <c r="EA252" i="46"/>
  <c r="FB252" i="46"/>
  <c r="FK252" i="46"/>
  <c r="DX252" i="46"/>
  <c r="EJ252" i="46"/>
  <c r="DL252" i="46"/>
  <c r="AI252" i="46"/>
  <c r="AF252" i="46"/>
  <c r="AO252" i="46"/>
  <c r="ES252" i="46"/>
  <c r="BG252" i="46"/>
  <c r="Z252" i="46"/>
  <c r="CK252" i="46"/>
  <c r="DI252" i="46"/>
  <c r="EM252" i="46"/>
  <c r="AX252" i="46"/>
  <c r="BD252" i="46"/>
  <c r="CB252" i="46"/>
  <c r="BA252" i="46"/>
  <c r="BM252" i="46"/>
  <c r="BS252" i="46"/>
  <c r="AC252" i="46"/>
  <c r="DF252" i="46"/>
  <c r="AR252" i="46"/>
  <c r="W252" i="46"/>
  <c r="EV252" i="46"/>
  <c r="BM21" i="45"/>
  <c r="BM28" i="45"/>
  <c r="BM39" i="45"/>
  <c r="BM38" i="45"/>
  <c r="BM8" i="45"/>
  <c r="BM11" i="45"/>
  <c r="BM41" i="45"/>
  <c r="BM7" i="45"/>
  <c r="BM6" i="45"/>
  <c r="BM32" i="45"/>
  <c r="BM20" i="45"/>
  <c r="BM51" i="45"/>
  <c r="BM19" i="45"/>
  <c r="BM37" i="45"/>
  <c r="BM30" i="45"/>
  <c r="BM46" i="45"/>
  <c r="BM29" i="45"/>
  <c r="BM17" i="45"/>
  <c r="BM13" i="45"/>
  <c r="BM50" i="45"/>
  <c r="BM14" i="45"/>
  <c r="BM10" i="45"/>
  <c r="BM12" i="45"/>
  <c r="BM40" i="45"/>
  <c r="BM33" i="45"/>
  <c r="BM15" i="45"/>
  <c r="BM27" i="45"/>
  <c r="BM34" i="45"/>
  <c r="BM48" i="45"/>
  <c r="BM43" i="45"/>
  <c r="BM44" i="45"/>
  <c r="BM31" i="45"/>
  <c r="BM23" i="45"/>
  <c r="BM5" i="45"/>
  <c r="BM35" i="45"/>
  <c r="BM18" i="45"/>
  <c r="BM24" i="45"/>
  <c r="BM47" i="45"/>
  <c r="BM4" i="45"/>
  <c r="BM22" i="45"/>
  <c r="BM45" i="45"/>
  <c r="BM49" i="45"/>
  <c r="BM26" i="45"/>
  <c r="BM16" i="45"/>
  <c r="BM25" i="45"/>
  <c r="BM42" i="45"/>
  <c r="BM9" i="45"/>
  <c r="BM36" i="45"/>
  <c r="BG232" i="46"/>
  <c r="CK232" i="46"/>
  <c r="DI232" i="46"/>
  <c r="ED227" i="46"/>
  <c r="CT229" i="46"/>
  <c r="AO226" i="46"/>
  <c r="CB228" i="46"/>
  <c r="FK228" i="46"/>
  <c r="CT233" i="46"/>
  <c r="AL232" i="46"/>
  <c r="Z233" i="46"/>
  <c r="AR233" i="46"/>
  <c r="CQ232" i="46"/>
  <c r="W232" i="46"/>
  <c r="BV232" i="46"/>
  <c r="BD228" i="46"/>
  <c r="BD227" i="46"/>
  <c r="BP227" i="46"/>
  <c r="CW226" i="46"/>
  <c r="DO228" i="46"/>
  <c r="DL228" i="46"/>
  <c r="EA229" i="46"/>
  <c r="BY227" i="46"/>
  <c r="EY228" i="46"/>
  <c r="EM227" i="46"/>
  <c r="ES226" i="46"/>
  <c r="BY233" i="46"/>
  <c r="CQ233" i="46"/>
  <c r="DF233" i="46"/>
  <c r="FE232" i="46"/>
  <c r="BS232" i="46"/>
  <c r="Z232" i="46"/>
  <c r="BV233" i="46"/>
  <c r="BM233" i="46"/>
  <c r="BM232" i="46"/>
  <c r="EY226" i="46"/>
  <c r="EP229" i="46"/>
  <c r="AO227" i="46"/>
  <c r="EY232" i="46"/>
  <c r="CE229" i="46"/>
  <c r="CK229" i="46"/>
  <c r="FK227" i="46"/>
  <c r="CB226" i="46"/>
  <c r="AO229" i="46"/>
  <c r="EM232" i="46"/>
  <c r="EA228" i="46"/>
  <c r="CZ228" i="46"/>
  <c r="CT227" i="46"/>
  <c r="EP228" i="46"/>
  <c r="FB227" i="46"/>
  <c r="EJ233" i="46"/>
  <c r="DU232" i="46"/>
  <c r="BS233" i="46"/>
  <c r="AC233" i="46"/>
  <c r="W228" i="46"/>
  <c r="FH226" i="46"/>
  <c r="BJ228" i="46"/>
  <c r="W226" i="46"/>
  <c r="BM228" i="46"/>
  <c r="CN229" i="46"/>
  <c r="AU229" i="46"/>
  <c r="BG226" i="46"/>
  <c r="DX227" i="46"/>
  <c r="BP229" i="46"/>
  <c r="DC226" i="46"/>
  <c r="DU229" i="46"/>
  <c r="FE233" i="46"/>
  <c r="DL233" i="46"/>
  <c r="CN233" i="46"/>
  <c r="BJ232" i="46"/>
  <c r="CE232" i="46"/>
  <c r="AC232" i="46"/>
  <c r="CB233" i="46"/>
  <c r="EJ232" i="46"/>
  <c r="AU232" i="46"/>
  <c r="AX233" i="46"/>
  <c r="EJ227" i="46"/>
  <c r="CT232" i="46"/>
  <c r="AR232" i="46"/>
  <c r="AI229" i="46"/>
  <c r="T227" i="46"/>
  <c r="EJ226" i="46"/>
  <c r="BM226" i="46"/>
  <c r="EM229" i="46"/>
  <c r="BA229" i="46"/>
  <c r="T228" i="46"/>
  <c r="CZ229" i="46"/>
  <c r="BA226" i="46"/>
  <c r="AF229" i="46"/>
  <c r="DO229" i="46"/>
  <c r="EG228" i="46"/>
  <c r="DI233" i="46"/>
  <c r="EM233" i="46"/>
  <c r="BD233" i="46"/>
  <c r="FH233" i="46"/>
  <c r="DF232" i="46"/>
  <c r="EV233" i="46"/>
  <c r="CH233" i="46"/>
  <c r="M147" i="3"/>
  <c r="AG138" i="3"/>
  <c r="M143" i="3"/>
  <c r="CE233" i="46"/>
  <c r="BA228" i="46"/>
  <c r="CZ226" i="46"/>
  <c r="AF227" i="46"/>
  <c r="AC227" i="46"/>
  <c r="BJ229" i="46"/>
  <c r="DF229" i="46"/>
  <c r="FB228" i="46"/>
  <c r="AX227" i="46"/>
  <c r="DC227" i="46"/>
  <c r="AU228" i="46"/>
  <c r="ED232" i="46"/>
  <c r="DI227" i="46"/>
  <c r="CK227" i="46"/>
  <c r="DF226" i="46"/>
  <c r="BJ227" i="46"/>
  <c r="ES228" i="46"/>
  <c r="DL229" i="46"/>
  <c r="EA232" i="46"/>
  <c r="CK237" i="46"/>
  <c r="AR237" i="46"/>
  <c r="BY237" i="46"/>
  <c r="EV236" i="46"/>
  <c r="EJ236" i="46"/>
  <c r="BJ236" i="46"/>
  <c r="AC237" i="46"/>
  <c r="DR237" i="46"/>
  <c r="AI237" i="46"/>
  <c r="AX236" i="46"/>
  <c r="AC236" i="46"/>
  <c r="EJ237" i="46"/>
  <c r="DO237" i="46"/>
  <c r="BM236" i="46"/>
  <c r="EP237" i="46"/>
  <c r="ES236" i="46"/>
  <c r="FE237" i="46"/>
  <c r="BD236" i="46"/>
  <c r="FK237" i="46"/>
  <c r="DC236" i="46"/>
  <c r="CQ236" i="46"/>
  <c r="DC237" i="46"/>
  <c r="BV237" i="46"/>
  <c r="CZ237" i="46"/>
  <c r="AL236" i="46"/>
  <c r="AF237" i="46"/>
  <c r="AO237" i="46"/>
  <c r="EG237" i="46"/>
  <c r="CH236" i="46"/>
  <c r="DL236" i="46"/>
  <c r="EV237" i="46"/>
  <c r="W236" i="46"/>
  <c r="FH237" i="46"/>
  <c r="AU237" i="46"/>
  <c r="DL237" i="46"/>
  <c r="FB236" i="46"/>
  <c r="EM237" i="46"/>
  <c r="AX237" i="46"/>
  <c r="AF236" i="46"/>
  <c r="T237" i="46"/>
  <c r="W237" i="46"/>
  <c r="BJ237" i="46"/>
  <c r="DU237" i="46"/>
  <c r="T236" i="46"/>
  <c r="CT236" i="46"/>
  <c r="BA237" i="46"/>
  <c r="DF236" i="46"/>
  <c r="Z237" i="46"/>
  <c r="BY236" i="46"/>
  <c r="AR236" i="46"/>
  <c r="EA237" i="46"/>
  <c r="BP237" i="46"/>
  <c r="AO236" i="46"/>
  <c r="DO236" i="46"/>
  <c r="BS236" i="46"/>
  <c r="ED236" i="46"/>
  <c r="BS237" i="46"/>
  <c r="Z236" i="46"/>
  <c r="DF237" i="46"/>
  <c r="CW237" i="46"/>
  <c r="CB237" i="46"/>
  <c r="BP236" i="46"/>
  <c r="CW236" i="46"/>
  <c r="FE236" i="46"/>
  <c r="BG237" i="46"/>
  <c r="CQ237" i="46"/>
  <c r="DI236" i="46"/>
  <c r="DU236" i="46"/>
  <c r="BD237" i="46"/>
  <c r="BM237" i="46"/>
  <c r="AI236" i="46"/>
  <c r="AU236" i="46"/>
  <c r="DX236" i="46"/>
  <c r="EM236" i="46"/>
  <c r="CB236" i="46"/>
  <c r="CN236" i="46"/>
  <c r="CK236" i="46"/>
  <c r="BG236" i="46"/>
  <c r="DR236" i="46"/>
  <c r="DX237" i="46"/>
  <c r="BA236" i="46"/>
  <c r="CT237" i="46"/>
  <c r="EY236" i="46"/>
  <c r="FB237" i="46"/>
  <c r="FH236" i="46"/>
  <c r="EY237" i="46"/>
  <c r="CN237" i="46"/>
  <c r="CE237" i="46"/>
  <c r="EG236" i="46"/>
  <c r="CH237" i="46"/>
  <c r="FK236" i="46"/>
  <c r="EA236" i="46"/>
  <c r="BV236" i="46"/>
  <c r="DI237" i="46"/>
  <c r="CZ236" i="46"/>
  <c r="EP236" i="46"/>
  <c r="AL237" i="46"/>
  <c r="CE236" i="46"/>
  <c r="ES237" i="46"/>
  <c r="ED237" i="46"/>
  <c r="EV227" i="46"/>
  <c r="DU227" i="46"/>
  <c r="CH229" i="46"/>
  <c r="AO228" i="46"/>
  <c r="T229" i="46"/>
  <c r="FE229" i="46"/>
  <c r="EJ229" i="46"/>
  <c r="CW232" i="46"/>
  <c r="AF233" i="46"/>
  <c r="EP244" i="46"/>
  <c r="CW244" i="46"/>
  <c r="AC244" i="46"/>
  <c r="EY244" i="46"/>
  <c r="EG244" i="46"/>
  <c r="FH244" i="46"/>
  <c r="BD244" i="46"/>
  <c r="CQ244" i="46"/>
  <c r="BM244" i="46"/>
  <c r="DL244" i="46"/>
  <c r="BY244" i="46"/>
  <c r="FK244" i="46"/>
  <c r="BS244" i="46"/>
  <c r="DC244" i="46"/>
  <c r="CN244" i="46"/>
  <c r="CK244" i="46"/>
  <c r="CB244" i="46"/>
  <c r="AR244" i="46"/>
  <c r="ED244" i="46"/>
  <c r="AU244" i="46"/>
  <c r="T244" i="46"/>
  <c r="DU244" i="46"/>
  <c r="FE244" i="46"/>
  <c r="DI244" i="46"/>
  <c r="DX244" i="46"/>
  <c r="AX244" i="46"/>
  <c r="BJ244" i="46"/>
  <c r="BP244" i="46"/>
  <c r="Z244" i="46"/>
  <c r="ES244" i="46"/>
  <c r="BA244" i="46"/>
  <c r="EV244" i="46"/>
  <c r="EM244" i="46"/>
  <c r="DF244" i="46"/>
  <c r="CE244" i="46"/>
  <c r="BV244" i="46"/>
  <c r="EA244" i="46"/>
  <c r="BG244" i="46"/>
  <c r="AI244" i="46"/>
  <c r="AL244" i="46"/>
  <c r="DR244" i="46"/>
  <c r="AO244" i="46"/>
  <c r="DO244" i="46"/>
  <c r="CH244" i="46"/>
  <c r="AF244" i="46"/>
  <c r="W244" i="46"/>
  <c r="CZ244" i="46"/>
  <c r="EJ244" i="46"/>
  <c r="FB244" i="46"/>
  <c r="CT244" i="46"/>
  <c r="EP227" i="46"/>
  <c r="DL227" i="46"/>
  <c r="EV226" i="46"/>
  <c r="AX232" i="46"/>
  <c r="EJ228" i="46"/>
  <c r="FE226" i="46"/>
  <c r="AL229" i="46"/>
  <c r="AR228" i="46"/>
  <c r="DC229" i="46"/>
  <c r="ES227" i="46"/>
  <c r="DI226" i="46"/>
  <c r="CW229" i="46"/>
  <c r="CQ226" i="46"/>
  <c r="DU228" i="46"/>
  <c r="BG228" i="46"/>
  <c r="DX228" i="46"/>
  <c r="FB233" i="46"/>
  <c r="CK233" i="46"/>
  <c r="DO233" i="46"/>
  <c r="EP233" i="46"/>
  <c r="DO232" i="46"/>
  <c r="BP233" i="46"/>
  <c r="BP232" i="46"/>
  <c r="DT147" i="3"/>
  <c r="M240" i="46"/>
  <c r="AU25" i="45"/>
  <c r="K247" i="46"/>
  <c r="C247" i="46"/>
  <c r="D5" i="48" s="1" a="1"/>
  <c r="D5" i="48" s="1"/>
  <c r="AU233" i="46"/>
  <c r="CH227" i="46"/>
  <c r="T233" i="46"/>
  <c r="CK228" i="46"/>
  <c r="W233" i="46"/>
  <c r="AX228" i="46"/>
  <c r="DU226" i="46"/>
  <c r="BY232" i="46"/>
  <c r="CZ227" i="46"/>
  <c r="EG229" i="46"/>
  <c r="AI228" i="46"/>
  <c r="BJ233" i="46"/>
  <c r="BG227" i="46"/>
  <c r="AI226" i="46"/>
  <c r="ED228" i="46"/>
  <c r="AI227" i="46"/>
  <c r="CT226" i="46"/>
  <c r="BM227" i="46"/>
  <c r="FH227" i="46"/>
  <c r="CW227" i="46"/>
  <c r="EY227" i="46"/>
  <c r="DR229" i="46"/>
  <c r="AC228" i="46"/>
  <c r="EM226" i="46"/>
  <c r="CW233" i="46"/>
  <c r="EG232" i="46"/>
  <c r="DU233" i="46"/>
  <c r="T232" i="46"/>
  <c r="ED233" i="46"/>
  <c r="CZ232" i="46"/>
  <c r="EV232" i="46"/>
  <c r="AO232" i="46"/>
  <c r="BA232" i="46"/>
  <c r="FB229" i="46"/>
  <c r="EP232" i="46"/>
  <c r="DR228" i="46"/>
  <c r="FB232" i="46"/>
  <c r="AU227" i="46"/>
  <c r="BS226" i="46"/>
  <c r="DC228" i="46"/>
  <c r="AR227" i="46"/>
  <c r="Z227" i="46"/>
  <c r="CH228" i="46"/>
  <c r="Z226" i="46"/>
  <c r="FK229" i="46"/>
  <c r="CN227" i="46"/>
  <c r="EA226" i="46"/>
  <c r="BD229" i="46"/>
  <c r="DC232" i="46"/>
  <c r="DC233" i="46"/>
  <c r="BA233" i="46"/>
  <c r="BG233" i="46"/>
  <c r="DL232" i="46"/>
  <c r="CH232" i="46"/>
  <c r="CN232" i="46"/>
  <c r="DX233" i="46"/>
  <c r="AI232" i="46"/>
  <c r="FK232" i="46"/>
  <c r="CH226" i="46"/>
  <c r="AL233" i="46"/>
  <c r="BV227" i="46"/>
  <c r="CN228" i="46"/>
  <c r="BS227" i="46"/>
  <c r="EG227" i="46"/>
  <c r="DX229" i="46"/>
  <c r="EM228" i="46"/>
  <c r="AF228" i="46"/>
  <c r="FE228" i="46"/>
  <c r="AC226" i="46"/>
  <c r="FH228" i="46"/>
  <c r="AR229" i="46"/>
  <c r="FH232" i="46"/>
  <c r="DR232" i="46"/>
  <c r="CZ233" i="46"/>
  <c r="DR233" i="46"/>
  <c r="DX232" i="46"/>
  <c r="EA233" i="46"/>
  <c r="DR226" i="46"/>
  <c r="DI228" i="46"/>
  <c r="W229" i="46"/>
  <c r="CK226" i="46"/>
  <c r="Z228" i="46"/>
  <c r="FH229" i="46"/>
  <c r="CQ228" i="46"/>
  <c r="CE228" i="46"/>
  <c r="FB226" i="46"/>
  <c r="BY228" i="46"/>
  <c r="DL226" i="46"/>
  <c r="BJ226" i="46"/>
  <c r="BY229" i="46"/>
  <c r="BP226" i="46"/>
  <c r="EV228" i="46"/>
  <c r="DX226" i="46"/>
  <c r="AL226" i="46"/>
  <c r="CT228" i="46"/>
  <c r="BM229" i="46"/>
  <c r="CB227" i="46"/>
  <c r="BY226" i="46"/>
  <c r="AU226" i="46"/>
  <c r="ES229" i="46"/>
  <c r="BA227" i="46"/>
  <c r="CB229" i="46"/>
  <c r="BS228" i="46"/>
  <c r="CN226" i="46"/>
  <c r="DF228" i="46"/>
  <c r="EV229" i="46"/>
  <c r="BV229" i="46"/>
  <c r="AR226" i="46"/>
  <c r="BV226" i="46"/>
  <c r="Z229" i="46"/>
  <c r="AX226" i="46"/>
  <c r="AL228" i="46"/>
  <c r="EY229" i="46"/>
  <c r="CE227" i="46"/>
  <c r="BD226" i="46"/>
  <c r="FE227" i="46"/>
  <c r="DF227" i="46"/>
  <c r="ED229" i="46"/>
  <c r="FK233" i="46"/>
  <c r="DF224" i="46"/>
  <c r="CZ218" i="46"/>
  <c r="DO218" i="46"/>
  <c r="AU224" i="46"/>
  <c r="AX218" i="46"/>
  <c r="AI224" i="46"/>
  <c r="BS224" i="46"/>
  <c r="CT224" i="46"/>
  <c r="AO224" i="46"/>
  <c r="FB218" i="46"/>
  <c r="Z224" i="46"/>
  <c r="AI218" i="46"/>
  <c r="DI224" i="46"/>
  <c r="DR224" i="46"/>
  <c r="EJ218" i="46"/>
  <c r="FH218" i="46"/>
  <c r="DO224" i="46"/>
  <c r="AR218" i="46"/>
  <c r="EP218" i="46"/>
  <c r="FE218" i="46"/>
  <c r="CQ224" i="46"/>
  <c r="W224" i="46"/>
  <c r="ES224" i="46"/>
  <c r="AU218" i="46"/>
  <c r="BP218" i="46"/>
  <c r="DL224" i="46"/>
  <c r="FB224" i="46"/>
  <c r="DU224" i="46"/>
  <c r="CW218" i="46"/>
  <c r="CH218" i="46"/>
  <c r="BJ224" i="46"/>
  <c r="AF224" i="46"/>
  <c r="CB224" i="46"/>
  <c r="BJ218" i="46"/>
  <c r="BY224" i="46"/>
  <c r="DX224" i="46"/>
  <c r="AR224" i="46"/>
  <c r="DR218" i="46"/>
  <c r="DU218" i="46"/>
  <c r="W218" i="46"/>
  <c r="BV218" i="46"/>
  <c r="ED218" i="46"/>
  <c r="BY218" i="46"/>
  <c r="M218" i="46"/>
  <c r="DF218" i="46"/>
  <c r="BS218" i="46"/>
  <c r="EG224" i="46"/>
  <c r="CE224" i="46"/>
  <c r="BM224" i="46"/>
  <c r="DC224" i="46"/>
  <c r="DL218" i="46"/>
  <c r="ED224" i="46"/>
  <c r="BA218" i="46"/>
  <c r="EP224" i="46"/>
  <c r="BG218" i="46"/>
  <c r="CK218" i="46"/>
  <c r="CQ218" i="46"/>
  <c r="ES218" i="46"/>
  <c r="EA218" i="46"/>
  <c r="AF218" i="46"/>
  <c r="EM218" i="46"/>
  <c r="BD218" i="46"/>
  <c r="AO218" i="46"/>
  <c r="FK218" i="46"/>
  <c r="AL218" i="46"/>
  <c r="CT218" i="46"/>
  <c r="AL224" i="46"/>
  <c r="EY224" i="46"/>
  <c r="BG224" i="46"/>
  <c r="BM218" i="46"/>
  <c r="EJ224" i="46"/>
  <c r="DI218" i="46"/>
  <c r="EV218" i="46"/>
  <c r="DX218" i="46"/>
  <c r="CW224" i="46"/>
  <c r="T218" i="46"/>
  <c r="CN218" i="46"/>
  <c r="AX224" i="46"/>
  <c r="CB218" i="46"/>
  <c r="Z218" i="46"/>
  <c r="AC218" i="46"/>
  <c r="DC218" i="46"/>
  <c r="CZ224" i="46"/>
  <c r="BA224" i="46"/>
  <c r="CE218" i="46"/>
  <c r="FK224" i="46"/>
  <c r="EV224" i="46"/>
  <c r="BP224" i="46"/>
  <c r="BV224" i="46"/>
  <c r="EY218" i="46"/>
  <c r="EG218" i="46"/>
  <c r="FH224" i="46"/>
  <c r="CN224" i="46"/>
  <c r="EM224" i="46"/>
  <c r="T224" i="46"/>
  <c r="CK224" i="46"/>
  <c r="AC224" i="46"/>
  <c r="EA224" i="46"/>
  <c r="FE224" i="46"/>
  <c r="CH224" i="46"/>
  <c r="BD224" i="46"/>
  <c r="BX65" i="3"/>
  <c r="BX60" i="3"/>
  <c r="BX58" i="3"/>
  <c r="BX68" i="3"/>
  <c r="BX62" i="3"/>
  <c r="BY63" i="3" s="1"/>
  <c r="AF234" i="46" l="1"/>
  <c r="CZ238" i="46"/>
  <c r="DI238" i="46"/>
  <c r="ES238" i="46"/>
  <c r="CQ234" i="46"/>
  <c r="ES234" i="46"/>
  <c r="FB234" i="46"/>
  <c r="CB234" i="46"/>
  <c r="EG234" i="46"/>
  <c r="EY234" i="46"/>
  <c r="AO234" i="46"/>
  <c r="BV238" i="46"/>
  <c r="DU230" i="46"/>
  <c r="EV234" i="46"/>
  <c r="DF234" i="46"/>
  <c r="DU245" i="46"/>
  <c r="CE245" i="46"/>
  <c r="AU245" i="46"/>
  <c r="CZ245" i="46"/>
  <c r="AF245" i="46"/>
  <c r="BA245" i="46"/>
  <c r="CB245" i="46"/>
  <c r="AC245" i="46"/>
  <c r="BY234" i="46"/>
  <c r="CH245" i="46"/>
  <c r="ES245" i="46"/>
  <c r="CK245" i="46"/>
  <c r="CW245" i="46"/>
  <c r="DO245" i="46"/>
  <c r="Z245" i="46"/>
  <c r="CN245" i="46"/>
  <c r="EP245" i="46"/>
  <c r="BV245" i="46"/>
  <c r="B5" i="50" a="1"/>
  <c r="B5" i="50" s="1"/>
  <c r="A5" i="48" a="1"/>
  <c r="A5" i="48" s="1"/>
  <c r="B5" i="48" s="1"/>
  <c r="A5" i="50" a="1"/>
  <c r="A5" i="50" s="1"/>
  <c r="H2" i="50" s="1" a="1"/>
  <c r="BD245" i="46"/>
  <c r="DF245" i="46"/>
  <c r="EG245" i="46"/>
  <c r="W245" i="46"/>
  <c r="AO245" i="46"/>
  <c r="BP245" i="46"/>
  <c r="DC245" i="46"/>
  <c r="BG230" i="46"/>
  <c r="DO230" i="46"/>
  <c r="DR245" i="46"/>
  <c r="BJ245" i="46"/>
  <c r="BS245" i="46"/>
  <c r="AU234" i="46"/>
  <c r="CQ245" i="46"/>
  <c r="FH245" i="46"/>
  <c r="ED245" i="46"/>
  <c r="AR245" i="46"/>
  <c r="AL245" i="46"/>
  <c r="FK245" i="46"/>
  <c r="EM234" i="46"/>
  <c r="T245" i="46"/>
  <c r="CN234" i="46"/>
  <c r="EJ245" i="46"/>
  <c r="EV245" i="46"/>
  <c r="AX245" i="46"/>
  <c r="DX245" i="46"/>
  <c r="FH234" i="46"/>
  <c r="FK234" i="46"/>
  <c r="CZ234" i="46"/>
  <c r="BG245" i="46"/>
  <c r="DI245" i="46"/>
  <c r="DL245" i="46"/>
  <c r="FK238" i="46"/>
  <c r="FE234" i="46"/>
  <c r="CT245" i="46"/>
  <c r="FB245" i="46"/>
  <c r="DL234" i="46"/>
  <c r="EM245" i="46"/>
  <c r="EY245" i="46"/>
  <c r="AI245" i="46"/>
  <c r="BY245" i="46"/>
  <c r="AI234" i="46"/>
  <c r="EA245" i="46"/>
  <c r="FE245" i="46"/>
  <c r="BM245" i="46"/>
  <c r="B4" i="48"/>
  <c r="DI234" i="46"/>
  <c r="S52" i="51"/>
  <c r="S15" i="51"/>
  <c r="S27" i="51"/>
  <c r="S55" i="51"/>
  <c r="S51" i="51"/>
  <c r="S26" i="51"/>
  <c r="S41" i="51"/>
  <c r="S25" i="51"/>
  <c r="S28" i="51"/>
  <c r="S36" i="51"/>
  <c r="S21" i="51"/>
  <c r="S10" i="51"/>
  <c r="S48" i="51"/>
  <c r="S34" i="51"/>
  <c r="S49" i="51"/>
  <c r="S40" i="51"/>
  <c r="S54" i="51"/>
  <c r="S47" i="51"/>
  <c r="S9" i="51"/>
  <c r="S19" i="51"/>
  <c r="S23" i="51"/>
  <c r="S45" i="51"/>
  <c r="S30" i="51"/>
  <c r="S33" i="51"/>
  <c r="S31" i="51"/>
  <c r="S39" i="51"/>
  <c r="S11" i="51"/>
  <c r="S12" i="51"/>
  <c r="S20" i="51"/>
  <c r="S8" i="51"/>
  <c r="S43" i="51"/>
  <c r="S24" i="51"/>
  <c r="S16" i="51"/>
  <c r="S46" i="51"/>
  <c r="S22" i="51"/>
  <c r="S44" i="51"/>
  <c r="S29" i="51"/>
  <c r="S13" i="51"/>
  <c r="S18" i="51"/>
  <c r="S37" i="51"/>
  <c r="S35" i="51"/>
  <c r="S42" i="51"/>
  <c r="S38" i="51"/>
  <c r="S14" i="51"/>
  <c r="S32" i="51"/>
  <c r="S53" i="51"/>
  <c r="S50" i="51"/>
  <c r="S17" i="51"/>
  <c r="CH230" i="46"/>
  <c r="FK230" i="46"/>
  <c r="EY230" i="46"/>
  <c r="BP234" i="46"/>
  <c r="DX238" i="46"/>
  <c r="CT238" i="46"/>
  <c r="CQ230" i="46"/>
  <c r="CB238" i="46"/>
  <c r="BV234" i="46"/>
  <c r="M230" i="46"/>
  <c r="CW230" i="46"/>
  <c r="AC230" i="46"/>
  <c r="DI230" i="46"/>
  <c r="EP234" i="46"/>
  <c r="BD234" i="46"/>
  <c r="BS230" i="46"/>
  <c r="AL234" i="46"/>
  <c r="BA21" i="45"/>
  <c r="AG150" i="3"/>
  <c r="M250" i="46"/>
  <c r="T234" i="46"/>
  <c r="CB230" i="46"/>
  <c r="DR238" i="46"/>
  <c r="BM234" i="46"/>
  <c r="CH234" i="46"/>
  <c r="DR230" i="46"/>
  <c r="DF230" i="46"/>
  <c r="EG230" i="46"/>
  <c r="EJ234" i="46"/>
  <c r="CN230" i="46"/>
  <c r="ED234" i="46"/>
  <c r="Z238" i="46"/>
  <c r="DL238" i="46"/>
  <c r="DX234" i="46"/>
  <c r="BA234" i="46"/>
  <c r="AI230" i="46"/>
  <c r="CK234" i="46"/>
  <c r="FH238" i="46"/>
  <c r="AI238" i="46"/>
  <c r="CH238" i="46"/>
  <c r="AC234" i="46"/>
  <c r="R26" i="51"/>
  <c r="R54" i="51"/>
  <c r="R32" i="51"/>
  <c r="R37" i="51"/>
  <c r="R10" i="51"/>
  <c r="R52" i="51"/>
  <c r="R34" i="51"/>
  <c r="R44" i="51"/>
  <c r="R31" i="51"/>
  <c r="R35" i="51"/>
  <c r="R19" i="51"/>
  <c r="R36" i="51"/>
  <c r="R16" i="51"/>
  <c r="R39" i="51"/>
  <c r="R23" i="51"/>
  <c r="R30" i="51"/>
  <c r="R42" i="51"/>
  <c r="R33" i="51"/>
  <c r="R53" i="51"/>
  <c r="R28" i="51"/>
  <c r="R51" i="51"/>
  <c r="R43" i="51"/>
  <c r="R49" i="51"/>
  <c r="R47" i="51"/>
  <c r="R22" i="51"/>
  <c r="R40" i="51"/>
  <c r="R29" i="51"/>
  <c r="R13" i="51"/>
  <c r="R38" i="51"/>
  <c r="R8" i="51"/>
  <c r="R17" i="51"/>
  <c r="R15" i="51"/>
  <c r="R27" i="51"/>
  <c r="R12" i="51"/>
  <c r="R18" i="51"/>
  <c r="R55" i="51"/>
  <c r="R41" i="51"/>
  <c r="R48" i="51"/>
  <c r="R14" i="51"/>
  <c r="R9" i="51"/>
  <c r="R21" i="51"/>
  <c r="R24" i="51"/>
  <c r="R11" i="51"/>
  <c r="R25" i="51"/>
  <c r="R45" i="51"/>
  <c r="R20" i="51"/>
  <c r="R46" i="51"/>
  <c r="R50" i="51"/>
  <c r="BG234" i="46"/>
  <c r="EJ230" i="46"/>
  <c r="AU238" i="46"/>
  <c r="CE238" i="46"/>
  <c r="CE234" i="46"/>
  <c r="FE230" i="46"/>
  <c r="AX234" i="46"/>
  <c r="FH230" i="46"/>
  <c r="DO238" i="46"/>
  <c r="AF230" i="46"/>
  <c r="EM230" i="46"/>
  <c r="BA238" i="46"/>
  <c r="AO238" i="46"/>
  <c r="AL238" i="46"/>
  <c r="AC238" i="46"/>
  <c r="CZ230" i="46"/>
  <c r="ED230" i="46"/>
  <c r="BS234" i="46"/>
  <c r="AO230" i="46"/>
  <c r="ES230" i="46"/>
  <c r="AR230" i="46"/>
  <c r="T230" i="46"/>
  <c r="W230" i="46"/>
  <c r="EP230" i="46"/>
  <c r="AX230" i="46"/>
  <c r="DU238" i="46"/>
  <c r="EV230" i="46"/>
  <c r="DO234" i="46"/>
  <c r="EM238" i="46"/>
  <c r="W238" i="46"/>
  <c r="BD238" i="46"/>
  <c r="EV238" i="46"/>
  <c r="ED238" i="46"/>
  <c r="BM238" i="46"/>
  <c r="EA234" i="46"/>
  <c r="CW234" i="46"/>
  <c r="EY238" i="46"/>
  <c r="BS238" i="46"/>
  <c r="Z230" i="46"/>
  <c r="BA230" i="46"/>
  <c r="Z234" i="46"/>
  <c r="BY230" i="46"/>
  <c r="BP230" i="46"/>
  <c r="AR247" i="46"/>
  <c r="AR248" i="46" s="1"/>
  <c r="AO247" i="46"/>
  <c r="AO248" i="46" s="1"/>
  <c r="EY247" i="46"/>
  <c r="EY248" i="46" s="1"/>
  <c r="EP247" i="46"/>
  <c r="EP248" i="46" s="1"/>
  <c r="CQ247" i="46"/>
  <c r="CQ248" i="46" s="1"/>
  <c r="AC247" i="46"/>
  <c r="AC248" i="46" s="1"/>
  <c r="CB247" i="46"/>
  <c r="CB248" i="46" s="1"/>
  <c r="FK247" i="46"/>
  <c r="FK248" i="46" s="1"/>
  <c r="BD247" i="46"/>
  <c r="BD248" i="46" s="1"/>
  <c r="AL247" i="46"/>
  <c r="AL248" i="46" s="1"/>
  <c r="ED247" i="46"/>
  <c r="ED248" i="46" s="1"/>
  <c r="BJ247" i="46"/>
  <c r="BJ248" i="46" s="1"/>
  <c r="CH247" i="46"/>
  <c r="CH248" i="46" s="1"/>
  <c r="FH247" i="46"/>
  <c r="FH248" i="46" s="1"/>
  <c r="DU247" i="46"/>
  <c r="DU248" i="46" s="1"/>
  <c r="EG247" i="46"/>
  <c r="EG248" i="46" s="1"/>
  <c r="BA247" i="46"/>
  <c r="BA248" i="46" s="1"/>
  <c r="AF247" i="46"/>
  <c r="AF248" i="46" s="1"/>
  <c r="CZ247" i="46"/>
  <c r="CZ248" i="46" s="1"/>
  <c r="CW247" i="46"/>
  <c r="CW248" i="46" s="1"/>
  <c r="W247" i="46"/>
  <c r="W248" i="46" s="1"/>
  <c r="EJ247" i="46"/>
  <c r="EJ248" i="46" s="1"/>
  <c r="AX247" i="46"/>
  <c r="AX248" i="46" s="1"/>
  <c r="CK247" i="46"/>
  <c r="CK248" i="46" s="1"/>
  <c r="CT247" i="46"/>
  <c r="CT248" i="46" s="1"/>
  <c r="AI247" i="46"/>
  <c r="AI248" i="46" s="1"/>
  <c r="BV247" i="46"/>
  <c r="BV248" i="46" s="1"/>
  <c r="T247" i="46"/>
  <c r="T248" i="46" s="1"/>
  <c r="BY247" i="46"/>
  <c r="BY248" i="46" s="1"/>
  <c r="BS247" i="46"/>
  <c r="BS248" i="46" s="1"/>
  <c r="DR247" i="46"/>
  <c r="DR248" i="46" s="1"/>
  <c r="FB247" i="46"/>
  <c r="FB248" i="46" s="1"/>
  <c r="DC247" i="46"/>
  <c r="DC248" i="46" s="1"/>
  <c r="CE247" i="46"/>
  <c r="CE248" i="46" s="1"/>
  <c r="DF247" i="46"/>
  <c r="DF248" i="46" s="1"/>
  <c r="DO247" i="46"/>
  <c r="DO248" i="46" s="1"/>
  <c r="AU247" i="46"/>
  <c r="AU248" i="46" s="1"/>
  <c r="FE247" i="46"/>
  <c r="FE248" i="46" s="1"/>
  <c r="BM247" i="46"/>
  <c r="BM248" i="46" s="1"/>
  <c r="CN247" i="46"/>
  <c r="CN248" i="46" s="1"/>
  <c r="DL247" i="46"/>
  <c r="DL248" i="46" s="1"/>
  <c r="ES247" i="46"/>
  <c r="ES248" i="46" s="1"/>
  <c r="BP247" i="46"/>
  <c r="BP248" i="46" s="1"/>
  <c r="EV247" i="46"/>
  <c r="EV248" i="46" s="1"/>
  <c r="EM247" i="46"/>
  <c r="EM248" i="46" s="1"/>
  <c r="DI247" i="46"/>
  <c r="DI248" i="46" s="1"/>
  <c r="Z247" i="46"/>
  <c r="Z248" i="46" s="1"/>
  <c r="EA247" i="46"/>
  <c r="EA248" i="46" s="1"/>
  <c r="BG247" i="46"/>
  <c r="BG248" i="46" s="1"/>
  <c r="DX247" i="46"/>
  <c r="DX248" i="46" s="1"/>
  <c r="AX238" i="46"/>
  <c r="DC234" i="46"/>
  <c r="DR234" i="46"/>
  <c r="BM230" i="46"/>
  <c r="BJ230" i="46"/>
  <c r="BD240" i="46"/>
  <c r="AL240" i="46"/>
  <c r="CT240" i="46"/>
  <c r="EG241" i="46"/>
  <c r="BP240" i="46"/>
  <c r="AX240" i="46"/>
  <c r="AR240" i="46"/>
  <c r="BA240" i="46"/>
  <c r="BV241" i="46"/>
  <c r="BS240" i="46"/>
  <c r="DC240" i="46"/>
  <c r="FE240" i="46"/>
  <c r="FE241" i="46"/>
  <c r="AR241" i="46"/>
  <c r="AO241" i="46"/>
  <c r="DU240" i="46"/>
  <c r="CZ240" i="46"/>
  <c r="AC241" i="46"/>
  <c r="DC241" i="46"/>
  <c r="BM241" i="46"/>
  <c r="AF240" i="46"/>
  <c r="BG240" i="46"/>
  <c r="DX240" i="46"/>
  <c r="BA241" i="46"/>
  <c r="CZ241" i="46"/>
  <c r="T240" i="46"/>
  <c r="CN240" i="46"/>
  <c r="AU241" i="46"/>
  <c r="AC240" i="46"/>
  <c r="EP240" i="46"/>
  <c r="EA240" i="46"/>
  <c r="DX241" i="46"/>
  <c r="DF241" i="46"/>
  <c r="DO240" i="46"/>
  <c r="BY241" i="46"/>
  <c r="AL241" i="46"/>
  <c r="DO241" i="46"/>
  <c r="AO240" i="46"/>
  <c r="CW240" i="46"/>
  <c r="CE240" i="46"/>
  <c r="CQ240" i="46"/>
  <c r="BD241" i="46"/>
  <c r="BJ241" i="46"/>
  <c r="BJ240" i="46"/>
  <c r="FK240" i="46"/>
  <c r="W240" i="46"/>
  <c r="DL240" i="46"/>
  <c r="DU241" i="46"/>
  <c r="EY241" i="46"/>
  <c r="AI240" i="46"/>
  <c r="BS241" i="46"/>
  <c r="AF241" i="46"/>
  <c r="BV240" i="46"/>
  <c r="T241" i="46"/>
  <c r="DI241" i="46"/>
  <c r="AX241" i="46"/>
  <c r="EV240" i="46"/>
  <c r="CH240" i="46"/>
  <c r="EP241" i="46"/>
  <c r="EA241" i="46"/>
  <c r="EY240" i="46"/>
  <c r="CB240" i="46"/>
  <c r="DR241" i="46"/>
  <c r="CK241" i="46"/>
  <c r="AU240" i="46"/>
  <c r="EG240" i="46"/>
  <c r="DI240" i="46"/>
  <c r="DR240" i="46"/>
  <c r="BM240" i="46"/>
  <c r="CT241" i="46"/>
  <c r="FH240" i="46"/>
  <c r="ES241" i="46"/>
  <c r="AI241" i="46"/>
  <c r="CE241" i="46"/>
  <c r="DL241" i="46"/>
  <c r="BP241" i="46"/>
  <c r="EV241" i="46"/>
  <c r="ED241" i="46"/>
  <c r="EJ240" i="46"/>
  <c r="EJ241" i="46"/>
  <c r="FB241" i="46"/>
  <c r="FK241" i="46"/>
  <c r="EM240" i="46"/>
  <c r="CH241" i="46"/>
  <c r="DF240" i="46"/>
  <c r="FB240" i="46"/>
  <c r="FH241" i="46"/>
  <c r="BY240" i="46"/>
  <c r="ED240" i="46"/>
  <c r="Z241" i="46"/>
  <c r="Z240" i="46"/>
  <c r="BG241" i="46"/>
  <c r="CN241" i="46"/>
  <c r="ES240" i="46"/>
  <c r="CQ241" i="46"/>
  <c r="CB241" i="46"/>
  <c r="CK240" i="46"/>
  <c r="EM241" i="46"/>
  <c r="W241" i="46"/>
  <c r="CW241" i="46"/>
  <c r="EA238" i="46"/>
  <c r="BG238" i="46"/>
  <c r="FE238" i="46"/>
  <c r="AR238" i="46"/>
  <c r="FB238" i="46"/>
  <c r="AR234" i="46"/>
  <c r="T238" i="46"/>
  <c r="M238" i="46"/>
  <c r="CK230" i="46"/>
  <c r="AU230" i="46"/>
  <c r="EA230" i="46"/>
  <c r="BJ234" i="46"/>
  <c r="CT230" i="46"/>
  <c r="DL230" i="46"/>
  <c r="CK238" i="46"/>
  <c r="CW238" i="46"/>
  <c r="BY238" i="46"/>
  <c r="CQ238" i="46"/>
  <c r="CT234" i="46"/>
  <c r="CN238" i="46"/>
  <c r="BP238" i="46"/>
  <c r="DC238" i="46"/>
  <c r="BJ238" i="46"/>
  <c r="DC230" i="46"/>
  <c r="EP238" i="46"/>
  <c r="AF238" i="46"/>
  <c r="BD230" i="46"/>
  <c r="CE230" i="46"/>
  <c r="DX230" i="46"/>
  <c r="FB230" i="46"/>
  <c r="EG238" i="46"/>
  <c r="DF238" i="46"/>
  <c r="EJ238" i="46"/>
  <c r="DU234" i="46"/>
  <c r="W234" i="46"/>
  <c r="BV230" i="46"/>
  <c r="AL230" i="46"/>
  <c r="BY69" i="3"/>
  <c r="BY66" i="3"/>
  <c r="BY65" i="3"/>
  <c r="BY62" i="3"/>
  <c r="BY68" i="3"/>
  <c r="BY61" i="3"/>
  <c r="BY58" i="3"/>
  <c r="BY67" i="3"/>
  <c r="BY64" i="3"/>
  <c r="BY60" i="3"/>
  <c r="BY59" i="3"/>
  <c r="CQ242" i="46" l="1"/>
  <c r="G2" i="48" a="1"/>
  <c r="G2" i="48" s="1"/>
  <c r="AG35" i="51" a="1"/>
  <c r="AG35" i="51" s="1"/>
  <c r="AO35" i="51" s="1"/>
  <c r="AO58" i="51"/>
  <c r="AO55" i="51"/>
  <c r="AO64" i="51"/>
  <c r="AO60" i="51"/>
  <c r="AO56" i="51"/>
  <c r="AO59" i="51"/>
  <c r="W242" i="46"/>
  <c r="AO51" i="51"/>
  <c r="AO54" i="51"/>
  <c r="AO65" i="51"/>
  <c r="AO66" i="51"/>
  <c r="H2" i="50"/>
  <c r="AO50" i="51"/>
  <c r="AO61" i="51"/>
  <c r="B6" i="50" a="1"/>
  <c r="B6" i="50" s="1"/>
  <c r="H3" i="50" s="1" a="1"/>
  <c r="H3" i="50" s="1"/>
  <c r="C6" i="48" a="1"/>
  <c r="C6" i="48" s="1"/>
  <c r="B6" i="48" s="1"/>
  <c r="G3" i="48" s="1" a="1"/>
  <c r="G3" i="48" s="1"/>
  <c r="AO49" i="51"/>
  <c r="AO46" i="51"/>
  <c r="AO53" i="51"/>
  <c r="AO57" i="51"/>
  <c r="AO48" i="51"/>
  <c r="AO62" i="51"/>
  <c r="AO47" i="51"/>
  <c r="AO63" i="51"/>
  <c r="AO52" i="51"/>
  <c r="EJ242" i="46"/>
  <c r="DX242" i="46"/>
  <c r="AI242" i="46"/>
  <c r="BA242" i="46"/>
  <c r="CE250" i="46"/>
  <c r="CE259" i="46" s="1"/>
  <c r="BG250" i="46"/>
  <c r="BG259" i="46" s="1"/>
  <c r="EP250" i="46"/>
  <c r="EP259" i="46" s="1"/>
  <c r="DO250" i="46"/>
  <c r="T250" i="46"/>
  <c r="S266" i="46" s="1"/>
  <c r="EV250" i="46"/>
  <c r="CB250" i="46"/>
  <c r="BD250" i="46"/>
  <c r="Z250" i="46"/>
  <c r="Z259" i="46" s="1"/>
  <c r="EJ250" i="46"/>
  <c r="ES250" i="46"/>
  <c r="FB250" i="46"/>
  <c r="FB259" i="46" s="1"/>
  <c r="CH250" i="46"/>
  <c r="CH259" i="46" s="1"/>
  <c r="DF250" i="46"/>
  <c r="EG250" i="46"/>
  <c r="EG259" i="46" s="1"/>
  <c r="CK250" i="46"/>
  <c r="DI250" i="46"/>
  <c r="DI259" i="46" s="1"/>
  <c r="AI250" i="46"/>
  <c r="CT250" i="46"/>
  <c r="CT259" i="46" s="1"/>
  <c r="BP250" i="46"/>
  <c r="BP259" i="46" s="1"/>
  <c r="AF250" i="46"/>
  <c r="AF259" i="46" s="1"/>
  <c r="FE250" i="46"/>
  <c r="FE259" i="46" s="1"/>
  <c r="CZ250" i="46"/>
  <c r="DU250" i="46"/>
  <c r="CQ250" i="46"/>
  <c r="CQ259" i="46" s="1"/>
  <c r="CN250" i="46"/>
  <c r="CN259" i="46" s="1"/>
  <c r="EM250" i="46"/>
  <c r="EM259" i="46" s="1"/>
  <c r="AL250" i="46"/>
  <c r="AL259" i="46" s="1"/>
  <c r="AR250" i="46"/>
  <c r="AX250" i="46"/>
  <c r="BJ250" i="46"/>
  <c r="BJ259" i="46" s="1"/>
  <c r="EA250" i="46"/>
  <c r="EA259" i="46" s="1"/>
  <c r="AO250" i="46"/>
  <c r="AO259" i="46" s="1"/>
  <c r="BA250" i="46"/>
  <c r="BM250" i="46"/>
  <c r="DR250" i="46"/>
  <c r="FH250" i="46"/>
  <c r="FK250" i="46"/>
  <c r="DL250" i="46"/>
  <c r="CW250" i="46"/>
  <c r="CW259" i="46" s="1"/>
  <c r="BV250" i="46"/>
  <c r="BV259" i="46" s="1"/>
  <c r="BS250" i="46"/>
  <c r="BS259" i="46" s="1"/>
  <c r="BY250" i="46"/>
  <c r="AU250" i="46"/>
  <c r="W250" i="46"/>
  <c r="EY250" i="46"/>
  <c r="EY259" i="46" s="1"/>
  <c r="DC250" i="46"/>
  <c r="DC259" i="46" s="1"/>
  <c r="DX250" i="46"/>
  <c r="DX259" i="46" s="1"/>
  <c r="ED250" i="46"/>
  <c r="AC250" i="46"/>
  <c r="AC259" i="46" s="1"/>
  <c r="BO31" i="45"/>
  <c r="BL31" i="45" s="1"/>
  <c r="BK31" i="45" s="1"/>
  <c r="BO20" i="45"/>
  <c r="BL20" i="45" s="1"/>
  <c r="BK20" i="45" s="1"/>
  <c r="BO42" i="45"/>
  <c r="BL42" i="45" s="1"/>
  <c r="BK42" i="45" s="1"/>
  <c r="BO5" i="45"/>
  <c r="BL5" i="45" s="1"/>
  <c r="BK5" i="45" s="1"/>
  <c r="BO7" i="45"/>
  <c r="BL7" i="45" s="1"/>
  <c r="BK7" i="45" s="1"/>
  <c r="BO45" i="45"/>
  <c r="BL45" i="45" s="1"/>
  <c r="BK45" i="45" s="1"/>
  <c r="BO24" i="45"/>
  <c r="BL24" i="45" s="1"/>
  <c r="BK24" i="45" s="1"/>
  <c r="BO44" i="45"/>
  <c r="BL44" i="45" s="1"/>
  <c r="BK44" i="45" s="1"/>
  <c r="BO43" i="45"/>
  <c r="BL43" i="45" s="1"/>
  <c r="BK43" i="45" s="1"/>
  <c r="BO37" i="45"/>
  <c r="BL37" i="45" s="1"/>
  <c r="BK37" i="45" s="1"/>
  <c r="BO49" i="45"/>
  <c r="BL49" i="45" s="1"/>
  <c r="BK49" i="45" s="1"/>
  <c r="BO16" i="45"/>
  <c r="BL16" i="45" s="1"/>
  <c r="BK16" i="45" s="1"/>
  <c r="BO11" i="45"/>
  <c r="BL11" i="45" s="1"/>
  <c r="BK11" i="45" s="1"/>
  <c r="BO33" i="45"/>
  <c r="BL33" i="45" s="1"/>
  <c r="BK33" i="45" s="1"/>
  <c r="BO39" i="45"/>
  <c r="BL39" i="45" s="1"/>
  <c r="BK39" i="45" s="1"/>
  <c r="BO28" i="45"/>
  <c r="BL28" i="45" s="1"/>
  <c r="BK28" i="45" s="1"/>
  <c r="BO18" i="45"/>
  <c r="BL18" i="45" s="1"/>
  <c r="BK18" i="45" s="1"/>
  <c r="BO14" i="45"/>
  <c r="BL14" i="45" s="1"/>
  <c r="BK14" i="45" s="1"/>
  <c r="BO32" i="45"/>
  <c r="BL32" i="45" s="1"/>
  <c r="BK32" i="45" s="1"/>
  <c r="BO47" i="45"/>
  <c r="BL47" i="45" s="1"/>
  <c r="BK47" i="45" s="1"/>
  <c r="BO19" i="45"/>
  <c r="BL19" i="45" s="1"/>
  <c r="BK19" i="45" s="1"/>
  <c r="BO41" i="45"/>
  <c r="BL41" i="45" s="1"/>
  <c r="BK41" i="45" s="1"/>
  <c r="BO36" i="45"/>
  <c r="BL36" i="45" s="1"/>
  <c r="BK36" i="45" s="1"/>
  <c r="BO12" i="45"/>
  <c r="BL12" i="45" s="1"/>
  <c r="BK12" i="45" s="1"/>
  <c r="BO9" i="45"/>
  <c r="BL9" i="45" s="1"/>
  <c r="BK9" i="45" s="1"/>
  <c r="BO38" i="45"/>
  <c r="BL38" i="45" s="1"/>
  <c r="BK38" i="45" s="1"/>
  <c r="BO17" i="45"/>
  <c r="BL17" i="45" s="1"/>
  <c r="BK17" i="45" s="1"/>
  <c r="BO22" i="45"/>
  <c r="BL22" i="45" s="1"/>
  <c r="BK22" i="45" s="1"/>
  <c r="BO4" i="45"/>
  <c r="BL4" i="45" s="1"/>
  <c r="BK4" i="45" s="1"/>
  <c r="BO27" i="45"/>
  <c r="BL27" i="45" s="1"/>
  <c r="BK27" i="45" s="1"/>
  <c r="BO25" i="45"/>
  <c r="BL25" i="45" s="1"/>
  <c r="BK25" i="45" s="1"/>
  <c r="BO48" i="45"/>
  <c r="BL48" i="45" s="1"/>
  <c r="BK48" i="45" s="1"/>
  <c r="BO13" i="45"/>
  <c r="BL13" i="45" s="1"/>
  <c r="BK13" i="45" s="1"/>
  <c r="BO51" i="45"/>
  <c r="BL51" i="45" s="1"/>
  <c r="BK51" i="45" s="1"/>
  <c r="BO6" i="45"/>
  <c r="BL6" i="45" s="1"/>
  <c r="BK6" i="45" s="1"/>
  <c r="BO34" i="45"/>
  <c r="BL34" i="45" s="1"/>
  <c r="BK34" i="45" s="1"/>
  <c r="BO50" i="45"/>
  <c r="BL50" i="45" s="1"/>
  <c r="BK50" i="45" s="1"/>
  <c r="BO29" i="45"/>
  <c r="BL29" i="45" s="1"/>
  <c r="BK29" i="45" s="1"/>
  <c r="BO15" i="45"/>
  <c r="BL15" i="45" s="1"/>
  <c r="BK15" i="45" s="1"/>
  <c r="BO23" i="45"/>
  <c r="BL23" i="45" s="1"/>
  <c r="BK23" i="45" s="1"/>
  <c r="BO21" i="45"/>
  <c r="BL21" i="45" s="1"/>
  <c r="BK21" i="45" s="1"/>
  <c r="BO46" i="45"/>
  <c r="BL46" i="45" s="1"/>
  <c r="BK46" i="45" s="1"/>
  <c r="BO30" i="45"/>
  <c r="BL30" i="45" s="1"/>
  <c r="BK30" i="45" s="1"/>
  <c r="BO10" i="45"/>
  <c r="BL10" i="45" s="1"/>
  <c r="BK10" i="45" s="1"/>
  <c r="BO35" i="45"/>
  <c r="BL35" i="45" s="1"/>
  <c r="BK35" i="45" s="1"/>
  <c r="BO26" i="45"/>
  <c r="BL26" i="45" s="1"/>
  <c r="BK26" i="45" s="1"/>
  <c r="BO40" i="45"/>
  <c r="BL40" i="45" s="1"/>
  <c r="BK40" i="45" s="1"/>
  <c r="BO8" i="45"/>
  <c r="BL8" i="45" s="1"/>
  <c r="BK8" i="45" s="1"/>
  <c r="AU242" i="46"/>
  <c r="Z242" i="46"/>
  <c r="AF242" i="46"/>
  <c r="AR242" i="46"/>
  <c r="FE242" i="46"/>
  <c r="CB242" i="46"/>
  <c r="AX242" i="46"/>
  <c r="FK242" i="46"/>
  <c r="CZ242" i="46"/>
  <c r="CT242" i="46"/>
  <c r="FB242" i="46"/>
  <c r="CH242" i="46"/>
  <c r="BJ242" i="46"/>
  <c r="DO242" i="46"/>
  <c r="DU242" i="46"/>
  <c r="DF242" i="46"/>
  <c r="FH242" i="46"/>
  <c r="EV242" i="46"/>
  <c r="AC242" i="46"/>
  <c r="BD242" i="46"/>
  <c r="ED242" i="46"/>
  <c r="EP242" i="46"/>
  <c r="AL242" i="46"/>
  <c r="CK242" i="46"/>
  <c r="EM242" i="46"/>
  <c r="BM242" i="46"/>
  <c r="CN242" i="46"/>
  <c r="BG242" i="46"/>
  <c r="EY242" i="46"/>
  <c r="DL242" i="46"/>
  <c r="BP242" i="46"/>
  <c r="EA242" i="46"/>
  <c r="DR242" i="46"/>
  <c r="CE242" i="46"/>
  <c r="M242" i="46"/>
  <c r="T242" i="46"/>
  <c r="DI242" i="46"/>
  <c r="BV242" i="46"/>
  <c r="CW242" i="46"/>
  <c r="DC242" i="46"/>
  <c r="BY242" i="46"/>
  <c r="ES242" i="46"/>
  <c r="EG242" i="46"/>
  <c r="AO242" i="46"/>
  <c r="BS242" i="46"/>
  <c r="BZ59" i="3"/>
  <c r="BZ67" i="3"/>
  <c r="BZ58" i="3"/>
  <c r="BZ66" i="3"/>
  <c r="BZ60" i="3"/>
  <c r="BZ61" i="3"/>
  <c r="BZ64" i="3"/>
  <c r="BZ65" i="3"/>
  <c r="BZ63" i="3"/>
  <c r="BZ62" i="3"/>
  <c r="BZ69" i="3"/>
  <c r="BZ68" i="3"/>
  <c r="BR266" i="46" l="1"/>
  <c r="BR264" i="46" s="1"/>
  <c r="AK266" i="46"/>
  <c r="AK264" i="46" s="1"/>
  <c r="EO266" i="46"/>
  <c r="EO264" i="46" s="1"/>
  <c r="AO37" i="51"/>
  <c r="AO39" i="51"/>
  <c r="AO36" i="51"/>
  <c r="AO40" i="51"/>
  <c r="BI266" i="46"/>
  <c r="BI264" i="46" s="1"/>
  <c r="CP266" i="46"/>
  <c r="CP264" i="46" s="1"/>
  <c r="CV266" i="46"/>
  <c r="CV264" i="46" s="1"/>
  <c r="AO44" i="51"/>
  <c r="AO43" i="51"/>
  <c r="AO38" i="51"/>
  <c r="AO41" i="51"/>
  <c r="AE266" i="46"/>
  <c r="AE264" i="46" s="1"/>
  <c r="AI35" i="51" a="1"/>
  <c r="AI35" i="51" s="1"/>
  <c r="AJ35" i="51" a="1"/>
  <c r="AJ35" i="51" s="1"/>
  <c r="BF266" i="46"/>
  <c r="BF264" i="46" s="1"/>
  <c r="CG266" i="46"/>
  <c r="CG264" i="46" s="1"/>
  <c r="EL266" i="46"/>
  <c r="EL264" i="46" s="1"/>
  <c r="EX266" i="46"/>
  <c r="EX264" i="46" s="1"/>
  <c r="AP35" i="51"/>
  <c r="DZ266" i="46"/>
  <c r="DZ264" i="46" s="1"/>
  <c r="AN266" i="46"/>
  <c r="AN264" i="46" s="1"/>
  <c r="FA266" i="46"/>
  <c r="FA264" i="46" s="1"/>
  <c r="AO42" i="51"/>
  <c r="AO45" i="51"/>
  <c r="CM266" i="46"/>
  <c r="CM264" i="46" s="1"/>
  <c r="Y266" i="46"/>
  <c r="Y264" i="46" s="1"/>
  <c r="DL259" i="46"/>
  <c r="DK266" i="46"/>
  <c r="DU259" i="46"/>
  <c r="DT266" i="46"/>
  <c r="FH259" i="46"/>
  <c r="FG266" i="46"/>
  <c r="CZ259" i="46"/>
  <c r="CY266" i="46"/>
  <c r="ES259" i="46"/>
  <c r="ER266" i="46"/>
  <c r="FK259" i="46"/>
  <c r="FJ266" i="46"/>
  <c r="EJ259" i="46"/>
  <c r="EI266" i="46"/>
  <c r="S264" i="46"/>
  <c r="DR259" i="46"/>
  <c r="DQ266" i="46"/>
  <c r="BD259" i="46"/>
  <c r="BC266" i="46"/>
  <c r="ED259" i="46"/>
  <c r="EC266" i="46"/>
  <c r="AU259" i="46"/>
  <c r="AT266" i="46"/>
  <c r="AX259" i="46"/>
  <c r="AW266" i="46"/>
  <c r="CK259" i="46"/>
  <c r="CJ266" i="46"/>
  <c r="AB266" i="46"/>
  <c r="DB266" i="46"/>
  <c r="BM259" i="46"/>
  <c r="BL266" i="46"/>
  <c r="AI259" i="46"/>
  <c r="AH266" i="46"/>
  <c r="W259" i="46"/>
  <c r="V266" i="46"/>
  <c r="BY259" i="46"/>
  <c r="BX266" i="46"/>
  <c r="AR259" i="46"/>
  <c r="AQ266" i="46"/>
  <c r="EF266" i="46"/>
  <c r="CD266" i="46"/>
  <c r="BA259" i="46"/>
  <c r="AZ266" i="46"/>
  <c r="EV259" i="46"/>
  <c r="EU266" i="46"/>
  <c r="DO259" i="46"/>
  <c r="DN266" i="46"/>
  <c r="CB259" i="46"/>
  <c r="CA266" i="46"/>
  <c r="DF259" i="46"/>
  <c r="DE266" i="46"/>
  <c r="FD266" i="46"/>
  <c r="DW266" i="46"/>
  <c r="BO266" i="46"/>
  <c r="CS266" i="46"/>
  <c r="DH266" i="46"/>
  <c r="BU266" i="46"/>
  <c r="Y35" i="51" a="1"/>
  <c r="X35" i="51" a="1"/>
  <c r="X35" i="51" s="1"/>
  <c r="T17" i="51"/>
  <c r="Q17" i="51" s="1"/>
  <c r="P17" i="51" s="1"/>
  <c r="T25" i="51"/>
  <c r="Q25" i="51" s="1"/>
  <c r="P25" i="51" s="1"/>
  <c r="T28" i="51"/>
  <c r="Q28" i="51" s="1"/>
  <c r="P28" i="51" s="1"/>
  <c r="T11" i="51"/>
  <c r="Q11" i="51" s="1"/>
  <c r="P11" i="51" s="1"/>
  <c r="T31" i="51"/>
  <c r="Q31" i="51" s="1"/>
  <c r="P31" i="51" s="1"/>
  <c r="T10" i="51"/>
  <c r="Q10" i="51" s="1"/>
  <c r="P10" i="51" s="1"/>
  <c r="T52" i="51"/>
  <c r="Q52" i="51" s="1"/>
  <c r="P52" i="51" s="1"/>
  <c r="T15" i="51"/>
  <c r="Q15" i="51" s="1"/>
  <c r="P15" i="51" s="1"/>
  <c r="T27" i="51"/>
  <c r="Q27" i="51" s="1"/>
  <c r="P27" i="51" s="1"/>
  <c r="T55" i="51"/>
  <c r="Q55" i="51" s="1"/>
  <c r="P55" i="51" s="1"/>
  <c r="T51" i="51"/>
  <c r="Q51" i="51" s="1"/>
  <c r="P51" i="51" s="1"/>
  <c r="T54" i="51"/>
  <c r="Q54" i="51" s="1"/>
  <c r="P54" i="51" s="1"/>
  <c r="T14" i="51"/>
  <c r="Q14" i="51" s="1"/>
  <c r="P14" i="51" s="1"/>
  <c r="T29" i="51"/>
  <c r="Q29" i="51" s="1"/>
  <c r="P29" i="51" s="1"/>
  <c r="T47" i="51"/>
  <c r="Q47" i="51" s="1"/>
  <c r="P47" i="51" s="1"/>
  <c r="T36" i="51"/>
  <c r="Q36" i="51" s="1"/>
  <c r="P36" i="51" s="1"/>
  <c r="T21" i="51"/>
  <c r="Q21" i="51" s="1"/>
  <c r="P21" i="51" s="1"/>
  <c r="T49" i="51"/>
  <c r="Q49" i="51" s="1"/>
  <c r="P49" i="51" s="1"/>
  <c r="T40" i="51"/>
  <c r="Q40" i="51" s="1"/>
  <c r="P40" i="51" s="1"/>
  <c r="T20" i="51"/>
  <c r="Q20" i="51" s="1"/>
  <c r="P20" i="51" s="1"/>
  <c r="T33" i="51"/>
  <c r="Q33" i="51" s="1"/>
  <c r="P33" i="51" s="1"/>
  <c r="T39" i="51"/>
  <c r="Q39" i="51" s="1"/>
  <c r="P39" i="51" s="1"/>
  <c r="T12" i="51"/>
  <c r="Q12" i="51" s="1"/>
  <c r="P12" i="51" s="1"/>
  <c r="T32" i="51"/>
  <c r="Q32" i="51" s="1"/>
  <c r="P32" i="51" s="1"/>
  <c r="T53" i="51"/>
  <c r="Q53" i="51" s="1"/>
  <c r="P53" i="51" s="1"/>
  <c r="T41" i="51"/>
  <c r="Q41" i="51" s="1"/>
  <c r="P41" i="51" s="1"/>
  <c r="T48" i="51"/>
  <c r="Q48" i="51" s="1"/>
  <c r="P48" i="51" s="1"/>
  <c r="T34" i="51"/>
  <c r="Q34" i="51" s="1"/>
  <c r="P34" i="51" s="1"/>
  <c r="T23" i="51"/>
  <c r="Q23" i="51" s="1"/>
  <c r="P23" i="51" s="1"/>
  <c r="T30" i="51"/>
  <c r="Q30" i="51" s="1"/>
  <c r="P30" i="51" s="1"/>
  <c r="T44" i="51"/>
  <c r="Q44" i="51" s="1"/>
  <c r="P44" i="51" s="1"/>
  <c r="T26" i="51"/>
  <c r="Q26" i="51" s="1"/>
  <c r="P26" i="51" s="1"/>
  <c r="T9" i="51"/>
  <c r="Q9" i="51" s="1"/>
  <c r="P9" i="51" s="1"/>
  <c r="T19" i="51"/>
  <c r="Q19" i="51" s="1"/>
  <c r="P19" i="51" s="1"/>
  <c r="T45" i="51"/>
  <c r="Q45" i="51" s="1"/>
  <c r="P45" i="51" s="1"/>
  <c r="T24" i="51"/>
  <c r="Q24" i="51" s="1"/>
  <c r="P24" i="51" s="1"/>
  <c r="T16" i="51"/>
  <c r="Q16" i="51" s="1"/>
  <c r="P16" i="51" s="1"/>
  <c r="T46" i="51"/>
  <c r="Q46" i="51" s="1"/>
  <c r="P46" i="51" s="1"/>
  <c r="T22" i="51"/>
  <c r="Q22" i="51" s="1"/>
  <c r="P22" i="51" s="1"/>
  <c r="T8" i="51"/>
  <c r="Q8" i="51" s="1"/>
  <c r="P8" i="51" s="1"/>
  <c r="T43" i="51"/>
  <c r="Q43" i="51" s="1"/>
  <c r="P43" i="51" s="1"/>
  <c r="T13" i="51"/>
  <c r="Q13" i="51" s="1"/>
  <c r="P13" i="51" s="1"/>
  <c r="T35" i="51"/>
  <c r="Q35" i="51" s="1"/>
  <c r="P35" i="51" s="1"/>
  <c r="T50" i="51"/>
  <c r="Q50" i="51" s="1"/>
  <c r="P50" i="51" s="1"/>
  <c r="T42" i="51"/>
  <c r="Q42" i="51" s="1"/>
  <c r="P42" i="51" s="1"/>
  <c r="T38" i="51"/>
  <c r="Q38" i="51" s="1"/>
  <c r="P38" i="51" s="1"/>
  <c r="T18" i="51"/>
  <c r="Q18" i="51" s="1"/>
  <c r="P18" i="51" s="1"/>
  <c r="T37" i="51"/>
  <c r="Q37" i="51" s="1"/>
  <c r="P37" i="51" s="1"/>
  <c r="T259" i="46"/>
  <c r="CA64" i="3"/>
  <c r="CE64" i="3"/>
  <c r="CA60" i="3"/>
  <c r="CE60" i="3"/>
  <c r="CA66" i="3"/>
  <c r="CE66" i="3"/>
  <c r="CA68" i="3"/>
  <c r="CE68" i="3"/>
  <c r="CA69" i="3"/>
  <c r="CA67" i="3"/>
  <c r="CE67" i="3"/>
  <c r="CA62" i="3"/>
  <c r="CE63" i="3"/>
  <c r="CA63" i="3"/>
  <c r="CA59" i="3"/>
  <c r="CE59" i="3"/>
  <c r="CE61" i="3"/>
  <c r="CA61" i="3"/>
  <c r="CE58" i="3"/>
  <c r="CA58" i="3"/>
  <c r="CA65" i="3"/>
  <c r="CE65" i="3"/>
  <c r="AN265" i="46" l="1"/>
  <c r="CV265" i="46"/>
  <c r="EO265" i="46"/>
  <c r="BU264" i="46"/>
  <c r="BU265" i="46"/>
  <c r="CM265" i="46"/>
  <c r="AZ264" i="46"/>
  <c r="AZ265" i="46"/>
  <c r="EX265" i="46"/>
  <c r="FA265" i="46"/>
  <c r="BC265" i="46"/>
  <c r="BC264" i="46"/>
  <c r="CG265" i="46"/>
  <c r="CD264" i="46"/>
  <c r="CD265" i="46"/>
  <c r="DB264" i="46"/>
  <c r="DB265" i="46"/>
  <c r="DQ264" i="46"/>
  <c r="DQ265" i="46"/>
  <c r="FG265" i="46"/>
  <c r="FG264" i="46"/>
  <c r="EF265" i="46"/>
  <c r="EF264" i="46"/>
  <c r="AQ264" i="46"/>
  <c r="AQ265" i="46"/>
  <c r="CJ265" i="46"/>
  <c r="CJ264" i="46"/>
  <c r="EI264" i="46"/>
  <c r="EI265" i="46"/>
  <c r="CP265" i="46"/>
  <c r="AH265" i="46"/>
  <c r="AH264" i="46"/>
  <c r="BF265" i="46"/>
  <c r="DZ265" i="46"/>
  <c r="AB264" i="46"/>
  <c r="AB265" i="46"/>
  <c r="DH264" i="46"/>
  <c r="DH265" i="46"/>
  <c r="BR265" i="46"/>
  <c r="FD265" i="46"/>
  <c r="FD264" i="46"/>
  <c r="EL265" i="46"/>
  <c r="CS264" i="46"/>
  <c r="CS265" i="46"/>
  <c r="CA265" i="46"/>
  <c r="CA264" i="46"/>
  <c r="BX265" i="46"/>
  <c r="BX264" i="46"/>
  <c r="AW265" i="46"/>
  <c r="AW264" i="46"/>
  <c r="AE265" i="46"/>
  <c r="FJ264" i="46"/>
  <c r="FJ265" i="46"/>
  <c r="DT265" i="46"/>
  <c r="DT264" i="46"/>
  <c r="EU264" i="46"/>
  <c r="EU265" i="46"/>
  <c r="S265" i="46"/>
  <c r="DW264" i="46"/>
  <c r="DW265" i="46"/>
  <c r="AK265" i="46"/>
  <c r="BL265" i="46"/>
  <c r="BL264" i="46"/>
  <c r="CY265" i="46"/>
  <c r="CY264" i="46"/>
  <c r="EC265" i="46"/>
  <c r="EC264" i="46"/>
  <c r="DE265" i="46"/>
  <c r="DE264" i="46"/>
  <c r="BI265" i="46"/>
  <c r="DN265" i="46"/>
  <c r="DN264" i="46"/>
  <c r="V264" i="46"/>
  <c r="V265" i="46"/>
  <c r="AT264" i="46"/>
  <c r="AT265" i="46"/>
  <c r="Y265" i="46"/>
  <c r="ER265" i="46"/>
  <c r="ER264" i="46"/>
  <c r="DK264" i="46"/>
  <c r="DK265" i="46"/>
  <c r="Y35" i="51"/>
  <c r="W35" i="51" s="1" a="1"/>
  <c r="W35" i="51" s="1"/>
  <c r="AH35" i="51" a="1"/>
  <c r="AH35" i="51" s="1"/>
  <c r="BO265" i="46"/>
  <c r="BO264" i="46"/>
  <c r="CF65" i="3"/>
  <c r="BN65" i="3" s="1"/>
  <c r="CF63" i="3"/>
  <c r="BN63" i="3" s="1"/>
  <c r="CF61" i="3"/>
  <c r="BN61" i="3" s="1"/>
  <c r="CB65" i="3"/>
  <c r="BM65" i="3" s="1"/>
  <c r="CF64" i="3"/>
  <c r="BN64" i="3" s="1"/>
  <c r="CB62" i="3"/>
  <c r="BM62" i="3" s="1"/>
  <c r="CB67" i="3"/>
  <c r="BM67" i="3" s="1"/>
  <c r="CB60" i="3"/>
  <c r="BM60" i="3" s="1"/>
  <c r="CB69" i="3"/>
  <c r="BM69" i="3" s="1"/>
  <c r="CF68" i="3"/>
  <c r="BN68" i="3" s="1"/>
  <c r="CB61" i="3"/>
  <c r="BM61" i="3" s="1"/>
  <c r="CB68" i="3"/>
  <c r="BM68" i="3" s="1"/>
  <c r="CF58" i="3"/>
  <c r="BN58" i="3" s="1"/>
  <c r="CB59" i="3"/>
  <c r="BM59" i="3" s="1"/>
  <c r="CF60" i="3"/>
  <c r="BN60" i="3" s="1"/>
  <c r="CB63" i="3"/>
  <c r="BM63" i="3" s="1"/>
  <c r="CF66" i="3"/>
  <c r="BN66" i="3" s="1"/>
  <c r="CB66" i="3"/>
  <c r="BM66" i="3" s="1"/>
  <c r="CF59" i="3"/>
  <c r="BN59" i="3" s="1"/>
  <c r="CF67" i="3"/>
  <c r="BN67" i="3" s="1"/>
  <c r="CB58" i="3"/>
  <c r="BM58" i="3" s="1"/>
  <c r="CB64" i="3"/>
  <c r="BM64" i="3" s="1"/>
  <c r="Z35" i="51" l="1" a="1"/>
  <c r="E37" i="51" s="1"/>
  <c r="DH263" i="46"/>
  <c r="AK263" i="46"/>
  <c r="DB263" i="46"/>
  <c r="CA263" i="46"/>
  <c r="EC263" i="46"/>
  <c r="AE263" i="46"/>
  <c r="AH263" i="46"/>
  <c r="FG263" i="46"/>
  <c r="DE263" i="46"/>
  <c r="AB263" i="46"/>
  <c r="S263" i="46"/>
  <c r="EX263" i="46"/>
  <c r="DZ263" i="46"/>
  <c r="CS263" i="46"/>
  <c r="ER263" i="46"/>
  <c r="AN263" i="46"/>
  <c r="AT263" i="46"/>
  <c r="CY263" i="46"/>
  <c r="FJ263" i="46"/>
  <c r="CV263" i="46"/>
  <c r="AZ263" i="46"/>
  <c r="CD263" i="46"/>
  <c r="BX263" i="46"/>
  <c r="CJ263" i="46"/>
  <c r="DW263" i="46"/>
  <c r="EL263" i="46"/>
  <c r="AQ263" i="46"/>
  <c r="BR263" i="46"/>
  <c r="BC263" i="46"/>
  <c r="DK263" i="46"/>
  <c r="EF263" i="46"/>
  <c r="EU263" i="46"/>
  <c r="CG263" i="46"/>
  <c r="CM263" i="46"/>
  <c r="FA263" i="46"/>
  <c r="DT263" i="46"/>
  <c r="BF263" i="46"/>
  <c r="BI263" i="46"/>
  <c r="FD263" i="46"/>
  <c r="Y263" i="46"/>
  <c r="CP263" i="46"/>
  <c r="BO263" i="46"/>
  <c r="V263" i="46"/>
  <c r="BL263" i="46"/>
  <c r="AW263" i="46"/>
  <c r="EI263" i="46"/>
  <c r="DQ263" i="46"/>
  <c r="DN263" i="46"/>
  <c r="EO263" i="46"/>
  <c r="BU263" i="46"/>
  <c r="AL111" i="3"/>
  <c r="AP111" i="3" s="1"/>
  <c r="AL112" i="3"/>
  <c r="AS112" i="3" s="1"/>
  <c r="AL106" i="3"/>
  <c r="AL108" i="3"/>
  <c r="DQ67" i="3"/>
  <c r="DJ67" i="3" s="1"/>
  <c r="AV102" i="3"/>
  <c r="AV107" i="3"/>
  <c r="AV104" i="3"/>
  <c r="DQ64" i="3"/>
  <c r="DJ64" i="3" s="1"/>
  <c r="DQ58" i="3"/>
  <c r="DJ58" i="3" s="1"/>
  <c r="DQ65" i="3"/>
  <c r="DJ65" i="3" s="1"/>
  <c r="DQ60" i="3"/>
  <c r="DJ60" i="3" s="1"/>
  <c r="AV109" i="3"/>
  <c r="AV103" i="3"/>
  <c r="AV111" i="3"/>
  <c r="AV112" i="3"/>
  <c r="DQ66" i="3"/>
  <c r="DJ66" i="3" s="1"/>
  <c r="DQ63" i="3"/>
  <c r="DJ63" i="3" s="1"/>
  <c r="AV105" i="3"/>
  <c r="DQ61" i="3"/>
  <c r="DJ61" i="3" s="1"/>
  <c r="DQ69" i="3"/>
  <c r="DJ69" i="3" s="1"/>
  <c r="AV113" i="3"/>
  <c r="DQ62" i="3"/>
  <c r="DJ62" i="3" s="1"/>
  <c r="DQ68" i="3"/>
  <c r="DJ68" i="3" s="1"/>
  <c r="AV110" i="3"/>
  <c r="AV108" i="3"/>
  <c r="DQ59" i="3"/>
  <c r="DJ59" i="3" s="1"/>
  <c r="AV106" i="3"/>
  <c r="E35" i="51" l="1"/>
  <c r="Z35" i="51"/>
  <c r="Z33" i="51" s="1" a="1"/>
  <c r="Z33" i="51" s="1"/>
  <c r="E36" i="51"/>
  <c r="E16" i="50"/>
  <c r="G16" i="50"/>
  <c r="E13" i="50"/>
  <c r="G36" i="50"/>
  <c r="E50" i="50"/>
  <c r="G26" i="50"/>
  <c r="G49" i="50"/>
  <c r="F31" i="50"/>
  <c r="F26" i="50"/>
  <c r="G25" i="50"/>
  <c r="F51" i="50"/>
  <c r="E26" i="50"/>
  <c r="E14" i="50"/>
  <c r="F23" i="50"/>
  <c r="E36" i="50"/>
  <c r="F12" i="50"/>
  <c r="E31" i="50"/>
  <c r="E53" i="50"/>
  <c r="G48" i="50"/>
  <c r="F20" i="50"/>
  <c r="G19" i="50"/>
  <c r="F19" i="50"/>
  <c r="F35" i="50"/>
  <c r="F25" i="50"/>
  <c r="E22" i="50"/>
  <c r="G27" i="50"/>
  <c r="G5" i="50"/>
  <c r="E47" i="50"/>
  <c r="G40" i="50"/>
  <c r="F16" i="50"/>
  <c r="E4" i="50"/>
  <c r="G35" i="50"/>
  <c r="F13" i="50"/>
  <c r="G33" i="50"/>
  <c r="G46" i="50"/>
  <c r="F44" i="50"/>
  <c r="F48" i="50"/>
  <c r="F38" i="50"/>
  <c r="F8" i="50"/>
  <c r="E19" i="50"/>
  <c r="G23" i="50"/>
  <c r="E9" i="50"/>
  <c r="F18" i="50"/>
  <c r="E29" i="50"/>
  <c r="G41" i="50"/>
  <c r="E23" i="50"/>
  <c r="G4" i="50"/>
  <c r="G8" i="50"/>
  <c r="F9" i="50"/>
  <c r="F36" i="50"/>
  <c r="F32" i="50"/>
  <c r="F53" i="50"/>
  <c r="G10" i="50"/>
  <c r="F45" i="50"/>
  <c r="F14" i="50"/>
  <c r="F6" i="50"/>
  <c r="G43" i="50"/>
  <c r="G24" i="50"/>
  <c r="G29" i="50"/>
  <c r="G53" i="50"/>
  <c r="E7" i="50"/>
  <c r="E30" i="50"/>
  <c r="E40" i="50"/>
  <c r="E10" i="50"/>
  <c r="F52" i="50"/>
  <c r="E43" i="50"/>
  <c r="G22" i="50"/>
  <c r="E21" i="50"/>
  <c r="G28" i="50"/>
  <c r="F11" i="50"/>
  <c r="F47" i="50"/>
  <c r="F27" i="50"/>
  <c r="E49" i="50"/>
  <c r="E45" i="50"/>
  <c r="E38" i="50"/>
  <c r="E15" i="50"/>
  <c r="E20" i="50"/>
  <c r="F43" i="50"/>
  <c r="G44" i="50"/>
  <c r="F39" i="50"/>
  <c r="G52" i="50"/>
  <c r="G9" i="50"/>
  <c r="G45" i="50"/>
  <c r="F49" i="50"/>
  <c r="E12" i="50"/>
  <c r="F33" i="50"/>
  <c r="E28" i="50"/>
  <c r="F29" i="50"/>
  <c r="G13" i="50"/>
  <c r="E34" i="50"/>
  <c r="G7" i="50"/>
  <c r="G51" i="50"/>
  <c r="G15" i="50"/>
  <c r="G17" i="50"/>
  <c r="E8" i="50"/>
  <c r="F17" i="50"/>
  <c r="E5" i="50"/>
  <c r="F37" i="50"/>
  <c r="G21" i="50"/>
  <c r="E48" i="50"/>
  <c r="E39" i="50"/>
  <c r="F46" i="50"/>
  <c r="E32" i="50"/>
  <c r="G31" i="50"/>
  <c r="E42" i="50"/>
  <c r="G6" i="50"/>
  <c r="E37" i="50"/>
  <c r="E27" i="50"/>
  <c r="F41" i="50"/>
  <c r="E17" i="50"/>
  <c r="G50" i="50"/>
  <c r="F5" i="50"/>
  <c r="F28" i="50"/>
  <c r="E24" i="50"/>
  <c r="F40" i="50"/>
  <c r="E52" i="50"/>
  <c r="F10" i="50"/>
  <c r="F30" i="50"/>
  <c r="E35" i="50"/>
  <c r="G12" i="50"/>
  <c r="E44" i="50"/>
  <c r="E41" i="50"/>
  <c r="G30" i="50"/>
  <c r="E11" i="50"/>
  <c r="F42" i="50"/>
  <c r="F50" i="50"/>
  <c r="G11" i="50"/>
  <c r="G38" i="50"/>
  <c r="G39" i="50"/>
  <c r="G18" i="50"/>
  <c r="E46" i="50"/>
  <c r="G34" i="50"/>
  <c r="E6" i="50"/>
  <c r="F24" i="50"/>
  <c r="F21" i="50"/>
  <c r="E51" i="50"/>
  <c r="E18" i="50"/>
  <c r="G14" i="50"/>
  <c r="G42" i="50"/>
  <c r="F15" i="50"/>
  <c r="G47" i="50"/>
  <c r="F34" i="50"/>
  <c r="E33" i="50"/>
  <c r="G32" i="50"/>
  <c r="F22" i="50"/>
  <c r="F4" i="50"/>
  <c r="G20" i="50"/>
  <c r="E25" i="50"/>
  <c r="G37" i="50"/>
  <c r="F7" i="50"/>
  <c r="DL65" i="3"/>
  <c r="AU109" i="3" s="1"/>
  <c r="DL63" i="3"/>
  <c r="AU107" i="3" s="1"/>
  <c r="DL66" i="3"/>
  <c r="AU110" i="3" s="1"/>
  <c r="DL69" i="3"/>
  <c r="AU113" i="3" s="1"/>
  <c r="DL61" i="3"/>
  <c r="AU105" i="3" s="1"/>
  <c r="AK111" i="3" a="1"/>
  <c r="AK111" i="3" s="1"/>
  <c r="DL67" i="3"/>
  <c r="AU111" i="3" s="1"/>
  <c r="DL59" i="3"/>
  <c r="AU103" i="3" s="1"/>
  <c r="DL60" i="3"/>
  <c r="AU104" i="3" s="1"/>
  <c r="DL58" i="3"/>
  <c r="AU102" i="3" s="1"/>
  <c r="DL68" i="3"/>
  <c r="AU112" i="3" s="1"/>
  <c r="DL62" i="3"/>
  <c r="AU106" i="3" s="1"/>
  <c r="DL64" i="3"/>
  <c r="AU108" i="3" s="1"/>
  <c r="AO111" i="3"/>
  <c r="AT111" i="3"/>
  <c r="AN112" i="3"/>
  <c r="AQ112" i="3"/>
  <c r="AK112" i="3" a="1"/>
  <c r="AK112" i="3" s="1"/>
  <c r="AR112" i="3"/>
  <c r="AO112" i="3"/>
  <c r="AP112" i="3"/>
  <c r="AM112" i="3"/>
  <c r="AT112" i="3"/>
  <c r="AR111" i="3"/>
  <c r="AM111" i="3"/>
  <c r="AS111" i="3"/>
  <c r="AQ111" i="3"/>
  <c r="AN111" i="3"/>
  <c r="BF107" i="3"/>
  <c r="AK106" i="3" a="1"/>
  <c r="AK106" i="3" s="1"/>
  <c r="AP106" i="3"/>
  <c r="AQ106" i="3"/>
  <c r="AR106" i="3"/>
  <c r="AM106" i="3"/>
  <c r="AS106" i="3"/>
  <c r="AN106" i="3"/>
  <c r="AO106" i="3"/>
  <c r="AT106" i="3"/>
  <c r="CD64" i="3"/>
  <c r="CD63" i="3"/>
  <c r="CD62" i="3"/>
  <c r="CD69" i="3"/>
  <c r="CD60" i="3"/>
  <c r="CD58" i="3"/>
  <c r="CD61" i="3"/>
  <c r="CD68" i="3"/>
  <c r="CD66" i="3"/>
  <c r="CD67" i="3"/>
  <c r="CD59" i="3"/>
  <c r="CD65" i="3"/>
  <c r="BF109" i="3"/>
  <c r="AK108" i="3" a="1"/>
  <c r="AK108" i="3" s="1"/>
  <c r="AS108" i="3"/>
  <c r="AN108" i="3"/>
  <c r="AQ108" i="3"/>
  <c r="AR108" i="3"/>
  <c r="AP108" i="3"/>
  <c r="AO108" i="3"/>
  <c r="AM108" i="3"/>
  <c r="AT108" i="3"/>
  <c r="DN60" i="3" l="1" a="1"/>
  <c r="DN60" i="3" s="1"/>
  <c r="F36" i="51"/>
  <c r="H8" i="51" a="1"/>
  <c r="H8" i="51" s="1"/>
  <c r="D34" i="51" s="1"/>
  <c r="F35" i="51"/>
  <c r="F37" i="51"/>
  <c r="DN65" i="3" a="1"/>
  <c r="DN65" i="3" s="1"/>
  <c r="DN67" i="3" a="1"/>
  <c r="DN67" i="3" s="1"/>
  <c r="DM65" i="3"/>
  <c r="DN58" i="3" a="1"/>
  <c r="DN58" i="3" s="1"/>
  <c r="E17" i="51"/>
  <c r="E16" i="51"/>
  <c r="F16" i="51" s="1"/>
  <c r="E13" i="51"/>
  <c r="F13" i="51" s="1"/>
  <c r="E15" i="51"/>
  <c r="F15" i="51" s="1"/>
  <c r="E14" i="51"/>
  <c r="F14" i="51" s="1"/>
  <c r="DM66" i="3"/>
  <c r="DN66" i="3" a="1"/>
  <c r="DN66" i="3" s="1"/>
  <c r="DM63" i="3"/>
  <c r="DM59" i="3"/>
  <c r="DM58" i="3"/>
  <c r="DN64" i="3" a="1"/>
  <c r="DN64" i="3" s="1"/>
  <c r="DN63" i="3" a="1"/>
  <c r="DN63" i="3" s="1"/>
  <c r="DM67" i="3"/>
  <c r="DM69" i="3"/>
  <c r="DM60" i="3"/>
  <c r="AU101" i="3"/>
  <c r="AV100" i="3" s="1"/>
  <c r="DN59" i="3" a="1"/>
  <c r="DN59" i="3" s="1"/>
  <c r="CE62" i="3"/>
  <c r="DM64" i="3"/>
  <c r="CE69" i="3"/>
  <c r="DN68" i="3" a="1"/>
  <c r="DN68" i="3" s="1"/>
  <c r="DM68" i="3"/>
  <c r="DN61" i="3" a="1"/>
  <c r="DN61" i="3" s="1"/>
  <c r="DM62" i="3"/>
  <c r="DM61" i="3"/>
  <c r="DN62" i="3" a="1"/>
  <c r="DN62" i="3" s="1"/>
  <c r="DN69" i="3" a="1"/>
  <c r="DN69" i="3" s="1"/>
  <c r="AA35" i="51" l="1" a="1"/>
  <c r="AA35" i="51" s="1"/>
  <c r="AC35" i="51" s="1" a="1"/>
  <c r="AC35" i="51" s="1"/>
  <c r="J8" i="51" a="1"/>
  <c r="J8" i="51" s="1"/>
  <c r="AB35" i="51" a="1"/>
  <c r="AB35" i="51" s="1"/>
  <c r="K8" i="51" a="1"/>
  <c r="K8" i="51" s="1"/>
  <c r="CF69" i="3"/>
  <c r="BN69" i="3" s="1"/>
  <c r="CF62" i="3"/>
  <c r="BN62" i="3" s="1"/>
  <c r="AL109" i="3" l="1"/>
  <c r="AL103" i="3"/>
  <c r="AL104" i="3"/>
  <c r="AL105" i="3"/>
  <c r="AL113" i="3"/>
  <c r="AL110" i="3"/>
  <c r="AL102" i="3"/>
  <c r="AL107" i="3"/>
  <c r="AO107" i="3" l="1"/>
  <c r="BF108" i="3"/>
  <c r="AN107" i="3"/>
  <c r="AT107" i="3"/>
  <c r="AK107" i="3" a="1"/>
  <c r="AK107" i="3" s="1"/>
  <c r="AR107" i="3"/>
  <c r="AP107" i="3"/>
  <c r="AM107" i="3"/>
  <c r="AQ107" i="3"/>
  <c r="AS107" i="3"/>
  <c r="BF103" i="3"/>
  <c r="AS102" i="3"/>
  <c r="AT102" i="3"/>
  <c r="AP102" i="3"/>
  <c r="AN102" i="3"/>
  <c r="AM102" i="3"/>
  <c r="AK102" i="3" a="1"/>
  <c r="AK102" i="3" s="1"/>
  <c r="AO102" i="3"/>
  <c r="AQ102" i="3"/>
  <c r="AR102" i="3"/>
  <c r="BF110" i="3"/>
  <c r="AO109" i="3"/>
  <c r="AP109" i="3"/>
  <c r="AM109" i="3"/>
  <c r="AN109" i="3"/>
  <c r="AS109" i="3"/>
  <c r="AR109" i="3"/>
  <c r="AK109" i="3" a="1"/>
  <c r="AK109" i="3" s="1"/>
  <c r="AT109" i="3"/>
  <c r="AQ109" i="3"/>
  <c r="AK110" i="3" a="1"/>
  <c r="AK110" i="3" s="1"/>
  <c r="AR110" i="3"/>
  <c r="AO110" i="3"/>
  <c r="AP110" i="3"/>
  <c r="AT110" i="3"/>
  <c r="AN110" i="3"/>
  <c r="AS110" i="3"/>
  <c r="AM110" i="3"/>
  <c r="AQ110" i="3"/>
  <c r="AT113" i="3"/>
  <c r="AO113" i="3"/>
  <c r="AN113" i="3"/>
  <c r="AS113" i="3"/>
  <c r="AK113" i="3" a="1"/>
  <c r="AK113" i="3" s="1"/>
  <c r="AQ113" i="3"/>
  <c r="AM113" i="3"/>
  <c r="AR113" i="3"/>
  <c r="AP113" i="3"/>
  <c r="AT105" i="3"/>
  <c r="AP105" i="3"/>
  <c r="AO105" i="3"/>
  <c r="BF106" i="3"/>
  <c r="AQ105" i="3"/>
  <c r="AR105" i="3"/>
  <c r="AS105" i="3"/>
  <c r="AK105" i="3" a="1"/>
  <c r="AK105" i="3" s="1"/>
  <c r="AN105" i="3"/>
  <c r="AM105" i="3"/>
  <c r="AP104" i="3"/>
  <c r="AQ104" i="3"/>
  <c r="AR104" i="3"/>
  <c r="AK104" i="3" a="1"/>
  <c r="AK104" i="3" s="1"/>
  <c r="AN104" i="3"/>
  <c r="AS104" i="3"/>
  <c r="AO104" i="3"/>
  <c r="AT104" i="3"/>
  <c r="BF105" i="3"/>
  <c r="AM104" i="3"/>
  <c r="AK103" i="3" a="1"/>
  <c r="AK103" i="3" s="1"/>
  <c r="BF104" i="3"/>
  <c r="AQ103" i="3"/>
  <c r="AP103" i="3"/>
  <c r="AM103" i="3"/>
  <c r="AT103" i="3"/>
  <c r="AR103" i="3"/>
  <c r="AO103" i="3"/>
  <c r="AS103" i="3"/>
  <c r="AN103" i="3"/>
  <c r="BG104" i="3" l="1"/>
  <c r="BG105" i="3"/>
  <c r="BG109" i="3"/>
  <c r="BG103" i="3"/>
  <c r="BG107" i="3"/>
  <c r="BG106" i="3"/>
  <c r="BG110" i="3"/>
  <c r="BG108" i="3"/>
  <c r="BJ104" i="3" l="1"/>
  <c r="BJ107" i="3"/>
  <c r="BJ105" i="3"/>
  <c r="BJ109" i="3"/>
  <c r="BJ108" i="3"/>
  <c r="BJ103" i="3"/>
  <c r="BJ106" i="3"/>
  <c r="BJ110" i="3"/>
  <c r="BI112" i="3" l="1"/>
  <c r="B159" i="40" l="1"/>
  <c r="B458" i="40"/>
  <c r="B437" i="40"/>
  <c r="B256" i="40"/>
  <c r="B410" i="40"/>
  <c r="B367" i="40"/>
  <c r="B260" i="40"/>
  <c r="B126" i="40"/>
  <c r="B42" i="40"/>
  <c r="B231" i="40"/>
  <c r="B183" i="40"/>
  <c r="B63" i="40"/>
  <c r="B148" i="40"/>
  <c r="B336" i="40"/>
  <c r="B99" i="40"/>
  <c r="B153" i="40"/>
  <c r="B71" i="40"/>
  <c r="B433" i="40"/>
  <c r="B487" i="40"/>
  <c r="B416" i="40"/>
  <c r="B447" i="40"/>
  <c r="B285" i="40"/>
  <c r="B152" i="40"/>
  <c r="B286" i="40"/>
  <c r="B74" i="40"/>
  <c r="B197" i="40"/>
  <c r="B264" i="40"/>
  <c r="B287" i="40"/>
  <c r="B230" i="40"/>
  <c r="B267" i="40"/>
  <c r="B37" i="40"/>
  <c r="B55" i="40"/>
  <c r="B283" i="40"/>
  <c r="B320" i="40"/>
  <c r="B398" i="40"/>
  <c r="B383" i="40"/>
  <c r="B488" i="40"/>
  <c r="B217" i="40"/>
  <c r="B234" i="40"/>
  <c r="B29" i="40"/>
  <c r="B415" i="40"/>
  <c r="B294" i="40"/>
  <c r="B334" i="40"/>
  <c r="B323" i="40"/>
  <c r="B60" i="40"/>
  <c r="B80" i="40"/>
  <c r="B133" i="40"/>
  <c r="B15" i="40"/>
  <c r="B268" i="40"/>
  <c r="B43" i="40"/>
  <c r="B251" i="40"/>
  <c r="B462" i="40"/>
  <c r="B204" i="40"/>
  <c r="B209" i="40"/>
  <c r="B486" i="40"/>
  <c r="B484" i="40"/>
  <c r="B45" i="40"/>
  <c r="B221" i="40"/>
  <c r="B65" i="40"/>
  <c r="B390" i="40"/>
  <c r="B190" i="40"/>
  <c r="B340" i="40"/>
  <c r="B356" i="40"/>
  <c r="B129" i="40"/>
  <c r="B490" i="40"/>
  <c r="B110" i="40"/>
  <c r="B280" i="40"/>
  <c r="B438" i="40"/>
  <c r="B292" i="40"/>
  <c r="B49" i="40"/>
  <c r="B375" i="40"/>
  <c r="B109" i="40"/>
  <c r="B160" i="40"/>
  <c r="B338" i="40"/>
  <c r="B365" i="40"/>
  <c r="B189" i="40"/>
  <c r="B439" i="40"/>
  <c r="B392" i="40"/>
  <c r="B465" i="40"/>
  <c r="B324" i="40"/>
  <c r="B273" i="40"/>
  <c r="B125" i="40"/>
  <c r="B391" i="40"/>
  <c r="B89" i="40"/>
  <c r="B448" i="40"/>
  <c r="B359" i="40"/>
  <c r="B366" i="40"/>
  <c r="B50" i="40"/>
  <c r="B175" i="40"/>
  <c r="B95" i="40"/>
  <c r="B195" i="40"/>
  <c r="B14" i="40"/>
  <c r="B253" i="40"/>
  <c r="B211" i="40"/>
  <c r="B94" i="40"/>
  <c r="B396" i="40"/>
  <c r="B30" i="40"/>
  <c r="B174" i="40"/>
  <c r="B296" i="40"/>
  <c r="B181" i="40"/>
  <c r="B207" i="40"/>
  <c r="B259" i="40"/>
  <c r="B243" i="40"/>
  <c r="B58" i="40"/>
  <c r="B261" i="40"/>
  <c r="B454" i="40"/>
  <c r="B187" i="40"/>
  <c r="B306" i="40"/>
  <c r="B430" i="40"/>
  <c r="B128" i="40"/>
  <c r="B199" i="40"/>
  <c r="B28" i="40"/>
  <c r="B494" i="40"/>
  <c r="B316" i="40"/>
  <c r="B304" i="40"/>
  <c r="B53" i="40"/>
  <c r="B378" i="40"/>
  <c r="B290" i="40"/>
  <c r="AZ101" i="3"/>
  <c r="B279" i="40"/>
  <c r="B106" i="40"/>
  <c r="B164" i="40"/>
  <c r="B289" i="40"/>
  <c r="B471" i="40"/>
  <c r="B281" i="40"/>
  <c r="B479" i="40"/>
  <c r="B254" i="40"/>
  <c r="B263" i="40"/>
  <c r="B140" i="40"/>
  <c r="B255" i="40"/>
  <c r="B461" i="40"/>
  <c r="B244" i="40"/>
  <c r="B495" i="40"/>
  <c r="B130" i="40"/>
  <c r="B135" i="40"/>
  <c r="B372" i="40"/>
  <c r="B460" i="40"/>
  <c r="B226" i="40"/>
  <c r="B276" i="40"/>
  <c r="B308" i="40"/>
  <c r="B480" i="40"/>
  <c r="B61" i="40"/>
  <c r="B417" i="40"/>
  <c r="B47" i="40"/>
  <c r="B446" i="40"/>
  <c r="B384" i="40"/>
  <c r="B424" i="40"/>
  <c r="B56" i="40"/>
  <c r="B107" i="40"/>
  <c r="B400" i="40"/>
  <c r="B257" i="40"/>
  <c r="B77" i="40"/>
  <c r="B315" i="40"/>
  <c r="B351" i="40"/>
  <c r="B143" i="40"/>
  <c r="B313" i="40"/>
  <c r="B214" i="40"/>
  <c r="B476" i="40"/>
  <c r="B354" i="40"/>
  <c r="B156" i="40"/>
  <c r="B240" i="40"/>
  <c r="B121" i="40"/>
  <c r="B35" i="40"/>
  <c r="B31" i="40"/>
  <c r="B3" i="40"/>
  <c r="B185" i="40"/>
  <c r="B82" i="40"/>
  <c r="B303" i="40"/>
  <c r="B478" i="40"/>
  <c r="B54" i="40"/>
  <c r="B149" i="40"/>
  <c r="B288" i="40"/>
  <c r="B402" i="40"/>
  <c r="B482" i="40"/>
  <c r="B470" i="40"/>
  <c r="B346" i="40"/>
  <c r="B101" i="40"/>
  <c r="B422" i="40"/>
  <c r="B22" i="40"/>
  <c r="B405" i="40"/>
  <c r="B309" i="40"/>
  <c r="B90" i="40"/>
  <c r="B368" i="40"/>
  <c r="B210" i="40"/>
  <c r="B457" i="40"/>
  <c r="B102" i="40"/>
  <c r="B41" i="40"/>
  <c r="B64" i="40"/>
  <c r="B100" i="40"/>
  <c r="B201" i="40"/>
  <c r="B344" i="40"/>
  <c r="B136" i="40"/>
  <c r="B103" i="40"/>
  <c r="B385" i="40"/>
  <c r="B406" i="40"/>
  <c r="B196" i="40"/>
  <c r="B394" i="40"/>
  <c r="B83" i="40"/>
  <c r="B141" i="40"/>
  <c r="B477" i="40"/>
  <c r="B314" i="40"/>
  <c r="B206" i="40"/>
  <c r="B300" i="40"/>
  <c r="B414" i="40"/>
  <c r="B170" i="40"/>
  <c r="B192" i="40"/>
  <c r="B353" i="40"/>
  <c r="B442" i="40"/>
  <c r="B161" i="40"/>
  <c r="B485" i="40"/>
  <c r="B349" i="40"/>
  <c r="B436" i="40"/>
  <c r="B229" i="40"/>
  <c r="B46" i="40"/>
  <c r="B48" i="40"/>
  <c r="B233" i="40"/>
  <c r="B162" i="40"/>
  <c r="B73" i="40"/>
  <c r="B132" i="40"/>
  <c r="B387" i="40"/>
  <c r="B411" i="40"/>
  <c r="B20" i="40"/>
  <c r="B70" i="40"/>
  <c r="B69" i="40"/>
  <c r="B66" i="40"/>
  <c r="B235" i="40"/>
  <c r="B329" i="40"/>
  <c r="B371" i="40"/>
  <c r="B419" i="40"/>
  <c r="B172" i="40"/>
  <c r="B191" i="40"/>
  <c r="B386" i="40"/>
  <c r="B242" i="40"/>
  <c r="B335" i="40"/>
  <c r="B118" i="40"/>
  <c r="B297" i="40"/>
  <c r="B200" i="40"/>
  <c r="B307" i="40"/>
  <c r="B111" i="40"/>
  <c r="B131" i="40"/>
  <c r="B173" i="40"/>
  <c r="B434" i="40"/>
  <c r="B452" i="40"/>
  <c r="B248" i="40"/>
  <c r="B364" i="40"/>
  <c r="B301" i="40"/>
  <c r="B326" i="40"/>
  <c r="B363" i="40"/>
  <c r="B180" i="40"/>
  <c r="B7" i="40"/>
  <c r="B62" i="40"/>
  <c r="B241" i="40"/>
  <c r="B395" i="40"/>
  <c r="B12" i="40"/>
  <c r="B228" i="40"/>
  <c r="B380" i="40"/>
  <c r="B322" i="40"/>
  <c r="B18" i="40"/>
  <c r="B177" i="40"/>
  <c r="B333" i="40"/>
  <c r="B343" i="40"/>
  <c r="B258" i="40"/>
  <c r="B262" i="40"/>
  <c r="B27" i="40"/>
  <c r="B352" i="40"/>
  <c r="B464" i="40"/>
  <c r="B93" i="40"/>
  <c r="B449" i="40"/>
  <c r="B13" i="40"/>
  <c r="B91" i="40"/>
  <c r="B318" i="40"/>
  <c r="B426" i="40"/>
  <c r="B469" i="40"/>
  <c r="B24" i="40"/>
  <c r="B331" i="40"/>
  <c r="B114" i="40"/>
  <c r="B423" i="40"/>
  <c r="B339" i="40"/>
  <c r="B220" i="40"/>
  <c r="B481" i="40"/>
  <c r="B491" i="40"/>
  <c r="B450" i="40"/>
  <c r="B278" i="40"/>
  <c r="B284" i="40"/>
  <c r="B473" i="40"/>
  <c r="B407" i="40"/>
  <c r="B40" i="40"/>
  <c r="B425" i="40"/>
  <c r="B431" i="40"/>
  <c r="B293" i="40"/>
  <c r="B393" i="40"/>
  <c r="B203" i="40"/>
  <c r="B178" i="40"/>
  <c r="B78" i="40"/>
  <c r="B124" i="40"/>
  <c r="B17" i="40"/>
  <c r="B311" i="40"/>
  <c r="B97" i="40"/>
  <c r="B341" i="40"/>
  <c r="B39" i="40"/>
  <c r="B224" i="40"/>
  <c r="B245" i="40"/>
  <c r="B310" i="40"/>
  <c r="B459" i="40"/>
  <c r="B401" i="40"/>
  <c r="B269" i="40"/>
  <c r="B428" i="40"/>
  <c r="B381" i="40"/>
  <c r="B72" i="40"/>
  <c r="B11" i="40"/>
  <c r="B165" i="40"/>
  <c r="B113" i="40"/>
  <c r="B34" i="40"/>
  <c r="B137" i="40"/>
  <c r="B451" i="40"/>
  <c r="B403" i="40"/>
  <c r="B429" i="40"/>
  <c r="B115" i="40"/>
  <c r="B330" i="40"/>
  <c r="B325" i="40"/>
  <c r="B216" i="40"/>
  <c r="B466" i="40"/>
  <c r="B68" i="40"/>
  <c r="B67" i="40"/>
  <c r="B246" i="40"/>
  <c r="B492" i="40"/>
  <c r="B2" i="40"/>
  <c r="B6" i="40"/>
  <c r="B274" i="40"/>
  <c r="B122" i="40"/>
  <c r="B389" i="40"/>
  <c r="B123" i="40"/>
  <c r="B342" i="40"/>
  <c r="B463" i="40"/>
  <c r="B377" i="40"/>
  <c r="B98" i="40"/>
  <c r="B8" i="40"/>
  <c r="B291" i="40"/>
  <c r="B166" i="40"/>
  <c r="B265" i="40"/>
  <c r="B23" i="40"/>
  <c r="B302" i="40"/>
  <c r="B108" i="40"/>
  <c r="B453" i="40"/>
  <c r="B321" i="40"/>
  <c r="B445" i="40"/>
  <c r="B119" i="40"/>
  <c r="B88" i="40"/>
  <c r="B468" i="40"/>
  <c r="B96" i="40"/>
  <c r="B455" i="40"/>
  <c r="B408" i="40"/>
  <c r="B208" i="40"/>
  <c r="B158" i="40"/>
  <c r="B232" i="40"/>
  <c r="B205" i="40"/>
  <c r="B16" i="40"/>
  <c r="B404" i="40"/>
  <c r="B376" i="40"/>
  <c r="B350" i="40"/>
  <c r="B171" i="40"/>
  <c r="B120" i="40"/>
  <c r="B266" i="40"/>
  <c r="B432" i="40"/>
  <c r="B142" i="40"/>
  <c r="B435" i="40"/>
  <c r="B225" i="40"/>
  <c r="B176" i="40"/>
  <c r="B9" i="40"/>
  <c r="B138" i="40"/>
  <c r="B167" i="40"/>
  <c r="B456" i="40"/>
  <c r="B38" i="40"/>
  <c r="B86" i="40"/>
  <c r="B382" i="40"/>
  <c r="B213" i="40"/>
  <c r="B328" i="40"/>
  <c r="B489" i="40"/>
  <c r="B52" i="40"/>
  <c r="B146" i="40"/>
  <c r="B249" i="40"/>
  <c r="B215" i="40"/>
  <c r="B5" i="40"/>
  <c r="B397" i="40"/>
  <c r="B347" i="40"/>
  <c r="B145" i="40"/>
  <c r="B212" i="40"/>
  <c r="B472" i="40"/>
  <c r="B474" i="40"/>
  <c r="B238" i="40"/>
  <c r="B81" i="40"/>
  <c r="B272" i="40"/>
  <c r="B237" i="40"/>
  <c r="B441" i="40"/>
  <c r="B44" i="40"/>
  <c r="B388" i="40"/>
  <c r="B299" i="40"/>
  <c r="B399" i="40"/>
  <c r="B87" i="40"/>
  <c r="B444" i="40"/>
  <c r="B345" i="40"/>
  <c r="B420" i="40"/>
  <c r="B227" i="40"/>
  <c r="B4" i="40"/>
  <c r="B32" i="40"/>
  <c r="B127" i="40"/>
  <c r="B327" i="40"/>
  <c r="B116" i="40"/>
  <c r="B202" i="40"/>
  <c r="B277" i="40"/>
  <c r="B319" i="40"/>
  <c r="B357" i="40"/>
  <c r="B247" i="40"/>
  <c r="B117" i="40"/>
  <c r="B79" i="40"/>
  <c r="B104" i="40"/>
  <c r="B312" i="40"/>
  <c r="B182" i="40"/>
  <c r="B223" i="40"/>
  <c r="B36" i="40"/>
  <c r="B370" i="40"/>
  <c r="B222" i="40"/>
  <c r="B295" i="40"/>
  <c r="B198" i="40"/>
  <c r="B144" i="40"/>
  <c r="B275" i="40"/>
  <c r="B355" i="40"/>
  <c r="B188" i="40"/>
  <c r="B305" i="40"/>
  <c r="B493" i="40"/>
  <c r="B413" i="40"/>
  <c r="B84" i="40"/>
  <c r="B184" i="40"/>
  <c r="B57" i="40"/>
  <c r="B332" i="40"/>
  <c r="B412" i="40"/>
  <c r="B250" i="40"/>
  <c r="B239" i="40"/>
  <c r="B112" i="40"/>
  <c r="B373" i="40"/>
  <c r="B25" i="40"/>
  <c r="B155" i="40"/>
  <c r="B134" i="40"/>
  <c r="B59" i="40"/>
  <c r="B194" i="40"/>
  <c r="B427" i="40"/>
  <c r="B150" i="40"/>
  <c r="B169" i="40"/>
  <c r="B443" i="40"/>
  <c r="B252" i="40"/>
  <c r="B168" i="40"/>
  <c r="B475" i="40"/>
  <c r="B298" i="40"/>
  <c r="B440" i="40"/>
  <c r="B409" i="40"/>
  <c r="B360" i="40"/>
  <c r="B33" i="40"/>
  <c r="B193" i="40"/>
  <c r="B85" i="40"/>
  <c r="B369" i="40"/>
  <c r="B421" i="40"/>
  <c r="B358" i="40"/>
  <c r="B26" i="40"/>
  <c r="B236" i="40"/>
  <c r="B219" i="40"/>
  <c r="B92" i="40"/>
  <c r="B218" i="40"/>
  <c r="B379" i="40"/>
  <c r="B147" i="40"/>
  <c r="B21" i="40"/>
  <c r="B151" i="40"/>
  <c r="B105" i="40"/>
  <c r="B10" i="40"/>
  <c r="B483" i="40"/>
  <c r="B139" i="40"/>
  <c r="B163" i="40"/>
  <c r="B348" i="40"/>
  <c r="B154" i="40"/>
  <c r="B467" i="40"/>
  <c r="B76" i="40"/>
  <c r="B362" i="40"/>
  <c r="B496" i="40"/>
  <c r="B75" i="40"/>
  <c r="B374" i="40"/>
  <c r="B270" i="40"/>
  <c r="B19" i="40"/>
  <c r="B337" i="40"/>
  <c r="B317" i="40"/>
  <c r="B282" i="40"/>
  <c r="B271" i="40"/>
  <c r="B361" i="40"/>
  <c r="B157" i="40"/>
  <c r="B186" i="40"/>
  <c r="B51" i="40"/>
  <c r="B179" i="40"/>
  <c r="B418" i="40"/>
  <c r="N115" i="3" l="1"/>
  <c r="AF116" i="3" s="1"/>
  <c r="N107" i="3"/>
  <c r="AF107" i="3" s="1"/>
  <c r="N102" i="3"/>
  <c r="AF103" i="3" s="1"/>
  <c r="D103" i="3" s="1"/>
  <c r="N110" i="3"/>
  <c r="AF109" i="3" s="1"/>
  <c r="N113" i="3"/>
  <c r="AF113" i="3" s="1"/>
  <c r="N105" i="3"/>
  <c r="AF106" i="3" s="1"/>
  <c r="N108" i="3"/>
  <c r="AF108" i="3" s="1"/>
  <c r="N109" i="3"/>
  <c r="AF110" i="3" s="1"/>
  <c r="BG118" i="3"/>
  <c r="AZ104" i="3" s="1"/>
  <c r="BG121" i="3"/>
  <c r="AZ107" i="3" s="1"/>
  <c r="BG119" i="3"/>
  <c r="AZ105" i="3" s="1"/>
  <c r="BG124" i="3"/>
  <c r="AZ110" i="3" s="1"/>
  <c r="BG122" i="3"/>
  <c r="AZ108" i="3" s="1"/>
  <c r="BG117" i="3"/>
  <c r="AZ103" i="3" s="1"/>
  <c r="BG120" i="3"/>
  <c r="AZ106" i="3" s="1"/>
  <c r="B497" i="40"/>
  <c r="BG123" i="3"/>
  <c r="AZ109" i="3" s="1"/>
  <c r="AG103" i="3" l="1"/>
  <c r="M120" i="3"/>
  <c r="AA121" i="3" s="1"/>
  <c r="AA25" i="45"/>
  <c r="M154" i="46"/>
  <c r="C172" i="46"/>
  <c r="K172" i="46"/>
  <c r="DT109" i="3"/>
  <c r="AA22" i="45"/>
  <c r="M155" i="46"/>
  <c r="C173" i="46"/>
  <c r="DT110" i="3"/>
  <c r="K173" i="46"/>
  <c r="AA7" i="45"/>
  <c r="M151" i="46"/>
  <c r="DT106" i="3"/>
  <c r="K169" i="46"/>
  <c r="C169" i="46"/>
  <c r="AA46" i="45"/>
  <c r="M158" i="46"/>
  <c r="C176" i="46"/>
  <c r="DT113" i="3"/>
  <c r="K176" i="46"/>
  <c r="AA34" i="45"/>
  <c r="M152" i="46"/>
  <c r="K170" i="46"/>
  <c r="DT107" i="3"/>
  <c r="C170" i="46"/>
  <c r="C171" i="46"/>
  <c r="M153" i="46"/>
  <c r="AA37" i="45"/>
  <c r="K171" i="46"/>
  <c r="DT108" i="3"/>
  <c r="AA4" i="45"/>
  <c r="M148" i="46"/>
  <c r="DT103" i="3"/>
  <c r="K166" i="46"/>
  <c r="C166" i="46"/>
  <c r="AA49" i="45"/>
  <c r="M161" i="46"/>
  <c r="K179" i="46"/>
  <c r="C179" i="46"/>
  <c r="DT116" i="3"/>
  <c r="AE4" i="45" l="1"/>
  <c r="M183" i="46"/>
  <c r="K201" i="46"/>
  <c r="AE42" i="50" s="1"/>
  <c r="DT121" i="3"/>
  <c r="C201" i="46"/>
  <c r="AJ155" i="3"/>
  <c r="AJ151" i="3"/>
  <c r="L5" i="51"/>
  <c r="CT131" i="46"/>
  <c r="EY132" i="46"/>
  <c r="EJ136" i="46"/>
  <c r="AL152" i="46"/>
  <c r="BP144" i="46"/>
  <c r="BG140" i="46"/>
  <c r="ED138" i="46"/>
  <c r="BG156" i="46"/>
  <c r="FH145" i="46"/>
  <c r="CT150" i="46"/>
  <c r="BV146" i="46"/>
  <c r="CH131" i="46"/>
  <c r="BD143" i="46"/>
  <c r="AR139" i="46"/>
  <c r="EV150" i="46"/>
  <c r="AU152" i="46"/>
  <c r="DU141" i="46"/>
  <c r="CT153" i="46"/>
  <c r="BJ159" i="46"/>
  <c r="CB149" i="46"/>
  <c r="DO149" i="46"/>
  <c r="DC140" i="46"/>
  <c r="FH151" i="46"/>
  <c r="EP148" i="46"/>
  <c r="DX130" i="46"/>
  <c r="ES161" i="46"/>
  <c r="AL157" i="46"/>
  <c r="BG158" i="46"/>
  <c r="CH154" i="46"/>
  <c r="CW138" i="46"/>
  <c r="Z143" i="46"/>
  <c r="DR152" i="46"/>
  <c r="FB142" i="46"/>
  <c r="CK135" i="46"/>
  <c r="AR133" i="46"/>
  <c r="DC156" i="46"/>
  <c r="CH141" i="46"/>
  <c r="EY152" i="46"/>
  <c r="BD153" i="46"/>
  <c r="AL134" i="46"/>
  <c r="BJ145" i="46"/>
  <c r="FB152" i="46"/>
  <c r="BV150" i="46"/>
  <c r="CK151" i="46"/>
  <c r="BY159" i="46"/>
  <c r="BJ146" i="46"/>
  <c r="ED152" i="46"/>
  <c r="EG154" i="46"/>
  <c r="CQ161" i="46"/>
  <c r="CH136" i="46"/>
  <c r="CH137" i="46"/>
  <c r="CW134" i="46"/>
  <c r="CW154" i="46"/>
  <c r="BS158" i="46"/>
  <c r="CT149" i="46"/>
  <c r="BM135" i="46"/>
  <c r="DU136" i="46"/>
  <c r="EP141" i="46"/>
  <c r="DX159" i="46"/>
  <c r="ES149" i="46"/>
  <c r="Z134" i="46"/>
  <c r="DL131" i="46"/>
  <c r="W133" i="46"/>
  <c r="BV134" i="46"/>
  <c r="AF145" i="46"/>
  <c r="AX132" i="46"/>
  <c r="FB137" i="46"/>
  <c r="DI149" i="46"/>
  <c r="DF148" i="46"/>
  <c r="AU139" i="46"/>
  <c r="AF148" i="46"/>
  <c r="W158" i="46"/>
  <c r="DF147" i="46"/>
  <c r="EJ147" i="46"/>
  <c r="BM134" i="46"/>
  <c r="AU148" i="46"/>
  <c r="AC145" i="46"/>
  <c r="CE151" i="46"/>
  <c r="ED156" i="46"/>
  <c r="BP161" i="46"/>
  <c r="Z149" i="46"/>
  <c r="EM158" i="46"/>
  <c r="CN139" i="46"/>
  <c r="BP145" i="46"/>
  <c r="CZ153" i="46"/>
  <c r="FK130" i="46"/>
  <c r="DO160" i="46"/>
  <c r="CE150" i="46"/>
  <c r="DL151" i="46"/>
  <c r="T159" i="46"/>
  <c r="AX141" i="46"/>
  <c r="BY144" i="46"/>
  <c r="BJ144" i="46"/>
  <c r="DC130" i="46"/>
  <c r="AX138" i="46"/>
  <c r="BM145" i="46"/>
  <c r="EJ140" i="46"/>
  <c r="EV151" i="46"/>
  <c r="CZ157" i="46"/>
  <c r="CB161" i="46"/>
  <c r="BS134" i="46"/>
  <c r="CN145" i="46"/>
  <c r="DU139" i="46"/>
  <c r="ED155" i="46"/>
  <c r="BA155" i="46"/>
  <c r="DI132" i="46"/>
  <c r="AC144" i="46"/>
  <c r="EV144" i="46"/>
  <c r="CH146" i="46"/>
  <c r="BV149" i="46"/>
  <c r="FK140" i="46"/>
  <c r="ES145" i="46"/>
  <c r="BM141" i="46"/>
  <c r="FH144" i="46"/>
  <c r="AC161" i="46"/>
  <c r="CQ136" i="46"/>
  <c r="DI133" i="46"/>
  <c r="CK146" i="46"/>
  <c r="FK161" i="46"/>
  <c r="CE157" i="46"/>
  <c r="EJ158" i="46"/>
  <c r="EJ142" i="46"/>
  <c r="EM150" i="46"/>
  <c r="BA133" i="46"/>
  <c r="BY132" i="46"/>
  <c r="FH137" i="46"/>
  <c r="BM152" i="46"/>
  <c r="AC158" i="46"/>
  <c r="FK155" i="46"/>
  <c r="Z141" i="46"/>
  <c r="ED153" i="46"/>
  <c r="BJ149" i="46"/>
  <c r="BM154" i="46"/>
  <c r="BY153" i="46"/>
  <c r="EA156" i="46"/>
  <c r="EV157" i="46"/>
  <c r="FE152" i="46"/>
  <c r="AF138" i="46"/>
  <c r="AF137" i="46"/>
  <c r="DC158" i="46"/>
  <c r="AL155" i="46"/>
  <c r="DO151" i="46"/>
  <c r="DX149" i="46"/>
  <c r="BG147" i="46"/>
  <c r="DX155" i="46"/>
  <c r="T156" i="46"/>
  <c r="EM136" i="46"/>
  <c r="DX140" i="46"/>
  <c r="CH135" i="46"/>
  <c r="DL132" i="46"/>
  <c r="BA136" i="46"/>
  <c r="BP141" i="46"/>
  <c r="CK134" i="46"/>
  <c r="BA146" i="46"/>
  <c r="BY134" i="46"/>
  <c r="AR135" i="46"/>
  <c r="BP158" i="46"/>
  <c r="BG161" i="46"/>
  <c r="T139" i="46"/>
  <c r="BJ142" i="46"/>
  <c r="AO133" i="46"/>
  <c r="BP130" i="46"/>
  <c r="DF154" i="46"/>
  <c r="EG150" i="46"/>
  <c r="EY157" i="46"/>
  <c r="EV133" i="46"/>
  <c r="ED132" i="46"/>
  <c r="CN140" i="46"/>
  <c r="AR142" i="46"/>
  <c r="EV152" i="46"/>
  <c r="CN157" i="46"/>
  <c r="CT161" i="46"/>
  <c r="AU133" i="46"/>
  <c r="DO139" i="46"/>
  <c r="ES144" i="46"/>
  <c r="CT139" i="46"/>
  <c r="BM132" i="46"/>
  <c r="BD142" i="46"/>
  <c r="BS137" i="46"/>
  <c r="DR154" i="46"/>
  <c r="AU147" i="46"/>
  <c r="AI137" i="46"/>
  <c r="AC140" i="46"/>
  <c r="DL142" i="46"/>
  <c r="DL158" i="46"/>
  <c r="CZ152" i="46"/>
  <c r="AL145" i="46"/>
  <c r="EV134" i="46"/>
  <c r="EG160" i="46"/>
  <c r="AL158" i="46"/>
  <c r="EA140" i="46"/>
  <c r="FK139" i="46"/>
  <c r="FE147" i="46"/>
  <c r="EP144" i="46"/>
  <c r="EA130" i="46"/>
  <c r="EM149" i="46"/>
  <c r="DF138" i="46"/>
  <c r="FK160" i="46"/>
  <c r="AF152" i="46"/>
  <c r="BD133" i="46"/>
  <c r="DO137" i="46"/>
  <c r="EG131" i="46"/>
  <c r="BA130" i="46"/>
  <c r="CQ131" i="46"/>
  <c r="CK145" i="46"/>
  <c r="BG133" i="46"/>
  <c r="CW146" i="46"/>
  <c r="BS160" i="46"/>
  <c r="W140" i="46"/>
  <c r="AO161" i="46"/>
  <c r="AX161" i="46"/>
  <c r="T152" i="46"/>
  <c r="BP137" i="46"/>
  <c r="DR148" i="46"/>
  <c r="CH139" i="46"/>
  <c r="BV155" i="46"/>
  <c r="BV147" i="46"/>
  <c r="BA140" i="46"/>
  <c r="FK133" i="46"/>
  <c r="FE146" i="46"/>
  <c r="DL143" i="46"/>
  <c r="FB132" i="46"/>
  <c r="ED154" i="46"/>
  <c r="CH158" i="46"/>
  <c r="AF143" i="46"/>
  <c r="ED135" i="46"/>
  <c r="AR146" i="46"/>
  <c r="DI152" i="46"/>
  <c r="DI134" i="46"/>
  <c r="DR138" i="46"/>
  <c r="DF152" i="46"/>
  <c r="BG144" i="46"/>
  <c r="AF156" i="46"/>
  <c r="AL156" i="46"/>
  <c r="AR132" i="46"/>
  <c r="AU160" i="46"/>
  <c r="Z137" i="46"/>
  <c r="AL131" i="46"/>
  <c r="AI153" i="46"/>
  <c r="BJ152" i="46"/>
  <c r="DO152" i="46"/>
  <c r="AO155" i="46"/>
  <c r="EA155" i="46"/>
  <c r="EV140" i="46"/>
  <c r="DC147" i="46"/>
  <c r="CH145" i="46"/>
  <c r="AX155" i="46"/>
  <c r="ES130" i="46"/>
  <c r="AL143" i="46"/>
  <c r="EV141" i="46"/>
  <c r="CW136" i="46"/>
  <c r="CE144" i="46"/>
  <c r="BG143" i="46"/>
  <c r="AI132" i="46"/>
  <c r="FK131" i="46"/>
  <c r="EJ141" i="46"/>
  <c r="BP147" i="46"/>
  <c r="FB160" i="46"/>
  <c r="EM161" i="46"/>
  <c r="T149" i="46"/>
  <c r="CE137" i="46"/>
  <c r="CT157" i="46"/>
  <c r="BM137" i="46"/>
  <c r="DR146" i="46"/>
  <c r="CN153" i="46"/>
  <c r="DX154" i="46"/>
  <c r="W134" i="46"/>
  <c r="DL135" i="46"/>
  <c r="CE156" i="46"/>
  <c r="CB159" i="46"/>
  <c r="CK154" i="46"/>
  <c r="EG161" i="46"/>
  <c r="DO132" i="46"/>
  <c r="AL142" i="46"/>
  <c r="BA134" i="46"/>
  <c r="AF149" i="46"/>
  <c r="CE133" i="46"/>
  <c r="EA138" i="46"/>
  <c r="BJ141" i="46"/>
  <c r="DL147" i="46"/>
  <c r="BG157" i="46"/>
  <c r="EP149" i="46"/>
  <c r="EM134" i="46"/>
  <c r="AC151" i="46"/>
  <c r="FH153" i="46"/>
  <c r="CT147" i="46"/>
  <c r="T146" i="46"/>
  <c r="DF149" i="46"/>
  <c r="FH140" i="46"/>
  <c r="EM159" i="46"/>
  <c r="BP151" i="46"/>
  <c r="CQ133" i="46"/>
  <c r="CK141" i="46"/>
  <c r="DI144" i="46"/>
  <c r="BS157" i="46"/>
  <c r="ED134" i="46"/>
  <c r="AF150" i="46"/>
  <c r="EJ155" i="46"/>
  <c r="DX145" i="46"/>
  <c r="FK148" i="46"/>
  <c r="BG137" i="46"/>
  <c r="BY148" i="46"/>
  <c r="CZ159" i="46"/>
  <c r="CB155" i="46"/>
  <c r="DL139" i="46"/>
  <c r="CQ152" i="46"/>
  <c r="CT146" i="46"/>
  <c r="CE145" i="46"/>
  <c r="EY150" i="46"/>
  <c r="Z146" i="46"/>
  <c r="AO130" i="46"/>
  <c r="BM139" i="46"/>
  <c r="EJ143" i="46"/>
  <c r="CK159" i="46"/>
  <c r="CW158" i="46"/>
  <c r="CW140" i="46"/>
  <c r="DU147" i="46"/>
  <c r="FB146" i="46"/>
  <c r="W137" i="46"/>
  <c r="DF133" i="46"/>
  <c r="BJ156" i="46"/>
  <c r="Z142" i="46"/>
  <c r="CE158" i="46"/>
  <c r="EM137" i="46"/>
  <c r="Z156" i="46"/>
  <c r="BP139" i="46"/>
  <c r="AI141" i="46"/>
  <c r="DF157" i="46"/>
  <c r="BV153" i="46"/>
  <c r="AR156" i="46"/>
  <c r="EV136" i="46"/>
  <c r="CZ146" i="46"/>
  <c r="EY149" i="46"/>
  <c r="BA142" i="46"/>
  <c r="EA133" i="46"/>
  <c r="FH138" i="46"/>
  <c r="CQ147" i="46"/>
  <c r="EG142" i="46"/>
  <c r="CT158" i="46"/>
  <c r="BA144" i="46"/>
  <c r="FH149" i="46"/>
  <c r="BS141" i="46"/>
  <c r="CK150" i="46"/>
  <c r="EV156" i="46"/>
  <c r="CT133" i="46"/>
  <c r="CK149" i="46"/>
  <c r="CK139" i="46"/>
  <c r="EV132" i="46"/>
  <c r="CQ149" i="46"/>
  <c r="EM145" i="46"/>
  <c r="CE138" i="46"/>
  <c r="BP133" i="46"/>
  <c r="FH148" i="46"/>
  <c r="DL153" i="46"/>
  <c r="BS144" i="46"/>
  <c r="CN149" i="46"/>
  <c r="CZ132" i="46"/>
  <c r="AX131" i="46"/>
  <c r="AC143" i="46"/>
  <c r="BY133" i="46"/>
  <c r="FK150" i="46"/>
  <c r="FE157" i="46"/>
  <c r="CQ158" i="46"/>
  <c r="BY135" i="46"/>
  <c r="W145" i="46"/>
  <c r="BY143" i="46"/>
  <c r="BS150" i="46"/>
  <c r="EG155" i="46"/>
  <c r="DU149" i="46"/>
  <c r="ES151" i="46"/>
  <c r="AU142" i="46"/>
  <c r="BP146" i="46"/>
  <c r="FH130" i="46"/>
  <c r="BM142" i="46"/>
  <c r="FB143" i="46"/>
  <c r="BP152" i="46"/>
  <c r="ED151" i="46"/>
  <c r="FE156" i="46"/>
  <c r="DF155" i="46"/>
  <c r="FE134" i="46"/>
  <c r="CT132" i="46"/>
  <c r="CE159" i="46"/>
  <c r="BV143" i="46"/>
  <c r="EA132" i="46"/>
  <c r="AI155" i="46"/>
  <c r="CQ138" i="46"/>
  <c r="DO150" i="46"/>
  <c r="DI147" i="46"/>
  <c r="EP139" i="46"/>
  <c r="AO141" i="46"/>
  <c r="CK155" i="46"/>
  <c r="DC155" i="46"/>
  <c r="BS142" i="46"/>
  <c r="CT144" i="46"/>
  <c r="BG149" i="46"/>
  <c r="CQ157" i="46"/>
  <c r="AR152" i="46"/>
  <c r="AC131" i="46"/>
  <c r="AO137" i="46"/>
  <c r="ES155" i="46"/>
  <c r="DR151" i="46"/>
  <c r="BJ137" i="46"/>
  <c r="EP132" i="46"/>
  <c r="EA159" i="46"/>
  <c r="BJ155" i="46"/>
  <c r="FB140" i="46"/>
  <c r="DC143" i="46"/>
  <c r="FK146" i="46"/>
  <c r="DU130" i="46"/>
  <c r="BP155" i="46"/>
  <c r="CW160" i="46"/>
  <c r="AI135" i="46"/>
  <c r="AI156" i="46"/>
  <c r="FH146" i="46"/>
  <c r="BP156" i="46"/>
  <c r="EP134" i="46"/>
  <c r="EG156" i="46"/>
  <c r="DF159" i="46"/>
  <c r="AX147" i="46"/>
  <c r="AC132" i="46"/>
  <c r="EM146" i="46"/>
  <c r="FH159" i="46"/>
  <c r="AO142" i="46"/>
  <c r="Z157" i="46"/>
  <c r="DL154" i="46"/>
  <c r="ES153" i="46"/>
  <c r="EY160" i="46"/>
  <c r="FE140" i="46"/>
  <c r="CB153" i="46"/>
  <c r="EJ134" i="46"/>
  <c r="DF160" i="46"/>
  <c r="ES138" i="46"/>
  <c r="CK140" i="46"/>
  <c r="DC144" i="46"/>
  <c r="AC135" i="46"/>
  <c r="BD132" i="46"/>
  <c r="EG133" i="46"/>
  <c r="CK158" i="46"/>
  <c r="CZ147" i="46"/>
  <c r="DU146" i="46"/>
  <c r="Z161" i="46"/>
  <c r="AX130" i="46"/>
  <c r="DR135" i="46"/>
  <c r="W150" i="46"/>
  <c r="CH159" i="46"/>
  <c r="FB155" i="46"/>
  <c r="DX136" i="46"/>
  <c r="AC139" i="46"/>
  <c r="CN147" i="46"/>
  <c r="DX139" i="46"/>
  <c r="AF151" i="46"/>
  <c r="W139" i="46"/>
  <c r="EA153" i="46"/>
  <c r="DU135" i="46"/>
  <c r="CE141" i="46"/>
  <c r="AR138" i="46"/>
  <c r="W152" i="46"/>
  <c r="T141" i="46"/>
  <c r="CK137" i="46"/>
  <c r="CK153" i="46"/>
  <c r="BA160" i="46"/>
  <c r="CQ146" i="46"/>
  <c r="DO145" i="46"/>
  <c r="BD161" i="46"/>
  <c r="DC146" i="46"/>
  <c r="EV153" i="46"/>
  <c r="AL147" i="46"/>
  <c r="AF134" i="46"/>
  <c r="EY156" i="46"/>
  <c r="BG151" i="46"/>
  <c r="T130" i="46"/>
  <c r="CK132" i="46"/>
  <c r="AC149" i="46"/>
  <c r="DX153" i="46"/>
  <c r="FE151" i="46"/>
  <c r="CN138" i="46"/>
  <c r="CB131" i="46"/>
  <c r="BV135" i="46"/>
  <c r="DC151" i="46"/>
  <c r="CH150" i="46"/>
  <c r="BA131" i="46"/>
  <c r="BP135" i="46"/>
  <c r="FE144" i="46"/>
  <c r="CB133" i="46"/>
  <c r="BD159" i="46"/>
  <c r="DO140" i="46"/>
  <c r="CQ143" i="46"/>
  <c r="DC148" i="46"/>
  <c r="CE131" i="46"/>
  <c r="CQ144" i="46"/>
  <c r="BD138" i="46"/>
  <c r="DU148" i="46"/>
  <c r="AX156" i="46"/>
  <c r="EA150" i="46"/>
  <c r="DO134" i="46"/>
  <c r="AX159" i="46"/>
  <c r="DF142" i="46"/>
  <c r="EY145" i="46"/>
  <c r="BY131" i="46"/>
  <c r="AL146" i="46"/>
  <c r="AU131" i="46"/>
  <c r="DR133" i="46"/>
  <c r="FB157" i="46"/>
  <c r="CQ159" i="46"/>
  <c r="EG135" i="46"/>
  <c r="DL161" i="46"/>
  <c r="BS159" i="46"/>
  <c r="EP158" i="46"/>
  <c r="DX157" i="46"/>
  <c r="DO130" i="46"/>
  <c r="ED147" i="46"/>
  <c r="DR141" i="46"/>
  <c r="DI138" i="46"/>
  <c r="CT137" i="46"/>
  <c r="T148" i="46"/>
  <c r="AU151" i="46"/>
  <c r="DO142" i="46"/>
  <c r="EJ139" i="46"/>
  <c r="EY142" i="46"/>
  <c r="BS146" i="46"/>
  <c r="AU138" i="46"/>
  <c r="EY139" i="46"/>
  <c r="BS149" i="46"/>
  <c r="CT141" i="46"/>
  <c r="AL148" i="46"/>
  <c r="BV145" i="46"/>
  <c r="FH157" i="46"/>
  <c r="FH161" i="46"/>
  <c r="DR130" i="46"/>
  <c r="FB136" i="46"/>
  <c r="CN142" i="46"/>
  <c r="FE137" i="46"/>
  <c r="BV160" i="46"/>
  <c r="EV137" i="46"/>
  <c r="BS147" i="46"/>
  <c r="DO133" i="46"/>
  <c r="ES154" i="46"/>
  <c r="BM149" i="46"/>
  <c r="CE143" i="46"/>
  <c r="AI140" i="46"/>
  <c r="CQ151" i="46"/>
  <c r="CZ158" i="46"/>
  <c r="EM132" i="46"/>
  <c r="DC145" i="46"/>
  <c r="ED160" i="46"/>
  <c r="DC152" i="46"/>
  <c r="AI131" i="46"/>
  <c r="CN135" i="46"/>
  <c r="BG134" i="46"/>
  <c r="AI136" i="46"/>
  <c r="CZ137" i="46"/>
  <c r="BG136" i="46"/>
  <c r="DL137" i="46"/>
  <c r="DR145" i="46"/>
  <c r="BA137" i="46"/>
  <c r="ES142" i="46"/>
  <c r="FB138" i="46"/>
  <c r="BJ133" i="46"/>
  <c r="AX158" i="46"/>
  <c r="BS131" i="46"/>
  <c r="EM138" i="46"/>
  <c r="BM159" i="46"/>
  <c r="W138" i="46"/>
  <c r="DU145" i="46"/>
  <c r="AO156" i="46"/>
  <c r="DC133" i="46"/>
  <c r="DF143" i="46"/>
  <c r="CB157" i="46"/>
  <c r="AL160" i="46"/>
  <c r="DX160" i="46"/>
  <c r="AF131" i="46"/>
  <c r="AX151" i="46"/>
  <c r="BY149" i="46"/>
  <c r="CQ160" i="46"/>
  <c r="DI158" i="46"/>
  <c r="DO154" i="46"/>
  <c r="CH142" i="46"/>
  <c r="DL138" i="46"/>
  <c r="CB135" i="46"/>
  <c r="BJ139" i="46"/>
  <c r="FK141" i="46"/>
  <c r="EP140" i="46"/>
  <c r="BD158" i="46"/>
  <c r="ED150" i="46"/>
  <c r="DF146" i="46"/>
  <c r="CQ155" i="46"/>
  <c r="CQ137" i="46"/>
  <c r="AO160" i="46"/>
  <c r="EG139" i="46"/>
  <c r="AR160" i="46"/>
  <c r="BG145" i="46"/>
  <c r="FK144" i="46"/>
  <c r="BP159" i="46"/>
  <c r="AR145" i="46"/>
  <c r="DL146" i="46"/>
  <c r="EJ148" i="46"/>
  <c r="EJ131" i="46"/>
  <c r="BD150" i="46"/>
  <c r="FB151" i="46"/>
  <c r="BD140" i="46"/>
  <c r="BP132" i="46"/>
  <c r="DO148" i="46"/>
  <c r="AF153" i="46"/>
  <c r="CN130" i="46"/>
  <c r="CB139" i="46"/>
  <c r="BS152" i="46"/>
  <c r="BV130" i="46"/>
  <c r="BS148" i="46"/>
  <c r="EM151" i="46"/>
  <c r="BM138" i="46"/>
  <c r="CK130" i="46"/>
  <c r="EP130" i="46"/>
  <c r="DU153" i="46"/>
  <c r="AU143" i="46"/>
  <c r="EM147" i="46"/>
  <c r="AR147" i="46"/>
  <c r="DU154" i="46"/>
  <c r="BV140" i="46"/>
  <c r="DX133" i="46"/>
  <c r="DI157" i="46"/>
  <c r="AX135" i="46"/>
  <c r="AC148" i="46"/>
  <c r="CN131" i="46"/>
  <c r="BJ147" i="46"/>
  <c r="EA160" i="46"/>
  <c r="AR153" i="46"/>
  <c r="DX138" i="46"/>
  <c r="AU161" i="46"/>
  <c r="CH161" i="46"/>
  <c r="ED131" i="46"/>
  <c r="EG146" i="46"/>
  <c r="FB156" i="46"/>
  <c r="EV158" i="46"/>
  <c r="EV138" i="46"/>
  <c r="EP156" i="46"/>
  <c r="ED137" i="46"/>
  <c r="DR150" i="46"/>
  <c r="AR141" i="46"/>
  <c r="AR149" i="46"/>
  <c r="EG149" i="46"/>
  <c r="BP138" i="46"/>
  <c r="AF144" i="46"/>
  <c r="AR140" i="46"/>
  <c r="CE154" i="46"/>
  <c r="BY155" i="46"/>
  <c r="EM131" i="46"/>
  <c r="CQ150" i="46"/>
  <c r="BJ161" i="46"/>
  <c r="CN132" i="46"/>
  <c r="BM133" i="46"/>
  <c r="AU149" i="46"/>
  <c r="ES140" i="46"/>
  <c r="DU159" i="46"/>
  <c r="CK136" i="46"/>
  <c r="BM151" i="46"/>
  <c r="CB147" i="46"/>
  <c r="AR158" i="46"/>
  <c r="EP142" i="46"/>
  <c r="EG159" i="46"/>
  <c r="EP147" i="46"/>
  <c r="EY161" i="46"/>
  <c r="CQ142" i="46"/>
  <c r="EV139" i="46"/>
  <c r="CE132" i="46"/>
  <c r="CH151" i="46"/>
  <c r="ED161" i="46"/>
  <c r="DO146" i="46"/>
  <c r="EG136" i="46"/>
  <c r="DI154" i="46"/>
  <c r="DF136" i="46"/>
  <c r="BG160" i="46"/>
  <c r="AF147" i="46"/>
  <c r="FK152" i="46"/>
  <c r="BD144" i="46"/>
  <c r="AU150" i="46"/>
  <c r="CE140" i="46"/>
  <c r="CZ138" i="46"/>
  <c r="BG146" i="46"/>
  <c r="EM157" i="46"/>
  <c r="FB144" i="46"/>
  <c r="AI146" i="46"/>
  <c r="EP151" i="46"/>
  <c r="EG132" i="46"/>
  <c r="AR131" i="46"/>
  <c r="BM131" i="46"/>
  <c r="BS139" i="46"/>
  <c r="AR150" i="46"/>
  <c r="BG148" i="46"/>
  <c r="DL156" i="46"/>
  <c r="FH132" i="46"/>
  <c r="AO136" i="46"/>
  <c r="DL155" i="46"/>
  <c r="BA148" i="46"/>
  <c r="CT154" i="46"/>
  <c r="AL137" i="46"/>
  <c r="FK138" i="46"/>
  <c r="BJ150" i="46"/>
  <c r="ED136" i="46"/>
  <c r="Z154" i="46"/>
  <c r="CH149" i="46"/>
  <c r="AO149" i="46"/>
  <c r="BV131" i="46"/>
  <c r="CB134" i="46"/>
  <c r="CQ135" i="46"/>
  <c r="BA149" i="46"/>
  <c r="AX139" i="46"/>
  <c r="DI143" i="46"/>
  <c r="FH160" i="46"/>
  <c r="DL136" i="46"/>
  <c r="DC142" i="46"/>
  <c r="CK138" i="46"/>
  <c r="BS154" i="46"/>
  <c r="BV156" i="46"/>
  <c r="DF158" i="46"/>
  <c r="AU159" i="46"/>
  <c r="BD147" i="46"/>
  <c r="AO148" i="46"/>
  <c r="CH156" i="46"/>
  <c r="DO141" i="46"/>
  <c r="CT148" i="46"/>
  <c r="ES159" i="46"/>
  <c r="EV148" i="46"/>
  <c r="DL149" i="46"/>
  <c r="BM153" i="46"/>
  <c r="AF155" i="46"/>
  <c r="FH142" i="46"/>
  <c r="CW156" i="46"/>
  <c r="BS156" i="46"/>
  <c r="DL150" i="46"/>
  <c r="EA143" i="46"/>
  <c r="BY158" i="46"/>
  <c r="AL133" i="46"/>
  <c r="CK147" i="46"/>
  <c r="FH135" i="46"/>
  <c r="EY144" i="46"/>
  <c r="BJ160" i="46"/>
  <c r="AO146" i="46"/>
  <c r="DI151" i="46"/>
  <c r="EA148" i="46"/>
  <c r="AC141" i="46"/>
  <c r="AI152" i="46"/>
  <c r="CE155" i="46"/>
  <c r="CK157" i="46"/>
  <c r="CQ140" i="46"/>
  <c r="DX151" i="46"/>
  <c r="AO158" i="46"/>
  <c r="DU150" i="46"/>
  <c r="CK144" i="46"/>
  <c r="CQ145" i="46"/>
  <c r="BA139" i="46"/>
  <c r="CK160" i="46"/>
  <c r="EP154" i="46"/>
  <c r="FK135" i="46"/>
  <c r="DC137" i="46"/>
  <c r="W130" i="46"/>
  <c r="DL141" i="46"/>
  <c r="Z152" i="46"/>
  <c r="CT159" i="46"/>
  <c r="Z131" i="46"/>
  <c r="AR155" i="46"/>
  <c r="BG154" i="46"/>
  <c r="AX149" i="46"/>
  <c r="BY140" i="46"/>
  <c r="FB147" i="46"/>
  <c r="EJ149" i="46"/>
  <c r="CZ136" i="46"/>
  <c r="DR149" i="46"/>
  <c r="CK142" i="46"/>
  <c r="CZ150" i="46"/>
  <c r="DR156" i="46"/>
  <c r="AI133" i="46"/>
  <c r="AU132" i="46"/>
  <c r="CQ148" i="46"/>
  <c r="DF153" i="46"/>
  <c r="ED144" i="46"/>
  <c r="BD149" i="46"/>
  <c r="FH158" i="46"/>
  <c r="CZ135" i="46"/>
  <c r="EJ135" i="46"/>
  <c r="FE135" i="46"/>
  <c r="BS155" i="46"/>
  <c r="AI145" i="46"/>
  <c r="BD145" i="46"/>
  <c r="FE145" i="46"/>
  <c r="AU136" i="46"/>
  <c r="DL148" i="46"/>
  <c r="EY137" i="46"/>
  <c r="AX142" i="46"/>
  <c r="AO139" i="46"/>
  <c r="DX144" i="46"/>
  <c r="AR134" i="46"/>
  <c r="BP131" i="46"/>
  <c r="FB139" i="46"/>
  <c r="EM153" i="46"/>
  <c r="CE152" i="46"/>
  <c r="EA152" i="46"/>
  <c r="BJ143" i="46"/>
  <c r="EA158" i="46"/>
  <c r="BM144" i="46"/>
  <c r="CW157" i="46"/>
  <c r="AO144" i="46"/>
  <c r="EJ160" i="46"/>
  <c r="W135" i="46"/>
  <c r="DR158" i="46"/>
  <c r="CQ156" i="46"/>
  <c r="EA147" i="46"/>
  <c r="ES156" i="46"/>
  <c r="DO159" i="46"/>
  <c r="EG148" i="46"/>
  <c r="EY155" i="46"/>
  <c r="AL140" i="46"/>
  <c r="EP143" i="46"/>
  <c r="BP134" i="46"/>
  <c r="ES139" i="46"/>
  <c r="BM146" i="46"/>
  <c r="DF131" i="46"/>
  <c r="AC153" i="46"/>
  <c r="Z160" i="46"/>
  <c r="DI161" i="46"/>
  <c r="BY157" i="46"/>
  <c r="BY145" i="46"/>
  <c r="CZ156" i="46"/>
  <c r="DU152" i="46"/>
  <c r="FB150" i="46"/>
  <c r="BA161" i="46"/>
  <c r="AC138" i="46"/>
  <c r="DC141" i="46"/>
  <c r="CW137" i="46"/>
  <c r="BY154" i="46"/>
  <c r="DU143" i="46"/>
  <c r="DX135" i="46"/>
  <c r="CT136" i="46"/>
  <c r="DO153" i="46"/>
  <c r="BD156" i="46"/>
  <c r="EY151" i="46"/>
  <c r="AX150" i="46"/>
  <c r="BV136" i="46"/>
  <c r="AO131" i="46"/>
  <c r="EJ154" i="46"/>
  <c r="AI147" i="46"/>
  <c r="DF156" i="46"/>
  <c r="AX154" i="46"/>
  <c r="AC134" i="46"/>
  <c r="ES143" i="46"/>
  <c r="BD130" i="46"/>
  <c r="BD157" i="46"/>
  <c r="AX134" i="46"/>
  <c r="ED139" i="46"/>
  <c r="CT130" i="46"/>
  <c r="CQ130" i="46"/>
  <c r="BM150" i="46"/>
  <c r="EJ137" i="46"/>
  <c r="CW145" i="46"/>
  <c r="DF161" i="46"/>
  <c r="CW147" i="46"/>
  <c r="EV131" i="46"/>
  <c r="CQ153" i="46"/>
  <c r="BS153" i="46"/>
  <c r="EA141" i="46"/>
  <c r="FH150" i="46"/>
  <c r="CN133" i="46"/>
  <c r="AX140" i="46"/>
  <c r="W153" i="46"/>
  <c r="EA151" i="46"/>
  <c r="CH153" i="46"/>
  <c r="DF130" i="46"/>
  <c r="CN143" i="46"/>
  <c r="CE134" i="46"/>
  <c r="EP137" i="46"/>
  <c r="BD146" i="46"/>
  <c r="CT134" i="46"/>
  <c r="BS130" i="46"/>
  <c r="DC159" i="46"/>
  <c r="FB158" i="46"/>
  <c r="AU153" i="46"/>
  <c r="AO143" i="46"/>
  <c r="BY161" i="46"/>
  <c r="BY137" i="46"/>
  <c r="BD139" i="46"/>
  <c r="CT140" i="46"/>
  <c r="W148" i="46"/>
  <c r="BY160" i="46"/>
  <c r="DI141" i="46"/>
  <c r="AU158" i="46"/>
  <c r="DF144" i="46"/>
  <c r="EY159" i="46"/>
  <c r="ES136" i="46"/>
  <c r="DR143" i="46"/>
  <c r="AI138" i="46"/>
  <c r="DL134" i="46"/>
  <c r="W157" i="46"/>
  <c r="AU134" i="46"/>
  <c r="W146" i="46"/>
  <c r="T132" i="46"/>
  <c r="EJ146" i="46"/>
  <c r="AC156" i="46"/>
  <c r="DX147" i="46"/>
  <c r="DF145" i="46"/>
  <c r="CE136" i="46"/>
  <c r="EY143" i="46"/>
  <c r="CZ145" i="46"/>
  <c r="AC157" i="46"/>
  <c r="CZ134" i="46"/>
  <c r="T150" i="46"/>
  <c r="DI153" i="46"/>
  <c r="ES148" i="46"/>
  <c r="Z130" i="46"/>
  <c r="ED157" i="46"/>
  <c r="EP136" i="46"/>
  <c r="Z155" i="46"/>
  <c r="AC150" i="46"/>
  <c r="BV159" i="46"/>
  <c r="DF150" i="46"/>
  <c r="DL160" i="46"/>
  <c r="CB137" i="46"/>
  <c r="CH138" i="46"/>
  <c r="AL141" i="46"/>
  <c r="AR154" i="46"/>
  <c r="DO131" i="46"/>
  <c r="CH148" i="46"/>
  <c r="Z153" i="46"/>
  <c r="EA134" i="46"/>
  <c r="BA154" i="46"/>
  <c r="W156" i="46"/>
  <c r="EM140" i="46"/>
  <c r="AO132" i="46"/>
  <c r="Z133" i="46"/>
  <c r="DX148" i="46"/>
  <c r="BP157" i="46"/>
  <c r="AI148" i="46"/>
  <c r="DF140" i="46"/>
  <c r="DR137" i="46"/>
  <c r="DU132" i="46"/>
  <c r="EG134" i="46"/>
  <c r="FB148" i="46"/>
  <c r="ES134" i="46"/>
  <c r="EP133" i="46"/>
  <c r="DL140" i="46"/>
  <c r="EP138" i="46"/>
  <c r="CB136" i="46"/>
  <c r="AL132" i="46"/>
  <c r="FH147" i="46"/>
  <c r="DU142" i="46"/>
  <c r="EV145" i="46"/>
  <c r="FE142" i="46"/>
  <c r="AL144" i="46"/>
  <c r="EM152" i="46"/>
  <c r="ES132" i="46"/>
  <c r="BY138" i="46"/>
  <c r="DR159" i="46"/>
  <c r="BS143" i="46"/>
  <c r="DC139" i="46"/>
  <c r="DO135" i="46"/>
  <c r="BG159" i="46"/>
  <c r="BA151" i="46"/>
  <c r="BY152" i="46"/>
  <c r="EP153" i="46"/>
  <c r="BA152" i="46"/>
  <c r="EA145" i="46"/>
  <c r="CT135" i="46"/>
  <c r="ES147" i="46"/>
  <c r="EY140" i="46"/>
  <c r="BG155" i="46"/>
  <c r="BY141" i="46"/>
  <c r="CZ160" i="46"/>
  <c r="DU140" i="46"/>
  <c r="BA135" i="46"/>
  <c r="EM141" i="46"/>
  <c r="CE160" i="46"/>
  <c r="FK156" i="46"/>
  <c r="FE141" i="46"/>
  <c r="EV130" i="46"/>
  <c r="T143" i="46"/>
  <c r="EP135" i="46"/>
  <c r="T142" i="46"/>
  <c r="T157" i="46"/>
  <c r="DR142" i="46"/>
  <c r="DI131" i="46"/>
  <c r="AF154" i="46"/>
  <c r="BG132" i="46"/>
  <c r="DX146" i="46"/>
  <c r="EM160" i="46"/>
  <c r="CT143" i="46"/>
  <c r="DO158" i="46"/>
  <c r="AR161" i="46"/>
  <c r="DI142" i="46"/>
  <c r="DU131" i="46"/>
  <c r="AI144" i="46"/>
  <c r="BJ154" i="46"/>
  <c r="DX134" i="46"/>
  <c r="ES146" i="46"/>
  <c r="FB130" i="46"/>
  <c r="FK145" i="46"/>
  <c r="CZ161" i="46"/>
  <c r="BD152" i="46"/>
  <c r="FE133" i="46"/>
  <c r="AL151" i="46"/>
  <c r="ED133" i="46"/>
  <c r="W161" i="46"/>
  <c r="W132" i="46"/>
  <c r="BP154" i="46"/>
  <c r="BJ151" i="46"/>
  <c r="BY136" i="46"/>
  <c r="BA159" i="46"/>
  <c r="BM161" i="46"/>
  <c r="BD151" i="46"/>
  <c r="DC132" i="46"/>
  <c r="AI142" i="46"/>
  <c r="BD141" i="46"/>
  <c r="BA158" i="46"/>
  <c r="DR132" i="46"/>
  <c r="BJ158" i="46"/>
  <c r="DL152" i="46"/>
  <c r="Z138" i="46"/>
  <c r="AF132" i="46"/>
  <c r="W154" i="46"/>
  <c r="BD134" i="46"/>
  <c r="CZ154" i="46"/>
  <c r="AF159" i="46"/>
  <c r="BS135" i="46"/>
  <c r="BS161" i="46"/>
  <c r="CK131" i="46"/>
  <c r="EY133" i="46"/>
  <c r="BP140" i="46"/>
  <c r="DU144" i="46"/>
  <c r="FE154" i="46"/>
  <c r="FE136" i="46"/>
  <c r="CN159" i="46"/>
  <c r="CK161" i="46"/>
  <c r="AO154" i="46"/>
  <c r="AL159" i="46"/>
  <c r="FB135" i="46"/>
  <c r="DI139" i="46"/>
  <c r="AR136" i="46"/>
  <c r="AF146" i="46"/>
  <c r="BM156" i="46"/>
  <c r="CQ132" i="46"/>
  <c r="EJ150" i="46"/>
  <c r="DX158" i="46"/>
  <c r="BV161" i="46"/>
  <c r="BJ135" i="46"/>
  <c r="BS136" i="46"/>
  <c r="EJ145" i="46"/>
  <c r="FE143" i="46"/>
  <c r="BG153" i="46"/>
  <c r="ED149" i="46"/>
  <c r="EV142" i="46"/>
  <c r="EP161" i="46"/>
  <c r="BA150" i="46"/>
  <c r="CE149" i="46"/>
  <c r="CK156" i="46"/>
  <c r="EV135" i="46"/>
  <c r="FK158" i="46"/>
  <c r="AI134" i="46"/>
  <c r="CW149" i="46"/>
  <c r="Z132" i="46"/>
  <c r="BD160" i="46"/>
  <c r="CZ151" i="46"/>
  <c r="EJ132" i="46"/>
  <c r="CQ154" i="46"/>
  <c r="AC142" i="46"/>
  <c r="CN146" i="46"/>
  <c r="CB132" i="46"/>
  <c r="DC161" i="46"/>
  <c r="CT151" i="46"/>
  <c r="BM158" i="46"/>
  <c r="CN148" i="46"/>
  <c r="AX153" i="46"/>
  <c r="DL145" i="46"/>
  <c r="EG147" i="46"/>
  <c r="AF139" i="46"/>
  <c r="AC159" i="46"/>
  <c r="CZ139" i="46"/>
  <c r="DI148" i="46"/>
  <c r="DR157" i="46"/>
  <c r="ED143" i="46"/>
  <c r="EY147" i="46"/>
  <c r="T154" i="46"/>
  <c r="EJ159" i="46"/>
  <c r="CW153" i="46"/>
  <c r="CE147" i="46"/>
  <c r="EJ156" i="46"/>
  <c r="AI130" i="46"/>
  <c r="AF142" i="46"/>
  <c r="AI154" i="46"/>
  <c r="CZ148" i="46"/>
  <c r="AL149" i="46"/>
  <c r="DX141" i="46"/>
  <c r="Z139" i="46"/>
  <c r="EM144" i="46"/>
  <c r="CW150" i="46"/>
  <c r="BD137" i="46"/>
  <c r="CK148" i="46"/>
  <c r="ES152" i="46"/>
  <c r="BD135" i="46"/>
  <c r="Z159" i="46"/>
  <c r="CZ149" i="46"/>
  <c r="BG150" i="46"/>
  <c r="FE131" i="46"/>
  <c r="BA157" i="46"/>
  <c r="AO153" i="46"/>
  <c r="AI161" i="46"/>
  <c r="AU137" i="46"/>
  <c r="T151" i="46"/>
  <c r="FK147" i="46"/>
  <c r="AX133" i="46"/>
  <c r="FK153" i="46"/>
  <c r="DX142" i="46"/>
  <c r="DR147" i="46"/>
  <c r="AC133" i="46"/>
  <c r="FE139" i="46"/>
  <c r="CB154" i="46"/>
  <c r="DC134" i="46"/>
  <c r="EY138" i="46"/>
  <c r="BV152" i="46"/>
  <c r="FE153" i="46"/>
  <c r="AU145" i="46"/>
  <c r="EY158" i="46"/>
  <c r="W131" i="46"/>
  <c r="DO157" i="46"/>
  <c r="DX156" i="46"/>
  <c r="BV137" i="46"/>
  <c r="DO156" i="46"/>
  <c r="DO143" i="46"/>
  <c r="W149" i="46"/>
  <c r="BS145" i="46"/>
  <c r="DO136" i="46"/>
  <c r="DC136" i="46"/>
  <c r="ES157" i="46"/>
  <c r="EY136" i="46"/>
  <c r="T160" i="46"/>
  <c r="AO159" i="46"/>
  <c r="ES137" i="46"/>
  <c r="AF133" i="46"/>
  <c r="FE148" i="46"/>
  <c r="EA139" i="46"/>
  <c r="DU134" i="46"/>
  <c r="BJ140" i="46"/>
  <c r="AX152" i="46"/>
  <c r="EM156" i="46"/>
  <c r="BV144" i="46"/>
  <c r="BM140" i="46"/>
  <c r="CZ131" i="46"/>
  <c r="EP150" i="46"/>
  <c r="CB130" i="46"/>
  <c r="BM143" i="46"/>
  <c r="FK143" i="46"/>
  <c r="BA153" i="46"/>
  <c r="AR159" i="46"/>
  <c r="DU157" i="46"/>
  <c r="DU151" i="46"/>
  <c r="EP159" i="46"/>
  <c r="BM130" i="46"/>
  <c r="W142" i="46"/>
  <c r="DI156" i="46"/>
  <c r="EP155" i="46"/>
  <c r="DU160" i="46"/>
  <c r="CB152" i="46"/>
  <c r="AF157" i="46"/>
  <c r="DR140" i="46"/>
  <c r="FH131" i="46"/>
  <c r="CK133" i="46"/>
  <c r="DX131" i="46"/>
  <c r="CZ143" i="46"/>
  <c r="T161" i="46"/>
  <c r="FH152" i="46"/>
  <c r="CH140" i="46"/>
  <c r="ED130" i="46"/>
  <c r="AI160" i="46"/>
  <c r="CW151" i="46"/>
  <c r="Z140" i="46"/>
  <c r="AR148" i="46"/>
  <c r="BY147" i="46"/>
  <c r="BP142" i="46"/>
  <c r="CW132" i="46"/>
  <c r="CH134" i="46"/>
  <c r="T138" i="46"/>
  <c r="BJ157" i="46"/>
  <c r="EA161" i="46"/>
  <c r="Z145" i="46"/>
  <c r="CW139" i="46"/>
  <c r="DR136" i="46"/>
  <c r="AO157" i="46"/>
  <c r="CN134" i="46"/>
  <c r="CE142" i="46"/>
  <c r="ED158" i="46"/>
  <c r="EG138" i="46"/>
  <c r="BD136" i="46"/>
  <c r="CN141" i="46"/>
  <c r="FE132" i="46"/>
  <c r="DC149" i="46"/>
  <c r="DI155" i="46"/>
  <c r="DR155" i="46"/>
  <c r="EV147" i="46"/>
  <c r="EG140" i="46"/>
  <c r="EM143" i="46"/>
  <c r="DO147" i="46"/>
  <c r="DU133" i="46"/>
  <c r="T155" i="46"/>
  <c r="DI160" i="46"/>
  <c r="ES150" i="46"/>
  <c r="BS138" i="46"/>
  <c r="BG152" i="46"/>
  <c r="EG144" i="46"/>
  <c r="EY148" i="46"/>
  <c r="BY146" i="46"/>
  <c r="DU138" i="46"/>
  <c r="BJ148" i="46"/>
  <c r="Z151" i="46"/>
  <c r="CN137" i="46"/>
  <c r="AF135" i="46"/>
  <c r="AI157" i="46"/>
  <c r="EY153" i="46"/>
  <c r="EP157" i="46"/>
  <c r="DL130" i="46"/>
  <c r="CH157" i="46"/>
  <c r="DL133" i="46"/>
  <c r="FB154" i="46"/>
  <c r="DU158" i="46"/>
  <c r="T137" i="46"/>
  <c r="BY156" i="46"/>
  <c r="EY146" i="46"/>
  <c r="BY151" i="46"/>
  <c r="T147" i="46"/>
  <c r="CN151" i="46"/>
  <c r="BM155" i="46"/>
  <c r="FB145" i="46"/>
  <c r="AR137" i="46"/>
  <c r="CZ130" i="46"/>
  <c r="EA149" i="46"/>
  <c r="EJ130" i="46"/>
  <c r="BM136" i="46"/>
  <c r="AF140" i="46"/>
  <c r="FE161" i="46"/>
  <c r="FE150" i="46"/>
  <c r="CW148" i="46"/>
  <c r="CZ155" i="46"/>
  <c r="EV160" i="46"/>
  <c r="BV151" i="46"/>
  <c r="EA144" i="46"/>
  <c r="CW141" i="46"/>
  <c r="BD155" i="46"/>
  <c r="EY141" i="46"/>
  <c r="CB138" i="46"/>
  <c r="EM142" i="46"/>
  <c r="DC154" i="46"/>
  <c r="FK154" i="46"/>
  <c r="CQ139" i="46"/>
  <c r="FK151" i="46"/>
  <c r="AU154" i="46"/>
  <c r="CB143" i="46"/>
  <c r="T133" i="46"/>
  <c r="DO155" i="46"/>
  <c r="AI143" i="46"/>
  <c r="CW161" i="46"/>
  <c r="CH143" i="46"/>
  <c r="CT138" i="46"/>
  <c r="AC130" i="46"/>
  <c r="DR131" i="46"/>
  <c r="CE130" i="46"/>
  <c r="FB159" i="46"/>
  <c r="BP143" i="46"/>
  <c r="EV159" i="46"/>
  <c r="DC153" i="46"/>
  <c r="EA154" i="46"/>
  <c r="CW142" i="46"/>
  <c r="AF141" i="46"/>
  <c r="CW155" i="46"/>
  <c r="FE158" i="46"/>
  <c r="DI145" i="46"/>
  <c r="Z158" i="46"/>
  <c r="BY142" i="46"/>
  <c r="CT145" i="46"/>
  <c r="BM148" i="46"/>
  <c r="BV148" i="46"/>
  <c r="CH160" i="46"/>
  <c r="DC131" i="46"/>
  <c r="EV146" i="46"/>
  <c r="CW135" i="46"/>
  <c r="CN156" i="46"/>
  <c r="EG157" i="46"/>
  <c r="DF141" i="46"/>
  <c r="CE153" i="46"/>
  <c r="DC157" i="46"/>
  <c r="DL159" i="46"/>
  <c r="BP136" i="46"/>
  <c r="W144" i="46"/>
  <c r="BM147" i="46"/>
  <c r="AX137" i="46"/>
  <c r="FH134" i="46"/>
  <c r="EP145" i="46"/>
  <c r="AX144" i="46"/>
  <c r="DF134" i="46"/>
  <c r="CE146" i="46"/>
  <c r="DL157" i="46"/>
  <c r="EG141" i="46"/>
  <c r="Z144" i="46"/>
  <c r="BG135" i="46"/>
  <c r="CB156" i="46"/>
  <c r="EG151" i="46"/>
  <c r="AU141" i="46"/>
  <c r="AI159" i="46"/>
  <c r="CZ144" i="46"/>
  <c r="BA145" i="46"/>
  <c r="T135" i="46"/>
  <c r="FK157" i="46"/>
  <c r="EJ152" i="46"/>
  <c r="EP146" i="46"/>
  <c r="BD148" i="46"/>
  <c r="AL154" i="46"/>
  <c r="AR151" i="46"/>
  <c r="EJ133" i="46"/>
  <c r="FH136" i="46"/>
  <c r="T140" i="46"/>
  <c r="AC155" i="46"/>
  <c r="BY150" i="46"/>
  <c r="DC150" i="46"/>
  <c r="EG152" i="46"/>
  <c r="BG130" i="46"/>
  <c r="BJ130" i="46"/>
  <c r="BG142" i="46"/>
  <c r="DX137" i="46"/>
  <c r="DU156" i="46"/>
  <c r="EV149" i="46"/>
  <c r="AO152" i="46"/>
  <c r="DF132" i="46"/>
  <c r="Z136" i="46"/>
  <c r="CW159" i="46"/>
  <c r="FE149" i="46"/>
  <c r="AF158" i="46"/>
  <c r="CH152" i="46"/>
  <c r="CH132" i="46"/>
  <c r="BV133" i="46"/>
  <c r="CT152" i="46"/>
  <c r="FK134" i="46"/>
  <c r="FE130" i="46"/>
  <c r="CN155" i="46"/>
  <c r="AX145" i="46"/>
  <c r="FK136" i="46"/>
  <c r="CN154" i="46"/>
  <c r="AC146" i="46"/>
  <c r="FH143" i="46"/>
  <c r="DL144" i="46"/>
  <c r="CN158" i="46"/>
  <c r="DU137" i="46"/>
  <c r="EG137" i="46"/>
  <c r="EG158" i="46"/>
  <c r="AO140" i="46"/>
  <c r="EJ151" i="46"/>
  <c r="AI158" i="46"/>
  <c r="FE155" i="46"/>
  <c r="ED142" i="46"/>
  <c r="CB142" i="46"/>
  <c r="EP131" i="46"/>
  <c r="EA136" i="46"/>
  <c r="AU135" i="46"/>
  <c r="CQ134" i="46"/>
  <c r="BD154" i="46"/>
  <c r="EJ144" i="46"/>
  <c r="DX143" i="46"/>
  <c r="BP153" i="46"/>
  <c r="AU144" i="46"/>
  <c r="CB148" i="46"/>
  <c r="BP160" i="46"/>
  <c r="W160" i="46"/>
  <c r="DR139" i="46"/>
  <c r="CB145" i="46"/>
  <c r="DX150" i="46"/>
  <c r="CT142" i="46"/>
  <c r="AC137" i="46"/>
  <c r="CZ142" i="46"/>
  <c r="EA142" i="46"/>
  <c r="FK137" i="46"/>
  <c r="ES158" i="46"/>
  <c r="FH156" i="46"/>
  <c r="BJ131" i="46"/>
  <c r="BY139" i="46"/>
  <c r="AL138" i="46"/>
  <c r="CB160" i="46"/>
  <c r="FH141" i="46"/>
  <c r="CE161" i="46"/>
  <c r="AI151" i="46"/>
  <c r="BG141" i="46"/>
  <c r="CW144" i="46"/>
  <c r="EA135" i="46"/>
  <c r="ED140" i="46"/>
  <c r="EA157" i="46"/>
  <c r="BA143" i="46"/>
  <c r="BP149" i="46"/>
  <c r="BS151" i="46"/>
  <c r="T153" i="46"/>
  <c r="CK152" i="46"/>
  <c r="AO147" i="46"/>
  <c r="DI135" i="46"/>
  <c r="AR130" i="46"/>
  <c r="FH133" i="46"/>
  <c r="CH147" i="46"/>
  <c r="FH155" i="46"/>
  <c r="BV141" i="46"/>
  <c r="EJ138" i="46"/>
  <c r="AL139" i="46"/>
  <c r="DX132" i="46"/>
  <c r="ES141" i="46"/>
  <c r="AU130" i="46"/>
  <c r="CN152" i="46"/>
  <c r="EM148" i="46"/>
  <c r="DR153" i="46"/>
  <c r="T136" i="46"/>
  <c r="CQ141" i="46"/>
  <c r="AC154" i="46"/>
  <c r="FB134" i="46"/>
  <c r="DC160" i="46"/>
  <c r="AF130" i="46"/>
  <c r="DO144" i="46"/>
  <c r="CB158" i="46"/>
  <c r="ES131" i="46"/>
  <c r="BD131" i="46"/>
  <c r="CN144" i="46"/>
  <c r="CH130" i="46"/>
  <c r="W151" i="46"/>
  <c r="ED146" i="46"/>
  <c r="CW152" i="46"/>
  <c r="EJ161" i="46"/>
  <c r="Z148" i="46"/>
  <c r="AL130" i="46"/>
  <c r="AF136" i="46"/>
  <c r="DC135" i="46"/>
  <c r="ES133" i="46"/>
  <c r="CT156" i="46"/>
  <c r="DF139" i="46"/>
  <c r="BV158" i="46"/>
  <c r="EG153" i="46"/>
  <c r="W141" i="46"/>
  <c r="FH154" i="46"/>
  <c r="CW143" i="46"/>
  <c r="CN136" i="46"/>
  <c r="CB151" i="46"/>
  <c r="CB146" i="46"/>
  <c r="W143" i="46"/>
  <c r="AU146" i="46"/>
  <c r="CH133" i="46"/>
  <c r="CZ140" i="46"/>
  <c r="BJ136" i="46"/>
  <c r="EM139" i="46"/>
  <c r="CT155" i="46"/>
  <c r="FB133" i="46"/>
  <c r="EV155" i="46"/>
  <c r="FK132" i="46"/>
  <c r="Z150" i="46"/>
  <c r="AC136" i="46"/>
  <c r="AC152" i="46"/>
  <c r="BJ138" i="46"/>
  <c r="CZ141" i="46"/>
  <c r="AI150" i="46"/>
  <c r="EV154" i="46"/>
  <c r="EG130" i="46"/>
  <c r="EJ157" i="46"/>
  <c r="CN150" i="46"/>
  <c r="AX136" i="46"/>
  <c r="AC147" i="46"/>
  <c r="DX161" i="46"/>
  <c r="BM157" i="46"/>
  <c r="W159" i="46"/>
  <c r="CN160" i="46"/>
  <c r="AO151" i="46"/>
  <c r="AX157" i="46"/>
  <c r="EA146" i="46"/>
  <c r="FK149" i="46"/>
  <c r="AI139" i="46"/>
  <c r="AO134" i="46"/>
  <c r="DF151" i="46"/>
  <c r="AL135" i="46"/>
  <c r="EM154" i="46"/>
  <c r="DI130" i="46"/>
  <c r="AR157" i="46"/>
  <c r="FE138" i="46"/>
  <c r="EY131" i="46"/>
  <c r="FE160" i="46"/>
  <c r="CN161" i="46"/>
  <c r="T145" i="46"/>
  <c r="EY134" i="46"/>
  <c r="FB161" i="46"/>
  <c r="BG139" i="46"/>
  <c r="DU155" i="46"/>
  <c r="BJ132" i="46"/>
  <c r="EP160" i="46"/>
  <c r="EG143" i="46"/>
  <c r="FK142" i="46"/>
  <c r="FB153" i="46"/>
  <c r="T134" i="46"/>
  <c r="BP150" i="46"/>
  <c r="EY130" i="46"/>
  <c r="BV154" i="46"/>
  <c r="BS133" i="46"/>
  <c r="AO150" i="46"/>
  <c r="CB144" i="46"/>
  <c r="DO161" i="46"/>
  <c r="DI140" i="46"/>
  <c r="EG145" i="46"/>
  <c r="EM133" i="46"/>
  <c r="BM160" i="46"/>
  <c r="AL161" i="46"/>
  <c r="ES160" i="46"/>
  <c r="CW133" i="46"/>
  <c r="BA138" i="46"/>
  <c r="FB141" i="46"/>
  <c r="BV139" i="46"/>
  <c r="DR161" i="46"/>
  <c r="DO138" i="46"/>
  <c r="BA147" i="46"/>
  <c r="CE139" i="46"/>
  <c r="BV142" i="46"/>
  <c r="BG138" i="46"/>
  <c r="DI137" i="46"/>
  <c r="EM135" i="46"/>
  <c r="Z147" i="46"/>
  <c r="ED141" i="46"/>
  <c r="BV132" i="46"/>
  <c r="AX143" i="46"/>
  <c r="FB131" i="46"/>
  <c r="EM155" i="46"/>
  <c r="DI159" i="46"/>
  <c r="AX146" i="46"/>
  <c r="EV143" i="46"/>
  <c r="AX160" i="46"/>
  <c r="EY135" i="46"/>
  <c r="AF161" i="46"/>
  <c r="AU157" i="46"/>
  <c r="AO138" i="46"/>
  <c r="DI150" i="46"/>
  <c r="BJ134" i="46"/>
  <c r="AL136" i="46"/>
  <c r="AR144" i="46"/>
  <c r="BY130" i="46"/>
  <c r="AC160" i="46"/>
  <c r="DX152" i="46"/>
  <c r="FH139" i="46"/>
  <c r="AU156" i="46"/>
  <c r="CT160" i="46"/>
  <c r="BV157" i="46"/>
  <c r="BS140" i="46"/>
  <c r="BP148" i="46"/>
  <c r="ES135" i="46"/>
  <c r="AO145" i="46"/>
  <c r="AL153" i="46"/>
  <c r="DI136" i="46"/>
  <c r="W155" i="46"/>
  <c r="CH155" i="46"/>
  <c r="W136" i="46"/>
  <c r="BJ153" i="46"/>
  <c r="FK159" i="46"/>
  <c r="CH144" i="46"/>
  <c r="AU155" i="46"/>
  <c r="DF135" i="46"/>
  <c r="FB149" i="46"/>
  <c r="DU161" i="46"/>
  <c r="CE148" i="46"/>
  <c r="CB150" i="46"/>
  <c r="ED145" i="46"/>
  <c r="DR134" i="46"/>
  <c r="EJ153" i="46"/>
  <c r="AR143" i="46"/>
  <c r="W147" i="46"/>
  <c r="FE159" i="46"/>
  <c r="DF137" i="46"/>
  <c r="CE135" i="46"/>
  <c r="CK143" i="46"/>
  <c r="BA156" i="46"/>
  <c r="EM130" i="46"/>
  <c r="T131" i="46"/>
  <c r="Z135" i="46"/>
  <c r="CB140" i="46"/>
  <c r="ED159" i="46"/>
  <c r="BA132" i="46"/>
  <c r="DI146" i="46"/>
  <c r="DR160" i="46"/>
  <c r="T144" i="46"/>
  <c r="BG131" i="46"/>
  <c r="AO135" i="46"/>
  <c r="T158" i="46"/>
  <c r="BV138" i="46"/>
  <c r="BA141" i="46"/>
  <c r="DC138" i="46"/>
  <c r="AU140" i="46"/>
  <c r="EV161" i="46"/>
  <c r="AX148" i="46"/>
  <c r="ED148" i="46"/>
  <c r="AF160" i="46"/>
  <c r="DR144" i="46"/>
  <c r="EY154" i="46"/>
  <c r="CW131" i="46"/>
  <c r="CZ133" i="46"/>
  <c r="AI149" i="46"/>
  <c r="EA131" i="46"/>
  <c r="EP152" i="46"/>
  <c r="AL150" i="46"/>
  <c r="EA137" i="46"/>
  <c r="CB141" i="46"/>
  <c r="BS132" i="46"/>
  <c r="CW130" i="46"/>
  <c r="AU170" i="46"/>
  <c r="EA174" i="46"/>
  <c r="BP175" i="46"/>
  <c r="AC175" i="46"/>
  <c r="DX172" i="46"/>
  <c r="BA176" i="46"/>
  <c r="ED170" i="46"/>
  <c r="BJ174" i="46"/>
  <c r="W178" i="46"/>
  <c r="AO169" i="46"/>
  <c r="FE169" i="46"/>
  <c r="FK179" i="46"/>
  <c r="EG178" i="46"/>
  <c r="EA172" i="46"/>
  <c r="EG168" i="46"/>
  <c r="EV173" i="46"/>
  <c r="AL170" i="46"/>
  <c r="DL174" i="46"/>
  <c r="FE177" i="46"/>
  <c r="DL165" i="46"/>
  <c r="CB179" i="46"/>
  <c r="AI164" i="46"/>
  <c r="AU172" i="46"/>
  <c r="CQ179" i="46"/>
  <c r="FH167" i="46"/>
  <c r="BY176" i="46"/>
  <c r="FK172" i="46"/>
  <c r="CH168" i="46"/>
  <c r="AO179" i="46"/>
  <c r="EJ175" i="46"/>
  <c r="DC173" i="46"/>
  <c r="EV169" i="46"/>
  <c r="EP174" i="46"/>
  <c r="CE177" i="46"/>
  <c r="BG177" i="46"/>
  <c r="FB170" i="46"/>
  <c r="EP171" i="46"/>
  <c r="EM176" i="46"/>
  <c r="EP172" i="46"/>
  <c r="FE176" i="46"/>
  <c r="T179" i="46"/>
  <c r="DR165" i="46"/>
  <c r="AC167" i="46"/>
  <c r="DX167" i="46"/>
  <c r="DO164" i="46"/>
  <c r="BY164" i="46"/>
  <c r="W169" i="46"/>
  <c r="BD177" i="46"/>
  <c r="BD173" i="46"/>
  <c r="DC178" i="46"/>
  <c r="CT166" i="46"/>
  <c r="AI169" i="46"/>
  <c r="BV175" i="46"/>
  <c r="W177" i="46"/>
  <c r="EV171" i="46"/>
  <c r="CQ168" i="46"/>
  <c r="ED177" i="46"/>
  <c r="DO173" i="46"/>
  <c r="CT173" i="46"/>
  <c r="BM169" i="46"/>
  <c r="FE178" i="46"/>
  <c r="AI175" i="46"/>
  <c r="EG174" i="46"/>
  <c r="BA171" i="46"/>
  <c r="CH164" i="46"/>
  <c r="BD175" i="46"/>
  <c r="CQ175" i="46"/>
  <c r="DX175" i="46"/>
  <c r="BG173" i="46"/>
  <c r="CW171" i="46"/>
  <c r="DI174" i="46"/>
  <c r="AO177" i="46"/>
  <c r="EA165" i="46"/>
  <c r="BG174" i="46"/>
  <c r="CT164" i="46"/>
  <c r="T178" i="46"/>
  <c r="DC164" i="46"/>
  <c r="CH177" i="46"/>
  <c r="BJ169" i="46"/>
  <c r="DC172" i="46"/>
  <c r="BA177" i="46"/>
  <c r="BD179" i="46"/>
  <c r="EP178" i="46"/>
  <c r="BJ171" i="46"/>
  <c r="BM167" i="46"/>
  <c r="AO165" i="46"/>
  <c r="CK174" i="46"/>
  <c r="AF176" i="46"/>
  <c r="Z176" i="46"/>
  <c r="FH179" i="46"/>
  <c r="CW166" i="46"/>
  <c r="EG170" i="46"/>
  <c r="W174" i="46"/>
  <c r="CB178" i="46"/>
  <c r="Z171" i="46"/>
  <c r="FB176" i="46"/>
  <c r="AC164" i="46"/>
  <c r="DI170" i="46"/>
  <c r="DL179" i="46"/>
  <c r="EJ179" i="46"/>
  <c r="CQ174" i="46"/>
  <c r="CT176" i="46"/>
  <c r="CE164" i="46"/>
  <c r="ES166" i="46"/>
  <c r="CZ174" i="46"/>
  <c r="CH173" i="46"/>
  <c r="DX171" i="46"/>
  <c r="BS166" i="46"/>
  <c r="DL173" i="46"/>
  <c r="AR169" i="46"/>
  <c r="Z179" i="46"/>
  <c r="BV178" i="46"/>
  <c r="DI167" i="46"/>
  <c r="DX165" i="46"/>
  <c r="H2" i="47"/>
  <c r="FE179" i="46"/>
  <c r="DU175" i="46"/>
  <c r="BA178" i="46"/>
  <c r="FB178" i="46"/>
  <c r="CW172" i="46"/>
  <c r="EY176" i="46"/>
  <c r="CN179" i="46"/>
  <c r="CT174" i="46"/>
  <c r="DO169" i="46"/>
  <c r="DF178" i="46"/>
  <c r="Z178" i="46"/>
  <c r="EG167" i="46"/>
  <c r="BD165" i="46"/>
  <c r="BM171" i="46"/>
  <c r="AF177" i="46"/>
  <c r="CW173" i="46"/>
  <c r="BJ177" i="46"/>
  <c r="AF164" i="46"/>
  <c r="AR165" i="46"/>
  <c r="CN177" i="46"/>
  <c r="BP177" i="46"/>
  <c r="AU171" i="46"/>
  <c r="CN173" i="46"/>
  <c r="BV166" i="46"/>
  <c r="DI165" i="46"/>
  <c r="EJ167" i="46"/>
  <c r="FE164" i="46"/>
  <c r="AC173" i="46"/>
  <c r="BP173" i="46"/>
  <c r="DC168" i="46"/>
  <c r="CH171" i="46"/>
  <c r="EP169" i="46"/>
  <c r="BS175" i="46"/>
  <c r="CB176" i="46"/>
  <c r="Z174" i="46"/>
  <c r="EV178" i="46"/>
  <c r="AR172" i="46"/>
  <c r="DL168" i="46"/>
  <c r="FK169" i="46"/>
  <c r="FK164" i="46"/>
  <c r="CN166" i="46"/>
  <c r="BV169" i="46"/>
  <c r="EV174" i="46"/>
  <c r="BY170" i="46"/>
  <c r="DI164" i="46"/>
  <c r="EM173" i="46"/>
  <c r="AR173" i="46"/>
  <c r="Z169" i="46"/>
  <c r="DX168" i="46"/>
  <c r="CN178" i="46"/>
  <c r="FK166" i="46"/>
  <c r="DR174" i="46"/>
  <c r="CH167" i="46"/>
  <c r="BM177" i="46"/>
  <c r="T169" i="46"/>
  <c r="AO167" i="46"/>
  <c r="CH169" i="46"/>
  <c r="M22" i="48"/>
  <c r="EJ170" i="46"/>
  <c r="CZ171" i="46"/>
  <c r="DI176" i="46"/>
  <c r="DI175" i="46"/>
  <c r="ED168" i="46"/>
  <c r="DF175" i="46"/>
  <c r="AR178" i="46"/>
  <c r="AL175" i="46"/>
  <c r="BP176" i="46"/>
  <c r="AU178" i="46"/>
  <c r="W166" i="46"/>
  <c r="AR170" i="46"/>
  <c r="BS172" i="46"/>
  <c r="AX177" i="46"/>
  <c r="BY179" i="46"/>
  <c r="ES164" i="46"/>
  <c r="BV168" i="46"/>
  <c r="FK168" i="46"/>
  <c r="EY179" i="46"/>
  <c r="AF178" i="46"/>
  <c r="DI173" i="46"/>
  <c r="ES173" i="46"/>
  <c r="CW170" i="46"/>
  <c r="FE165" i="46"/>
  <c r="BP170" i="46"/>
  <c r="EA169" i="46"/>
  <c r="Z172" i="46"/>
  <c r="EM172" i="46"/>
  <c r="EV177" i="46"/>
  <c r="AL172" i="46"/>
  <c r="BA164" i="46"/>
  <c r="CK172" i="46"/>
  <c r="AU175" i="46"/>
  <c r="BY166" i="46"/>
  <c r="AR176" i="46"/>
  <c r="DC167" i="46"/>
  <c r="FK174" i="46"/>
  <c r="EA175" i="46"/>
  <c r="EP164" i="46"/>
  <c r="T165" i="46"/>
  <c r="DR173" i="46"/>
  <c r="AU169" i="46"/>
  <c r="CW177" i="46"/>
  <c r="EP165" i="46"/>
  <c r="CT172" i="46"/>
  <c r="BP178" i="46"/>
  <c r="AI166" i="46"/>
  <c r="BJ164" i="46"/>
  <c r="AR175" i="46"/>
  <c r="BG169" i="46"/>
  <c r="EM166" i="46"/>
  <c r="AI168" i="46"/>
  <c r="BS178" i="46"/>
  <c r="CW179" i="46"/>
  <c r="CZ173" i="46"/>
  <c r="DU171" i="46"/>
  <c r="BM179" i="46"/>
  <c r="BA179" i="46"/>
  <c r="EG172" i="46"/>
  <c r="AO175" i="46"/>
  <c r="AF175" i="46"/>
  <c r="CB171" i="46"/>
  <c r="BD176" i="46"/>
  <c r="FE170" i="46"/>
  <c r="AI176" i="46"/>
  <c r="EV175" i="46"/>
  <c r="CK176" i="46"/>
  <c r="FE174" i="46"/>
  <c r="EV170" i="46"/>
  <c r="DU179" i="46"/>
  <c r="ED165" i="46"/>
  <c r="DR178" i="46"/>
  <c r="AL174" i="46"/>
  <c r="CK166" i="46"/>
  <c r="FE168" i="46"/>
  <c r="EA177" i="46"/>
  <c r="CE179" i="46"/>
  <c r="DC175" i="46"/>
  <c r="BA167" i="46"/>
  <c r="DO168" i="46"/>
  <c r="EM171" i="46"/>
  <c r="AU176" i="46"/>
  <c r="DU174" i="46"/>
  <c r="CE167" i="46"/>
  <c r="BP179" i="46"/>
  <c r="DX169" i="46"/>
  <c r="FE173" i="46"/>
  <c r="W165" i="46"/>
  <c r="AO164" i="46"/>
  <c r="DL176" i="46"/>
  <c r="CQ167" i="46"/>
  <c r="ES172" i="46"/>
  <c r="AU167" i="46"/>
  <c r="AI177" i="46"/>
  <c r="CK164" i="46"/>
  <c r="BS165" i="46"/>
  <c r="FK175" i="46"/>
  <c r="CW164" i="46"/>
  <c r="DI168" i="46"/>
  <c r="DF176" i="46"/>
  <c r="FB167" i="46"/>
  <c r="EP166" i="46"/>
  <c r="DR164" i="46"/>
  <c r="DO172" i="46"/>
  <c r="CB173" i="46"/>
  <c r="FB172" i="46"/>
  <c r="CW175" i="46"/>
  <c r="AO166" i="46"/>
  <c r="ES174" i="46"/>
  <c r="CQ165" i="46"/>
  <c r="EJ168" i="46"/>
  <c r="DF173" i="46"/>
  <c r="BV165" i="46"/>
  <c r="Z167" i="46"/>
  <c r="DU168" i="46"/>
  <c r="EJ178" i="46"/>
  <c r="DF177" i="46"/>
  <c r="EJ172" i="46"/>
  <c r="AC177" i="46"/>
  <c r="W171" i="46"/>
  <c r="DL172" i="46"/>
  <c r="DU172" i="46"/>
  <c r="CH172" i="46"/>
  <c r="Z173" i="46"/>
  <c r="DO179" i="46"/>
  <c r="DL167" i="46"/>
  <c r="CH178" i="46"/>
  <c r="BY168" i="46"/>
  <c r="W168" i="46"/>
  <c r="EM170" i="46"/>
  <c r="T172" i="46"/>
  <c r="AO171" i="46"/>
  <c r="AC172" i="46"/>
  <c r="AU164" i="46"/>
  <c r="BV173" i="46"/>
  <c r="DO170" i="46"/>
  <c r="DC166" i="46"/>
  <c r="FB164" i="46"/>
  <c r="DR172" i="46"/>
  <c r="DR171" i="46"/>
  <c r="EP175" i="46"/>
  <c r="CE172" i="46"/>
  <c r="BD172" i="46"/>
  <c r="CH179" i="46"/>
  <c r="DO167" i="46"/>
  <c r="CE178" i="46"/>
  <c r="ED164" i="46"/>
  <c r="FK170" i="46"/>
  <c r="AX175" i="46"/>
  <c r="EA167" i="46"/>
  <c r="DC170" i="46"/>
  <c r="CK170" i="46"/>
  <c r="DL177" i="46"/>
  <c r="BJ176" i="46"/>
  <c r="CT178" i="46"/>
  <c r="FK171" i="46"/>
  <c r="DU165" i="46"/>
  <c r="AX173" i="46"/>
  <c r="EY175" i="46"/>
  <c r="DO171" i="46"/>
  <c r="CQ173" i="46"/>
  <c r="EG179" i="46"/>
  <c r="EM175" i="46"/>
  <c r="BY173" i="46"/>
  <c r="EG177" i="46"/>
  <c r="T166" i="46"/>
  <c r="CZ175" i="46"/>
  <c r="AX178" i="46"/>
  <c r="CT165" i="46"/>
  <c r="CE176" i="46"/>
  <c r="AL178" i="46"/>
  <c r="BD167" i="46"/>
  <c r="AU168" i="46"/>
  <c r="DL169" i="46"/>
  <c r="AX164" i="46"/>
  <c r="EG165" i="46"/>
  <c r="BS164" i="46"/>
  <c r="CW174" i="46"/>
  <c r="AO174" i="46"/>
  <c r="BD171" i="46"/>
  <c r="CZ177" i="46"/>
  <c r="CZ170" i="46"/>
  <c r="DC165" i="46"/>
  <c r="FH169" i="46"/>
  <c r="EA168" i="46"/>
  <c r="BM176" i="46"/>
  <c r="AX176" i="46"/>
  <c r="DF165" i="46"/>
  <c r="FH178" i="46"/>
  <c r="DO176" i="46"/>
  <c r="FE171" i="46"/>
  <c r="DF172" i="46"/>
  <c r="W172" i="46"/>
  <c r="EY169" i="46"/>
  <c r="EP173" i="46"/>
  <c r="ED169" i="46"/>
  <c r="AF167" i="46"/>
  <c r="BA172" i="46"/>
  <c r="EA179" i="46"/>
  <c r="DF167" i="46"/>
  <c r="CZ165" i="46"/>
  <c r="FH177" i="46"/>
  <c r="BY169" i="46"/>
  <c r="CB174" i="46"/>
  <c r="AR177" i="46"/>
  <c r="AF170" i="46"/>
  <c r="EY168" i="46"/>
  <c r="CQ169" i="46"/>
  <c r="AX172" i="46"/>
  <c r="FH174" i="46"/>
  <c r="EA173" i="46"/>
  <c r="CT177" i="46"/>
  <c r="CK173" i="46"/>
  <c r="CN174" i="46"/>
  <c r="ED178" i="46"/>
  <c r="EM177" i="46"/>
  <c r="DI169" i="46"/>
  <c r="DR166" i="46"/>
  <c r="CE170" i="46"/>
  <c r="DI166" i="46"/>
  <c r="EV165" i="46"/>
  <c r="BY175" i="46"/>
  <c r="BA170" i="46"/>
  <c r="W179" i="46"/>
  <c r="CZ164" i="46"/>
  <c r="DO174" i="46"/>
  <c r="ES168" i="46"/>
  <c r="BM174" i="46"/>
  <c r="W167" i="46"/>
  <c r="AC174" i="46"/>
  <c r="EA164" i="46"/>
  <c r="CB167" i="46"/>
  <c r="T164" i="46"/>
  <c r="BM166" i="46"/>
  <c r="CK178" i="46"/>
  <c r="CK179" i="46"/>
  <c r="EG166" i="46"/>
  <c r="DI177" i="46"/>
  <c r="EA176" i="46"/>
  <c r="CW178" i="46"/>
  <c r="DX173" i="46"/>
  <c r="EG169" i="46"/>
  <c r="DX178" i="46"/>
  <c r="EY164" i="46"/>
  <c r="EJ164" i="46"/>
  <c r="BM164" i="46"/>
  <c r="FB171" i="46"/>
  <c r="BP169" i="46"/>
  <c r="FB169" i="46"/>
  <c r="T170" i="46"/>
  <c r="CN169" i="46"/>
  <c r="CE175" i="46"/>
  <c r="CT169" i="46"/>
  <c r="FE175" i="46"/>
  <c r="BS179" i="46"/>
  <c r="BG171" i="46"/>
  <c r="DC176" i="46"/>
  <c r="T173" i="46"/>
  <c r="EP170" i="46"/>
  <c r="DO165" i="46"/>
  <c r="AU165" i="46"/>
  <c r="ES175" i="46"/>
  <c r="ED179" i="46"/>
  <c r="ED176" i="46"/>
  <c r="CH176" i="46"/>
  <c r="BV167" i="46"/>
  <c r="EJ176" i="46"/>
  <c r="AC178" i="46"/>
  <c r="CZ167" i="46"/>
  <c r="EG175" i="46"/>
  <c r="EA166" i="46"/>
  <c r="CZ176" i="46"/>
  <c r="AR171" i="46"/>
  <c r="CT167" i="46"/>
  <c r="AO176" i="46"/>
  <c r="CE171" i="46"/>
  <c r="AR174" i="46"/>
  <c r="EP176" i="46"/>
  <c r="BY165" i="46"/>
  <c r="CH175" i="46"/>
  <c r="EY178" i="46"/>
  <c r="DU167" i="46"/>
  <c r="EP168" i="46"/>
  <c r="CT168" i="46"/>
  <c r="ES176" i="46"/>
  <c r="EM178" i="46"/>
  <c r="W173" i="46"/>
  <c r="EG164" i="46"/>
  <c r="CB175" i="46"/>
  <c r="DC179" i="46"/>
  <c r="BS174" i="46"/>
  <c r="CB166" i="46"/>
  <c r="BA168" i="46"/>
  <c r="AC179" i="46"/>
  <c r="AO178" i="46"/>
  <c r="BM170" i="46"/>
  <c r="T175" i="46"/>
  <c r="CB168" i="46"/>
  <c r="BM175" i="46"/>
  <c r="H3" i="47"/>
  <c r="DF168" i="46"/>
  <c r="CZ166" i="46"/>
  <c r="CB172" i="46"/>
  <c r="DX179" i="46"/>
  <c r="AU174" i="46"/>
  <c r="DO177" i="46"/>
  <c r="DU169" i="46"/>
  <c r="BG165" i="46"/>
  <c r="CZ172" i="46"/>
  <c r="AI174" i="46"/>
  <c r="AL177" i="46"/>
  <c r="DR175" i="46"/>
  <c r="FH164" i="46"/>
  <c r="AR164" i="46"/>
  <c r="BP167" i="46"/>
  <c r="DI171" i="46"/>
  <c r="BA173" i="46"/>
  <c r="CZ178" i="46"/>
  <c r="BP166" i="46"/>
  <c r="AC169" i="46"/>
  <c r="AF172" i="46"/>
  <c r="DC177" i="46"/>
  <c r="CK167" i="46"/>
  <c r="CE166" i="46"/>
  <c r="AX171" i="46"/>
  <c r="BS170" i="46"/>
  <c r="DF174" i="46"/>
  <c r="EM164" i="46"/>
  <c r="BD178" i="46"/>
  <c r="AL169" i="46"/>
  <c r="EY174" i="46"/>
  <c r="DO166" i="46"/>
  <c r="DX170" i="46"/>
  <c r="BV171" i="46"/>
  <c r="EJ166" i="46"/>
  <c r="CH165" i="46"/>
  <c r="EM167" i="46"/>
  <c r="FH170" i="46"/>
  <c r="CZ179" i="46"/>
  <c r="AF171" i="46"/>
  <c r="BP172" i="46"/>
  <c r="BY171" i="46"/>
  <c r="CT175" i="46"/>
  <c r="AR179" i="46"/>
  <c r="CN165" i="46"/>
  <c r="FK165" i="46"/>
  <c r="EM165" i="46"/>
  <c r="AL165" i="46"/>
  <c r="AF174" i="46"/>
  <c r="Z165" i="46"/>
  <c r="BA166" i="46"/>
  <c r="ED173" i="46"/>
  <c r="DU173" i="46"/>
  <c r="EV167" i="46"/>
  <c r="EJ169" i="46"/>
  <c r="ED172" i="46"/>
  <c r="W170" i="46"/>
  <c r="AI170" i="46"/>
  <c r="AX167" i="46"/>
  <c r="CE173" i="46"/>
  <c r="T167" i="46"/>
  <c r="DX164" i="46"/>
  <c r="W164" i="46"/>
  <c r="DR167" i="46"/>
  <c r="EG173" i="46"/>
  <c r="AX166" i="46"/>
  <c r="DO175" i="46"/>
  <c r="AO170" i="46"/>
  <c r="ES169" i="46"/>
  <c r="EG171" i="46"/>
  <c r="BP171" i="46"/>
  <c r="FE166" i="46"/>
  <c r="CN167" i="46"/>
  <c r="BD170" i="46"/>
  <c r="BD166" i="46"/>
  <c r="BG176" i="46"/>
  <c r="DU176" i="46"/>
  <c r="CE174" i="46"/>
  <c r="FB177" i="46"/>
  <c r="CN164" i="46"/>
  <c r="DU178" i="46"/>
  <c r="EJ165" i="46"/>
  <c r="EA178" i="46"/>
  <c r="W175" i="46"/>
  <c r="CW165" i="46"/>
  <c r="AO173" i="46"/>
  <c r="FE167" i="46"/>
  <c r="CK177" i="46"/>
  <c r="Z177" i="46"/>
  <c r="BJ168" i="46"/>
  <c r="AI167" i="46"/>
  <c r="BA175" i="46"/>
  <c r="T176" i="46"/>
  <c r="Z164" i="46"/>
  <c r="DI179" i="46"/>
  <c r="BA165" i="46"/>
  <c r="DR177" i="46"/>
  <c r="DC169" i="46"/>
  <c r="BP168" i="46"/>
  <c r="FB173" i="46"/>
  <c r="BA169" i="46"/>
  <c r="AR167" i="46"/>
  <c r="AR168" i="46"/>
  <c r="DX166" i="46"/>
  <c r="CW169" i="46"/>
  <c r="BM168" i="46"/>
  <c r="EJ174" i="46"/>
  <c r="CK168" i="46"/>
  <c r="AC171" i="46"/>
  <c r="DX177" i="46"/>
  <c r="FK178" i="46"/>
  <c r="FH173" i="46"/>
  <c r="CQ176" i="46"/>
  <c r="BY174" i="46"/>
  <c r="CQ172" i="46"/>
  <c r="CW167" i="46"/>
  <c r="CT179" i="46"/>
  <c r="AU166" i="46"/>
  <c r="W176" i="46"/>
  <c r="EV172" i="46"/>
  <c r="CQ166" i="46"/>
  <c r="BV164" i="46"/>
  <c r="Z175" i="46"/>
  <c r="ES178" i="46"/>
  <c r="EP177" i="46"/>
  <c r="BV177" i="46"/>
  <c r="T168" i="46"/>
  <c r="DL178" i="46"/>
  <c r="DU170" i="46"/>
  <c r="FB168" i="46"/>
  <c r="CK171" i="46"/>
  <c r="BJ175" i="46"/>
  <c r="ED171" i="46"/>
  <c r="DL170" i="46"/>
  <c r="FH168" i="46"/>
  <c r="EY170" i="46"/>
  <c r="DF171" i="46"/>
  <c r="CN172" i="46"/>
  <c r="BD169" i="46"/>
  <c r="CZ168" i="46"/>
  <c r="AL166" i="46"/>
  <c r="AF165" i="46"/>
  <c r="ES167" i="46"/>
  <c r="Z166" i="46"/>
  <c r="ES171" i="46"/>
  <c r="FK177" i="46"/>
  <c r="BD164" i="46"/>
  <c r="BY172" i="46"/>
  <c r="EM174" i="46"/>
  <c r="BG166" i="46"/>
  <c r="AL168" i="46"/>
  <c r="EY171" i="46"/>
  <c r="EV168" i="46"/>
  <c r="BJ172" i="46"/>
  <c r="BP165" i="46"/>
  <c r="EV179" i="46"/>
  <c r="AC176" i="46"/>
  <c r="AL171" i="46"/>
  <c r="AU177" i="46"/>
  <c r="BD174" i="46"/>
  <c r="BJ179" i="46"/>
  <c r="DU164" i="46"/>
  <c r="EA170" i="46"/>
  <c r="CN170" i="46"/>
  <c r="CZ169" i="46"/>
  <c r="AI173" i="46"/>
  <c r="DF170" i="46"/>
  <c r="CB170" i="46"/>
  <c r="AF169" i="46"/>
  <c r="CK175" i="46"/>
  <c r="CK165" i="46"/>
  <c r="CQ170" i="46"/>
  <c r="EV164" i="46"/>
  <c r="DU177" i="46"/>
  <c r="BG164" i="46"/>
  <c r="EV176" i="46"/>
  <c r="BG168" i="46"/>
  <c r="AI179" i="46"/>
  <c r="ED167" i="46"/>
  <c r="CN175" i="46"/>
  <c r="CN176" i="46"/>
  <c r="BV176" i="46"/>
  <c r="DR170" i="46"/>
  <c r="BA174" i="46"/>
  <c r="AI171" i="46"/>
  <c r="DI172" i="46"/>
  <c r="DF164" i="46"/>
  <c r="ES179" i="46"/>
  <c r="AO168" i="46"/>
  <c r="BJ170" i="46"/>
  <c r="CW168" i="46"/>
  <c r="AC166" i="46"/>
  <c r="BS177" i="46"/>
  <c r="CN168" i="46"/>
  <c r="CH174" i="46"/>
  <c r="ED175" i="46"/>
  <c r="BJ167" i="46"/>
  <c r="BS168" i="46"/>
  <c r="EJ171" i="46"/>
  <c r="FB165" i="46"/>
  <c r="AC168" i="46"/>
  <c r="BV172" i="46"/>
  <c r="Z168" i="46"/>
  <c r="DX174" i="46"/>
  <c r="AU173" i="46"/>
  <c r="BM178" i="46"/>
  <c r="BJ166" i="46"/>
  <c r="BS169" i="46"/>
  <c r="DF166" i="46"/>
  <c r="DR169" i="46"/>
  <c r="AX174" i="46"/>
  <c r="BG167" i="46"/>
  <c r="FH171" i="46"/>
  <c r="AL167" i="46"/>
  <c r="BG172" i="46"/>
  <c r="AL173" i="46"/>
  <c r="BM172" i="46"/>
  <c r="FH172" i="46"/>
  <c r="CN171" i="46"/>
  <c r="BG175" i="46"/>
  <c r="EP167" i="46"/>
  <c r="BG179" i="46"/>
  <c r="AF173" i="46"/>
  <c r="CQ171" i="46"/>
  <c r="ED166" i="46"/>
  <c r="AC170" i="46"/>
  <c r="FK173" i="46"/>
  <c r="EM169" i="46"/>
  <c r="FH176" i="46"/>
  <c r="AX169" i="46"/>
  <c r="FB166" i="46"/>
  <c r="BG178" i="46"/>
  <c r="DR176" i="46"/>
  <c r="EY173" i="46"/>
  <c r="CT171" i="46"/>
  <c r="ED174" i="46"/>
  <c r="CB165" i="46"/>
  <c r="EA171" i="46"/>
  <c r="BJ173" i="46"/>
  <c r="AF179" i="46"/>
  <c r="BS173" i="46"/>
  <c r="DI178" i="46"/>
  <c r="CE165" i="46"/>
  <c r="Z170" i="46"/>
  <c r="AX170" i="46"/>
  <c r="EM179" i="46"/>
  <c r="BV170" i="46"/>
  <c r="EV166" i="46"/>
  <c r="DC171" i="46"/>
  <c r="CB169" i="46"/>
  <c r="CE169" i="46"/>
  <c r="AI178" i="46"/>
  <c r="BM173" i="46"/>
  <c r="BS167" i="46"/>
  <c r="AL176" i="46"/>
  <c r="CB164" i="46"/>
  <c r="ES177" i="46"/>
  <c r="AL179" i="46"/>
  <c r="AX168" i="46"/>
  <c r="AL164" i="46"/>
  <c r="W24" i="50"/>
  <c r="AX179" i="46"/>
  <c r="BJ165" i="46"/>
  <c r="T171" i="46"/>
  <c r="AI165" i="46"/>
  <c r="FK176" i="46"/>
  <c r="DL164" i="46"/>
  <c r="CB177" i="46"/>
  <c r="EY165" i="46"/>
  <c r="CH170" i="46"/>
  <c r="DL175" i="46"/>
  <c r="DF179" i="46"/>
  <c r="FB179" i="46"/>
  <c r="DR168" i="46"/>
  <c r="EY167" i="46"/>
  <c r="CT170" i="46"/>
  <c r="DF169" i="46"/>
  <c r="FK167" i="46"/>
  <c r="EJ177" i="46"/>
  <c r="ES165" i="46"/>
  <c r="DO178" i="46"/>
  <c r="BM165" i="46"/>
  <c r="BY167" i="46"/>
  <c r="AI172" i="46"/>
  <c r="AC165" i="46"/>
  <c r="CE168" i="46"/>
  <c r="BD168" i="46"/>
  <c r="EY166" i="46"/>
  <c r="BV174" i="46"/>
  <c r="EP179" i="46"/>
  <c r="CK169" i="46"/>
  <c r="FB174" i="46"/>
  <c r="AO172" i="46"/>
  <c r="FH165" i="46"/>
  <c r="DR179" i="46"/>
  <c r="DX176" i="46"/>
  <c r="EJ173" i="46"/>
  <c r="CQ178" i="46"/>
  <c r="EG176" i="46"/>
  <c r="AR166" i="46"/>
  <c r="ES170" i="46"/>
  <c r="EY172" i="46"/>
  <c r="DU166" i="46"/>
  <c r="FH166" i="46"/>
  <c r="DL166" i="46"/>
  <c r="FH175" i="46"/>
  <c r="T177" i="46"/>
  <c r="L27" i="50"/>
  <c r="CQ177" i="46"/>
  <c r="AX165" i="46"/>
  <c r="DC174" i="46"/>
  <c r="AF166" i="46"/>
  <c r="AF168" i="46"/>
  <c r="CH166" i="46"/>
  <c r="BY177" i="46"/>
  <c r="BP164" i="46"/>
  <c r="BG170" i="46"/>
  <c r="BY178" i="46"/>
  <c r="BV179" i="46"/>
  <c r="BS176" i="46"/>
  <c r="T174" i="46"/>
  <c r="AU179" i="46"/>
  <c r="X31" i="48"/>
  <c r="AC32" i="48"/>
  <c r="BJ178" i="46"/>
  <c r="FB175" i="46"/>
  <c r="CQ164" i="46"/>
  <c r="EY177" i="46"/>
  <c r="AK49" i="50"/>
  <c r="CW176" i="46"/>
  <c r="I2" i="47"/>
  <c r="AI10" i="48"/>
  <c r="AC30" i="48"/>
  <c r="DL171" i="46"/>
  <c r="BP174" i="46"/>
  <c r="L34" i="48"/>
  <c r="M38" i="48"/>
  <c r="O30" i="48"/>
  <c r="AF45" i="50"/>
  <c r="S41" i="50"/>
  <c r="AL40" i="48"/>
  <c r="W37" i="48"/>
  <c r="AI43" i="48"/>
  <c r="AJ43" i="50"/>
  <c r="S51" i="50"/>
  <c r="X44" i="48"/>
  <c r="AK49" i="48"/>
  <c r="Z20" i="50"/>
  <c r="O41" i="50"/>
  <c r="Y29" i="50"/>
  <c r="U44" i="48"/>
  <c r="AJ45" i="48"/>
  <c r="AL46" i="48"/>
  <c r="AL18" i="48"/>
  <c r="AH49" i="50"/>
  <c r="FE172" i="46"/>
  <c r="Z30" i="48"/>
  <c r="AK39" i="48"/>
  <c r="O39" i="48"/>
  <c r="S48" i="48"/>
  <c r="X49" i="48"/>
  <c r="BS171" i="46"/>
  <c r="AC17" i="50"/>
  <c r="AB14" i="48"/>
  <c r="Z39" i="50"/>
  <c r="W51" i="50"/>
  <c r="EM168" i="46"/>
  <c r="L8" i="50"/>
  <c r="AA23" i="48"/>
  <c r="AD19" i="50"/>
  <c r="Z37" i="48"/>
  <c r="R39" i="48"/>
  <c r="O14" i="48"/>
  <c r="AI53" i="48"/>
  <c r="AB38" i="48"/>
  <c r="AF23" i="48"/>
  <c r="V28" i="48"/>
  <c r="AF47" i="48"/>
  <c r="AG49" i="48"/>
  <c r="M50" i="48"/>
  <c r="AE15" i="50"/>
  <c r="AI47" i="50"/>
  <c r="T50" i="48"/>
  <c r="N41" i="48"/>
  <c r="O47" i="48"/>
  <c r="T44" i="48"/>
  <c r="L49" i="48"/>
  <c r="Z45" i="50" l="1"/>
  <c r="M46" i="50"/>
  <c r="Z15" i="48"/>
  <c r="AB6" i="48"/>
  <c r="AH5" i="48"/>
  <c r="AF36" i="50"/>
  <c r="W40" i="50"/>
  <c r="S47" i="48"/>
  <c r="AC16" i="50"/>
  <c r="P43" i="48"/>
  <c r="AI31" i="48"/>
  <c r="AB47" i="50"/>
  <c r="V19" i="50"/>
  <c r="Q51" i="48"/>
  <c r="N51" i="48"/>
  <c r="T21" i="48"/>
  <c r="O27" i="48"/>
  <c r="M10" i="48"/>
  <c r="L50" i="48"/>
  <c r="AB43" i="48"/>
  <c r="Q45" i="48"/>
  <c r="S7" i="50"/>
  <c r="U50" i="48"/>
  <c r="U30" i="50"/>
  <c r="K31" i="48"/>
  <c r="V47" i="48"/>
  <c r="P44" i="48"/>
  <c r="O40" i="48"/>
  <c r="X50" i="50"/>
  <c r="X42" i="48"/>
  <c r="AA38" i="48"/>
  <c r="N13" i="50"/>
  <c r="U43" i="50"/>
  <c r="S18" i="48"/>
  <c r="U38" i="48"/>
  <c r="L7" i="50"/>
  <c r="AM53" i="50"/>
  <c r="R14" i="50"/>
  <c r="O25" i="48"/>
  <c r="T19" i="48"/>
  <c r="V45" i="48"/>
  <c r="X52" i="48"/>
  <c r="AA37" i="48"/>
  <c r="M40" i="48"/>
  <c r="V50" i="48"/>
  <c r="O20" i="48"/>
  <c r="W40" i="48"/>
  <c r="AE33" i="50"/>
  <c r="AA11" i="48"/>
  <c r="AD37" i="48"/>
  <c r="S11" i="48"/>
  <c r="AD39" i="48"/>
  <c r="AK50" i="48"/>
  <c r="R15" i="50"/>
  <c r="K37" i="48"/>
  <c r="S43" i="50"/>
  <c r="U40" i="50"/>
  <c r="AC43" i="48"/>
  <c r="AF10" i="48"/>
  <c r="S39" i="48"/>
  <c r="AC33" i="50"/>
  <c r="AF30" i="48"/>
  <c r="R46" i="48"/>
  <c r="AJ29" i="48"/>
  <c r="Q40" i="48"/>
  <c r="O33" i="50"/>
  <c r="R35" i="48"/>
  <c r="AE50" i="48"/>
  <c r="W36" i="48"/>
  <c r="AD4" i="50"/>
  <c r="AE41" i="48"/>
  <c r="O25" i="50"/>
  <c r="AD49" i="48"/>
  <c r="W47" i="48"/>
  <c r="O10" i="48"/>
  <c r="AG35" i="48"/>
  <c r="AH33" i="50"/>
  <c r="AE11" i="48"/>
  <c r="P46" i="50"/>
  <c r="AC22" i="50"/>
  <c r="AC47" i="50"/>
  <c r="AF38" i="50"/>
  <c r="Y52" i="48"/>
  <c r="X12" i="48"/>
  <c r="Z19" i="48"/>
  <c r="P47" i="48"/>
  <c r="AK51" i="48"/>
  <c r="AI24" i="48"/>
  <c r="AI6" i="48"/>
  <c r="AH26" i="50"/>
  <c r="K51" i="48"/>
  <c r="AL29" i="48"/>
  <c r="Y53" i="48"/>
  <c r="N6" i="50"/>
  <c r="AH10" i="48"/>
  <c r="AD43" i="48"/>
  <c r="AF51" i="48"/>
  <c r="N34" i="50"/>
  <c r="AA22" i="50"/>
  <c r="AA53" i="48"/>
  <c r="P11" i="48"/>
  <c r="AA49" i="48"/>
  <c r="R31" i="48"/>
  <c r="S18" i="50"/>
  <c r="Y47" i="48"/>
  <c r="L47" i="48"/>
  <c r="S44" i="48"/>
  <c r="Y7" i="48"/>
  <c r="AH37" i="48"/>
  <c r="T35" i="48"/>
  <c r="X41" i="48"/>
  <c r="X19" i="50"/>
  <c r="P32" i="50"/>
  <c r="M34" i="50"/>
  <c r="U10" i="48"/>
  <c r="T14" i="48"/>
  <c r="W42" i="48"/>
  <c r="W28" i="48"/>
  <c r="M53" i="50"/>
  <c r="O49" i="48"/>
  <c r="V14" i="50"/>
  <c r="AB47" i="48"/>
  <c r="N43" i="50"/>
  <c r="S46" i="48"/>
  <c r="AC41" i="48"/>
  <c r="Y43" i="48"/>
  <c r="AL34" i="48"/>
  <c r="K33" i="48"/>
  <c r="AC28" i="50"/>
  <c r="AD33" i="48"/>
  <c r="AM26" i="50"/>
  <c r="K43" i="48"/>
  <c r="AF4" i="48"/>
  <c r="AK42" i="50"/>
  <c r="AB53" i="50"/>
  <c r="AH23" i="50"/>
  <c r="Z32" i="48"/>
  <c r="S23" i="48"/>
  <c r="U41" i="48"/>
  <c r="L4" i="50"/>
  <c r="M39" i="48"/>
  <c r="K48" i="48"/>
  <c r="AE37" i="48"/>
  <c r="V41" i="48"/>
  <c r="AE45" i="48"/>
  <c r="AK33" i="48"/>
  <c r="M46" i="48"/>
  <c r="U27" i="48"/>
  <c r="X39" i="48"/>
  <c r="K39" i="48"/>
  <c r="N43" i="48"/>
  <c r="U46" i="50"/>
  <c r="X45" i="50"/>
  <c r="X15" i="50"/>
  <c r="AB32" i="50"/>
  <c r="AH43" i="48"/>
  <c r="Y51" i="48"/>
  <c r="AB48" i="48"/>
  <c r="R37" i="48"/>
  <c r="X38" i="48"/>
  <c r="R30" i="50"/>
  <c r="Y15" i="50"/>
  <c r="AE39" i="48"/>
  <c r="Y46" i="48"/>
  <c r="AF32" i="48"/>
  <c r="AG53" i="48"/>
  <c r="L10" i="50"/>
  <c r="O51" i="48"/>
  <c r="AD35" i="48"/>
  <c r="N36" i="48"/>
  <c r="AB14" i="50"/>
  <c r="AK53" i="50"/>
  <c r="AH40" i="50"/>
  <c r="V53" i="50"/>
  <c r="AH51" i="48"/>
  <c r="AG24" i="48"/>
  <c r="AJ27" i="48"/>
  <c r="AJ49" i="48"/>
  <c r="N45" i="48"/>
  <c r="L53" i="48"/>
  <c r="AL30" i="50"/>
  <c r="AJ40" i="48"/>
  <c r="AH31" i="48"/>
  <c r="X42" i="50"/>
  <c r="L45" i="48"/>
  <c r="U42" i="48"/>
  <c r="AB35" i="50"/>
  <c r="O31" i="48"/>
  <c r="AC45" i="48"/>
  <c r="T18" i="48"/>
  <c r="AI34" i="50"/>
  <c r="Z48" i="48"/>
  <c r="AI29" i="48"/>
  <c r="U11" i="50"/>
  <c r="AF34" i="50"/>
  <c r="R50" i="48"/>
  <c r="U33" i="48"/>
  <c r="AG27" i="50"/>
  <c r="AA52" i="48"/>
  <c r="AC33" i="48"/>
  <c r="AE48" i="48"/>
  <c r="V52" i="48"/>
  <c r="AG43" i="48"/>
  <c r="AG44" i="48"/>
  <c r="AB32" i="48"/>
  <c r="W39" i="48"/>
  <c r="AA47" i="48"/>
  <c r="AF7" i="48"/>
  <c r="AI30" i="48"/>
  <c r="N9" i="50"/>
  <c r="T30" i="48"/>
  <c r="Y10" i="50"/>
  <c r="AC7" i="50"/>
  <c r="U52" i="48"/>
  <c r="AE51" i="48"/>
  <c r="Q9" i="50"/>
  <c r="AI20" i="50"/>
  <c r="O38" i="48"/>
  <c r="AA4" i="50"/>
  <c r="V40" i="50"/>
  <c r="R42" i="48"/>
  <c r="Q25" i="50"/>
  <c r="AL43" i="48"/>
  <c r="N26" i="50"/>
  <c r="AB45" i="48"/>
  <c r="AE47" i="48"/>
  <c r="M36" i="50"/>
  <c r="V25" i="50"/>
  <c r="AA44" i="48"/>
  <c r="AF26" i="48"/>
  <c r="AL25" i="48"/>
  <c r="L38" i="48"/>
  <c r="AF34" i="48"/>
  <c r="Q46" i="48"/>
  <c r="P20" i="48"/>
  <c r="X4" i="50"/>
  <c r="T15" i="48"/>
  <c r="U41" i="50"/>
  <c r="AC25" i="48"/>
  <c r="R27" i="48"/>
  <c r="Z46" i="48"/>
  <c r="AM40" i="50"/>
  <c r="X46" i="48"/>
  <c r="M49" i="48"/>
  <c r="AH33" i="48"/>
  <c r="AK27" i="48"/>
  <c r="Q20" i="48"/>
  <c r="AH39" i="48"/>
  <c r="N6" i="48"/>
  <c r="X32" i="48"/>
  <c r="AC36" i="50"/>
  <c r="L42" i="48"/>
  <c r="AE42" i="48"/>
  <c r="N35" i="50"/>
  <c r="AJ52" i="48"/>
  <c r="AH42" i="48"/>
  <c r="R22" i="48"/>
  <c r="AC29" i="48"/>
  <c r="R52" i="48"/>
  <c r="AK31" i="48"/>
  <c r="U49" i="48"/>
  <c r="AG40" i="48"/>
  <c r="AC38" i="48"/>
  <c r="AF14" i="48"/>
  <c r="AI18" i="50"/>
  <c r="AH13" i="48"/>
  <c r="AC11" i="50"/>
  <c r="W21" i="50"/>
  <c r="Q14" i="48"/>
  <c r="AM21" i="50"/>
  <c r="AJ48" i="48"/>
  <c r="O8" i="48"/>
  <c r="AB42" i="48"/>
  <c r="V48" i="48"/>
  <c r="L32" i="48"/>
  <c r="T44" i="50"/>
  <c r="S50" i="48"/>
  <c r="Y38" i="48"/>
  <c r="AL24" i="50"/>
  <c r="AD30" i="48"/>
  <c r="N49" i="50"/>
  <c r="AD42" i="48"/>
  <c r="V40" i="48"/>
  <c r="Z4" i="50"/>
  <c r="N48" i="48"/>
  <c r="V38" i="48"/>
  <c r="AD24" i="50"/>
  <c r="T14" i="50"/>
  <c r="S52" i="48"/>
  <c r="W17" i="50"/>
  <c r="AH41" i="48"/>
  <c r="AF44" i="48"/>
  <c r="AA32" i="48"/>
  <c r="AL38" i="48"/>
  <c r="AB7" i="50"/>
  <c r="AE13" i="48"/>
  <c r="AA31" i="50"/>
  <c r="M6" i="50"/>
  <c r="AA18" i="48"/>
  <c r="AJ19" i="50"/>
  <c r="Y14" i="48"/>
  <c r="U46" i="48"/>
  <c r="AK46" i="50"/>
  <c r="P46" i="48"/>
  <c r="M41" i="50"/>
  <c r="Q32" i="48"/>
  <c r="AB8" i="48"/>
  <c r="N42" i="50"/>
  <c r="P51" i="48"/>
  <c r="R38" i="48"/>
  <c r="U34" i="50"/>
  <c r="AE36" i="48"/>
  <c r="S13" i="48"/>
  <c r="AH47" i="48"/>
  <c r="AA36" i="50"/>
  <c r="AE43" i="48"/>
  <c r="AB49" i="48"/>
  <c r="T31" i="48"/>
  <c r="N4" i="48"/>
  <c r="AH49" i="48"/>
  <c r="X48" i="48"/>
  <c r="Y46" i="50"/>
  <c r="AK37" i="48"/>
  <c r="AC46" i="48"/>
  <c r="AL41" i="50"/>
  <c r="O7" i="48"/>
  <c r="AF48" i="48"/>
  <c r="L30" i="48"/>
  <c r="Z26" i="50"/>
  <c r="P29" i="50"/>
  <c r="P50" i="50"/>
  <c r="AG51" i="48"/>
  <c r="W34" i="48"/>
  <c r="Z53" i="50"/>
  <c r="N53" i="48"/>
  <c r="X35" i="48"/>
  <c r="S21" i="50"/>
  <c r="V6" i="48"/>
  <c r="AK46" i="48"/>
  <c r="T49" i="48"/>
  <c r="AA39" i="48"/>
  <c r="Y42" i="48"/>
  <c r="O48" i="48"/>
  <c r="V4" i="50"/>
  <c r="W31" i="48"/>
  <c r="AA27" i="50"/>
  <c r="S30" i="48"/>
  <c r="AB19" i="48"/>
  <c r="L23" i="50"/>
  <c r="V24" i="48"/>
  <c r="Q34" i="48"/>
  <c r="AH38" i="48"/>
  <c r="AI41" i="50"/>
  <c r="Y50" i="48"/>
  <c r="Z26" i="48"/>
  <c r="K46" i="48"/>
  <c r="AL10" i="48"/>
  <c r="AI42" i="48"/>
  <c r="N37" i="48"/>
  <c r="Z11" i="50"/>
  <c r="O35" i="50"/>
  <c r="P41" i="50"/>
  <c r="AC10" i="48"/>
  <c r="AD37" i="50"/>
  <c r="Y49" i="50"/>
  <c r="AK43" i="48"/>
  <c r="AI27" i="48"/>
  <c r="S48" i="50"/>
  <c r="AJ53" i="50"/>
  <c r="Z33" i="48"/>
  <c r="M37" i="48"/>
  <c r="AB10" i="50"/>
  <c r="AF50" i="48"/>
  <c r="AB27" i="50"/>
  <c r="Y45" i="48"/>
  <c r="AL35" i="50"/>
  <c r="Z42" i="48"/>
  <c r="O36" i="48"/>
  <c r="Y26" i="50"/>
  <c r="AJ9" i="50"/>
  <c r="V27" i="48"/>
  <c r="AD24" i="48"/>
  <c r="M32" i="48"/>
  <c r="AI49" i="48"/>
  <c r="U42" i="50"/>
  <c r="Y44" i="48"/>
  <c r="W43" i="48"/>
  <c r="L41" i="48"/>
  <c r="T36" i="48"/>
  <c r="AL16" i="48"/>
  <c r="R13" i="50"/>
  <c r="AK5" i="48"/>
  <c r="AJ8" i="48"/>
  <c r="AK14" i="48"/>
  <c r="Q17" i="50"/>
  <c r="G4" i="48"/>
  <c r="G19" i="48"/>
  <c r="T4" i="50"/>
  <c r="AH36" i="50"/>
  <c r="AE40" i="50"/>
  <c r="AL30" i="48"/>
  <c r="N20" i="50"/>
  <c r="AJ49" i="50"/>
  <c r="AK47" i="50"/>
  <c r="S40" i="50"/>
  <c r="AA52" i="50"/>
  <c r="AJ26" i="50"/>
  <c r="T34" i="48"/>
  <c r="Z22" i="48"/>
  <c r="AG32" i="50"/>
  <c r="N39" i="48"/>
  <c r="N31" i="48"/>
  <c r="AG50" i="48"/>
  <c r="AA48" i="48"/>
  <c r="AG18" i="50"/>
  <c r="Q47" i="48"/>
  <c r="AE30" i="48"/>
  <c r="AB4" i="50"/>
  <c r="V42" i="48"/>
  <c r="AJ51" i="48"/>
  <c r="T38" i="48"/>
  <c r="AI24" i="50"/>
  <c r="P38" i="48"/>
  <c r="P48" i="48"/>
  <c r="AB39" i="48"/>
  <c r="X25" i="48"/>
  <c r="AE44" i="50"/>
  <c r="R5" i="48"/>
  <c r="L39" i="50"/>
  <c r="AI28" i="50"/>
  <c r="Y39" i="48"/>
  <c r="Q48" i="48"/>
  <c r="T41" i="50"/>
  <c r="O40" i="50"/>
  <c r="S5" i="48"/>
  <c r="AA35" i="48"/>
  <c r="O44" i="48"/>
  <c r="U53" i="48"/>
  <c r="Y48" i="48"/>
  <c r="Q31" i="48"/>
  <c r="P16" i="50"/>
  <c r="Y33" i="48"/>
  <c r="O52" i="48"/>
  <c r="N18" i="50"/>
  <c r="AB33" i="48"/>
  <c r="AF43" i="48"/>
  <c r="M51" i="48"/>
  <c r="V34" i="50"/>
  <c r="AD36" i="48"/>
  <c r="AH45" i="50"/>
  <c r="O34" i="48"/>
  <c r="AC42" i="48"/>
  <c r="U51" i="48"/>
  <c r="AL42" i="48"/>
  <c r="AE39" i="50"/>
  <c r="M5" i="48"/>
  <c r="G24" i="48"/>
  <c r="V48" i="50"/>
  <c r="AI10" i="50"/>
  <c r="N25" i="48"/>
  <c r="AG32" i="48"/>
  <c r="AE22" i="48"/>
  <c r="W26" i="50"/>
  <c r="Q33" i="50"/>
  <c r="M45" i="50"/>
  <c r="AF51" i="50"/>
  <c r="AF22" i="48"/>
  <c r="M13" i="48"/>
  <c r="AJ16" i="50"/>
  <c r="O45" i="48"/>
  <c r="AK32" i="48"/>
  <c r="AH50" i="48"/>
  <c r="S35" i="48"/>
  <c r="K32" i="48"/>
  <c r="L48" i="48"/>
  <c r="Z36" i="48"/>
  <c r="O31" i="50"/>
  <c r="AI46" i="48"/>
  <c r="Q53" i="48"/>
  <c r="Y28" i="50"/>
  <c r="O21" i="48"/>
  <c r="AF39" i="48"/>
  <c r="AK48" i="48"/>
  <c r="AB41" i="48"/>
  <c r="L46" i="50"/>
  <c r="AC40" i="50"/>
  <c r="N29" i="48"/>
  <c r="O36" i="50"/>
  <c r="AF26" i="50"/>
  <c r="Y40" i="48"/>
  <c r="AL48" i="48"/>
  <c r="Q36" i="48"/>
  <c r="Q26" i="48"/>
  <c r="AC12" i="48"/>
  <c r="AC36" i="48"/>
  <c r="AL44" i="48"/>
  <c r="L52" i="48"/>
  <c r="AA51" i="48"/>
  <c r="T37" i="48"/>
  <c r="AK21" i="48"/>
  <c r="M33" i="48"/>
  <c r="V26" i="50"/>
  <c r="R34" i="48"/>
  <c r="L43" i="48"/>
  <c r="Z53" i="48"/>
  <c r="S15" i="48"/>
  <c r="AG7" i="48"/>
  <c r="T26" i="48"/>
  <c r="AI34" i="48"/>
  <c r="O43" i="48"/>
  <c r="AC51" i="48"/>
  <c r="X47" i="48"/>
  <c r="Q23" i="50"/>
  <c r="M29" i="50"/>
  <c r="V51" i="48"/>
  <c r="O53" i="48"/>
  <c r="AK53" i="48"/>
  <c r="AI25" i="48"/>
  <c r="AM23" i="50"/>
  <c r="AF41" i="50"/>
  <c r="L5" i="50"/>
  <c r="AD48" i="48"/>
  <c r="AJ30" i="48"/>
  <c r="U39" i="48"/>
  <c r="H36" i="50"/>
  <c r="L49" i="50"/>
  <c r="R7" i="48"/>
  <c r="T26" i="50"/>
  <c r="AC46" i="50"/>
  <c r="P4" i="48"/>
  <c r="AL49" i="50"/>
  <c r="AC18" i="48"/>
  <c r="AI48" i="50"/>
  <c r="L34" i="50"/>
  <c r="AH24" i="48"/>
  <c r="Y38" i="50"/>
  <c r="K15" i="48"/>
  <c r="O33" i="48"/>
  <c r="L51" i="48"/>
  <c r="Z39" i="48"/>
  <c r="T33" i="48"/>
  <c r="R48" i="48"/>
  <c r="W41" i="48"/>
  <c r="AC6" i="48"/>
  <c r="AJ47" i="48"/>
  <c r="AC50" i="48"/>
  <c r="AC44" i="50"/>
  <c r="AL11" i="48"/>
  <c r="AK40" i="48"/>
  <c r="Z49" i="48"/>
  <c r="AK44" i="48"/>
  <c r="U34" i="48"/>
  <c r="AC39" i="50"/>
  <c r="AG30" i="48"/>
  <c r="O28" i="48"/>
  <c r="AG29" i="48"/>
  <c r="AB40" i="48"/>
  <c r="Q49" i="48"/>
  <c r="K41" i="48"/>
  <c r="AE24" i="48"/>
  <c r="L26" i="50"/>
  <c r="U36" i="48"/>
  <c r="AH45" i="48"/>
  <c r="Q52" i="48"/>
  <c r="U29" i="50"/>
  <c r="U31" i="50"/>
  <c r="AH35" i="48"/>
  <c r="AF44" i="50"/>
  <c r="Y30" i="50"/>
  <c r="M35" i="48"/>
  <c r="AB44" i="48"/>
  <c r="AF53" i="48"/>
  <c r="AG33" i="48"/>
  <c r="AM4" i="50"/>
  <c r="AK35" i="50"/>
  <c r="P35" i="48"/>
  <c r="X43" i="48"/>
  <c r="AK52" i="48"/>
  <c r="W51" i="48"/>
  <c r="AH42" i="50"/>
  <c r="AH9" i="50"/>
  <c r="AI47" i="48"/>
  <c r="AD52" i="48"/>
  <c r="M45" i="48"/>
  <c r="P41" i="48"/>
  <c r="T46" i="48"/>
  <c r="S16" i="48"/>
  <c r="N46" i="48"/>
  <c r="AI52" i="50"/>
  <c r="AG30" i="50"/>
  <c r="AB36" i="48"/>
  <c r="S53" i="48"/>
  <c r="S16" i="50"/>
  <c r="W10" i="50"/>
  <c r="AA36" i="48"/>
  <c r="AE53" i="48"/>
  <c r="M28" i="48"/>
  <c r="AB53" i="48"/>
  <c r="Y27" i="50"/>
  <c r="Z41" i="48"/>
  <c r="N50" i="48"/>
  <c r="S14" i="50"/>
  <c r="L11" i="50"/>
  <c r="Z11" i="48"/>
  <c r="R48" i="50"/>
  <c r="W48" i="48"/>
  <c r="K53" i="48"/>
  <c r="AB50" i="48"/>
  <c r="AL47" i="48"/>
  <c r="I10" i="50"/>
  <c r="AM34" i="50"/>
  <c r="AJ48" i="50"/>
  <c r="AF30" i="50"/>
  <c r="AH43" i="50"/>
  <c r="Z23" i="50"/>
  <c r="Q47" i="50"/>
  <c r="Y20" i="50"/>
  <c r="AK20" i="50"/>
  <c r="M26" i="48"/>
  <c r="O11" i="50"/>
  <c r="S39" i="50"/>
  <c r="Y10" i="48"/>
  <c r="AB17" i="50"/>
  <c r="U16" i="50"/>
  <c r="L24" i="48"/>
  <c r="AD38" i="48"/>
  <c r="AI51" i="48"/>
  <c r="L14" i="50"/>
  <c r="AI35" i="48"/>
  <c r="T51" i="48"/>
  <c r="AF46" i="48"/>
  <c r="AF29" i="48"/>
  <c r="Z47" i="48"/>
  <c r="AI52" i="48"/>
  <c r="W25" i="50"/>
  <c r="AB23" i="48"/>
  <c r="U40" i="48"/>
  <c r="P49" i="48"/>
  <c r="L46" i="48"/>
  <c r="T39" i="48"/>
  <c r="V10" i="50"/>
  <c r="AF35" i="48"/>
  <c r="K25" i="48"/>
  <c r="Q30" i="48"/>
  <c r="AF49" i="48"/>
  <c r="AH38" i="50"/>
  <c r="AB37" i="48"/>
  <c r="AG36" i="48"/>
  <c r="AB46" i="50"/>
  <c r="X23" i="48"/>
  <c r="AL36" i="48"/>
  <c r="T22" i="48"/>
  <c r="Z45" i="48"/>
  <c r="Q38" i="48"/>
  <c r="AD44" i="48"/>
  <c r="AB21" i="50"/>
  <c r="AD27" i="48"/>
  <c r="Q42" i="48"/>
  <c r="AG46" i="48"/>
  <c r="AD53" i="48"/>
  <c r="R28" i="50"/>
  <c r="AJ20" i="50"/>
  <c r="Y18" i="48"/>
  <c r="W6" i="48"/>
  <c r="Q29" i="50"/>
  <c r="AM41" i="50"/>
  <c r="N7" i="48"/>
  <c r="Y34" i="48"/>
  <c r="AJ41" i="48"/>
  <c r="L29" i="50"/>
  <c r="I51" i="50"/>
  <c r="S19" i="50"/>
  <c r="AI11" i="50"/>
  <c r="AH6" i="48"/>
  <c r="AA24" i="50"/>
  <c r="T17" i="50"/>
  <c r="AK50" i="50"/>
  <c r="AJ5" i="48"/>
  <c r="V10" i="48"/>
  <c r="AB23" i="50"/>
  <c r="AG46" i="50"/>
  <c r="X18" i="50"/>
  <c r="AF19" i="50"/>
  <c r="P17" i="50"/>
  <c r="AG39" i="50"/>
  <c r="X26" i="50"/>
  <c r="AF24" i="50"/>
  <c r="AK38" i="48"/>
  <c r="M53" i="48"/>
  <c r="AK24" i="50"/>
  <c r="N35" i="48"/>
  <c r="W53" i="48"/>
  <c r="AL51" i="48"/>
  <c r="AH30" i="48"/>
  <c r="AC48" i="48"/>
  <c r="AH18" i="48"/>
  <c r="Y7" i="50"/>
  <c r="U29" i="48"/>
  <c r="AG41" i="48"/>
  <c r="AL50" i="48"/>
  <c r="AI48" i="48"/>
  <c r="AA50" i="48"/>
  <c r="AH16" i="48"/>
  <c r="P40" i="48"/>
  <c r="AE47" i="50"/>
  <c r="V31" i="48"/>
  <c r="Q41" i="48"/>
  <c r="AI50" i="48"/>
  <c r="AB51" i="48"/>
  <c r="Q13" i="50"/>
  <c r="AH30" i="50"/>
  <c r="L37" i="48"/>
  <c r="AD46" i="48"/>
  <c r="P37" i="48"/>
  <c r="P36" i="48"/>
  <c r="P23" i="48"/>
  <c r="O38" i="50"/>
  <c r="AJ37" i="48"/>
  <c r="O12" i="48"/>
  <c r="X9" i="50"/>
  <c r="M36" i="48"/>
  <c r="AF45" i="48"/>
  <c r="AG52" i="48"/>
  <c r="R43" i="48"/>
  <c r="AD33" i="50"/>
  <c r="L36" i="50"/>
  <c r="AI36" i="48"/>
  <c r="W45" i="48"/>
  <c r="AB13" i="48"/>
  <c r="AJ4" i="48"/>
  <c r="R7" i="50"/>
  <c r="X5" i="50"/>
  <c r="V29" i="48"/>
  <c r="AE24" i="50"/>
  <c r="T40" i="48"/>
  <c r="R36" i="48"/>
  <c r="AL31" i="48"/>
  <c r="Y16" i="50"/>
  <c r="X50" i="48"/>
  <c r="AJ46" i="48"/>
  <c r="AJ42" i="48"/>
  <c r="R49" i="48"/>
  <c r="R49" i="50"/>
  <c r="AE19" i="50"/>
  <c r="Z40" i="48"/>
  <c r="T42" i="48"/>
  <c r="AJ42" i="50"/>
  <c r="R47" i="48"/>
  <c r="AJ35" i="48"/>
  <c r="V25" i="48"/>
  <c r="AK35" i="48"/>
  <c r="K38" i="48"/>
  <c r="P50" i="48"/>
  <c r="AG11" i="48"/>
  <c r="N39" i="50"/>
  <c r="AA15" i="50"/>
  <c r="AL14" i="48"/>
  <c r="AH48" i="48"/>
  <c r="AL28" i="48"/>
  <c r="Z10" i="48"/>
  <c r="AM18" i="50"/>
  <c r="AE52" i="48"/>
  <c r="R40" i="48"/>
  <c r="V46" i="48"/>
  <c r="S40" i="48"/>
  <c r="K42" i="48"/>
  <c r="V50" i="50"/>
  <c r="K45" i="48"/>
  <c r="AG18" i="48"/>
  <c r="AG39" i="48"/>
  <c r="V49" i="48"/>
  <c r="AE15" i="48"/>
  <c r="AH23" i="48"/>
  <c r="N22" i="50"/>
  <c r="T27" i="48"/>
  <c r="V8" i="50"/>
  <c r="L44" i="48"/>
  <c r="Y30" i="48"/>
  <c r="AL7" i="48"/>
  <c r="AG17" i="48"/>
  <c r="O41" i="48"/>
  <c r="S12" i="48"/>
  <c r="Q43" i="48"/>
  <c r="AL53" i="48"/>
  <c r="AC40" i="48"/>
  <c r="P7" i="48"/>
  <c r="K30" i="48"/>
  <c r="V17" i="48"/>
  <c r="X33" i="48"/>
  <c r="AG38" i="48"/>
  <c r="T41" i="48"/>
  <c r="AA16" i="50"/>
  <c r="V36" i="48"/>
  <c r="AH46" i="48"/>
  <c r="S34" i="48"/>
  <c r="AI45" i="50"/>
  <c r="Z44" i="50"/>
  <c r="AE45" i="50"/>
  <c r="AJ44" i="48"/>
  <c r="AA41" i="50"/>
  <c r="K49" i="48"/>
  <c r="AG37" i="48"/>
  <c r="AK47" i="48"/>
  <c r="AJ39" i="50"/>
  <c r="AL49" i="48"/>
  <c r="AI16" i="50"/>
  <c r="AB39" i="50"/>
  <c r="N33" i="48"/>
  <c r="AA37" i="50"/>
  <c r="K21" i="48"/>
  <c r="AK26" i="48"/>
  <c r="M20" i="50"/>
  <c r="AD16" i="50"/>
  <c r="AJ7" i="50"/>
  <c r="AK41" i="48"/>
  <c r="I21" i="48"/>
  <c r="H11" i="48"/>
  <c r="J44" i="48"/>
  <c r="H30" i="48"/>
  <c r="H26" i="48"/>
  <c r="G23" i="48"/>
  <c r="J13" i="50"/>
  <c r="J16" i="50"/>
  <c r="H52" i="50"/>
  <c r="J11" i="50"/>
  <c r="H28" i="50"/>
  <c r="J25" i="50"/>
  <c r="J30" i="50"/>
  <c r="H27" i="50"/>
  <c r="AK6" i="50"/>
  <c r="T13" i="48"/>
  <c r="AA42" i="50"/>
  <c r="V52" i="50"/>
  <c r="AI15" i="50"/>
  <c r="AD29" i="48"/>
  <c r="O15" i="48"/>
  <c r="AG9" i="48"/>
  <c r="P9" i="50"/>
  <c r="M16" i="48"/>
  <c r="U7" i="48"/>
  <c r="AK12" i="48"/>
  <c r="AK45" i="48"/>
  <c r="N28" i="48"/>
  <c r="AI38" i="50"/>
  <c r="W16" i="50"/>
  <c r="P22" i="48"/>
  <c r="N12" i="50"/>
  <c r="M32" i="50"/>
  <c r="AB41" i="50"/>
  <c r="S27" i="48"/>
  <c r="W27" i="50"/>
  <c r="R47" i="50"/>
  <c r="AA51" i="50"/>
  <c r="AA30" i="48"/>
  <c r="T27" i="50"/>
  <c r="AA10" i="50"/>
  <c r="W32" i="48"/>
  <c r="AG17" i="50"/>
  <c r="R45" i="50"/>
  <c r="AJ14" i="48"/>
  <c r="O14" i="50"/>
  <c r="T4" i="48"/>
  <c r="V16" i="48"/>
  <c r="W35" i="48"/>
  <c r="AL52" i="50"/>
  <c r="AD12" i="48"/>
  <c r="X34" i="50"/>
  <c r="T39" i="50"/>
  <c r="Z46" i="50"/>
  <c r="P12" i="50"/>
  <c r="O50" i="50"/>
  <c r="AL13" i="48"/>
  <c r="L17" i="50"/>
  <c r="AF33" i="50"/>
  <c r="W52" i="50"/>
  <c r="AG10" i="48"/>
  <c r="P32" i="48"/>
  <c r="X37" i="50"/>
  <c r="AE20" i="48"/>
  <c r="P20" i="50"/>
  <c r="AC13" i="50"/>
  <c r="AH34" i="48"/>
  <c r="U23" i="50"/>
  <c r="AG5" i="48"/>
  <c r="AF37" i="48"/>
  <c r="AG45" i="48"/>
  <c r="T53" i="48"/>
  <c r="Z52" i="48"/>
  <c r="X23" i="50"/>
  <c r="AD53" i="50"/>
  <c r="S38" i="48"/>
  <c r="K47" i="48"/>
  <c r="L39" i="48"/>
  <c r="AI12" i="50"/>
  <c r="AF47" i="50"/>
  <c r="AI43" i="50"/>
  <c r="V37" i="48"/>
  <c r="AD45" i="48"/>
  <c r="AL41" i="48"/>
  <c r="X26" i="48"/>
  <c r="Q18" i="50"/>
  <c r="J15" i="48"/>
  <c r="J37" i="48"/>
  <c r="I40" i="48"/>
  <c r="J26" i="48"/>
  <c r="G39" i="48"/>
  <c r="J34" i="50"/>
  <c r="H45" i="50"/>
  <c r="H6" i="50"/>
  <c r="J7" i="50"/>
  <c r="I44" i="50"/>
  <c r="J41" i="50"/>
  <c r="K39" i="50"/>
  <c r="I46" i="50"/>
  <c r="AB13" i="50"/>
  <c r="Q14" i="50"/>
  <c r="Z28" i="50"/>
  <c r="U22" i="50"/>
  <c r="R30" i="48"/>
  <c r="S20" i="50"/>
  <c r="Y14" i="50"/>
  <c r="P10" i="50"/>
  <c r="AH15" i="50"/>
  <c r="AK18" i="48"/>
  <c r="AB12" i="50"/>
  <c r="AA46" i="48"/>
  <c r="AD34" i="50"/>
  <c r="AH39" i="50"/>
  <c r="U4" i="48"/>
  <c r="AE46" i="50"/>
  <c r="AH21" i="50"/>
  <c r="Q19" i="48"/>
  <c r="R35" i="50"/>
  <c r="AI28" i="48"/>
  <c r="AM14" i="50"/>
  <c r="S31" i="50"/>
  <c r="AC9" i="48"/>
  <c r="U31" i="48"/>
  <c r="T42" i="50"/>
  <c r="Q15" i="50"/>
  <c r="O22" i="48"/>
  <c r="AC25" i="50"/>
  <c r="L24" i="50"/>
  <c r="AL5" i="50"/>
  <c r="AL10" i="50"/>
  <c r="AI39" i="50"/>
  <c r="J38" i="48"/>
  <c r="H28" i="48"/>
  <c r="J49" i="48"/>
  <c r="I53" i="48"/>
  <c r="G8" i="48"/>
  <c r="H16" i="50"/>
  <c r="H31" i="50"/>
  <c r="I26" i="50"/>
  <c r="I36" i="50"/>
  <c r="J23" i="50"/>
  <c r="J40" i="50"/>
  <c r="J19" i="50"/>
  <c r="H44" i="50"/>
  <c r="H43" i="48"/>
  <c r="H39" i="48"/>
  <c r="J25" i="48"/>
  <c r="J19" i="48"/>
  <c r="G17" i="48"/>
  <c r="I6" i="50"/>
  <c r="H42" i="50"/>
  <c r="H47" i="50"/>
  <c r="K10" i="50"/>
  <c r="J26" i="50"/>
  <c r="J21" i="50"/>
  <c r="H10" i="50"/>
  <c r="K25" i="50"/>
  <c r="T24" i="48"/>
  <c r="AG23" i="50"/>
  <c r="AB12" i="48"/>
  <c r="T24" i="50"/>
  <c r="N34" i="48"/>
  <c r="AL17" i="48"/>
  <c r="P35" i="50"/>
  <c r="X22" i="50"/>
  <c r="AD35" i="50"/>
  <c r="W14" i="48"/>
  <c r="AB24" i="50"/>
  <c r="AK27" i="50"/>
  <c r="Q21" i="48"/>
  <c r="W13" i="50"/>
  <c r="U21" i="48"/>
  <c r="AJ18" i="50"/>
  <c r="Y21" i="48"/>
  <c r="Q45" i="50"/>
  <c r="R11" i="50"/>
  <c r="AA17" i="48"/>
  <c r="U30" i="48"/>
  <c r="O43" i="50"/>
  <c r="M27" i="48"/>
  <c r="L18" i="50"/>
  <c r="N51" i="50"/>
  <c r="N50" i="50"/>
  <c r="S8" i="48"/>
  <c r="AI16" i="48"/>
  <c r="V30" i="48"/>
  <c r="V44" i="50"/>
  <c r="K11" i="48"/>
  <c r="I23" i="48"/>
  <c r="I44" i="48"/>
  <c r="I27" i="48"/>
  <c r="G30" i="48"/>
  <c r="G9" i="48"/>
  <c r="I7" i="50"/>
  <c r="J52" i="50"/>
  <c r="K20" i="50"/>
  <c r="I5" i="50"/>
  <c r="J27" i="50"/>
  <c r="K43" i="50"/>
  <c r="I14" i="50"/>
  <c r="I41" i="50"/>
  <c r="I16" i="48"/>
  <c r="H49" i="48"/>
  <c r="J12" i="48"/>
  <c r="G13" i="48"/>
  <c r="G35" i="48"/>
  <c r="I52" i="50"/>
  <c r="H24" i="50"/>
  <c r="K9" i="50"/>
  <c r="K51" i="50"/>
  <c r="H30" i="50"/>
  <c r="I30" i="50"/>
  <c r="K47" i="50"/>
  <c r="H46" i="50"/>
  <c r="AH27" i="48"/>
  <c r="P53" i="50"/>
  <c r="X28" i="48"/>
  <c r="Y6" i="48"/>
  <c r="X18" i="48"/>
  <c r="S33" i="50"/>
  <c r="AH36" i="48"/>
  <c r="AC5" i="50"/>
  <c r="AH50" i="50"/>
  <c r="P25" i="50"/>
  <c r="AM35" i="50"/>
  <c r="O24" i="50"/>
  <c r="M30" i="48"/>
  <c r="Z31" i="50"/>
  <c r="AC42" i="50"/>
  <c r="R42" i="50"/>
  <c r="Y13" i="50"/>
  <c r="AD41" i="50"/>
  <c r="N8" i="50"/>
  <c r="S31" i="48"/>
  <c r="L13" i="48"/>
  <c r="R33" i="50"/>
  <c r="AH14" i="48"/>
  <c r="P12" i="48"/>
  <c r="AC11" i="48"/>
  <c r="AM16" i="50"/>
  <c r="AH47" i="50"/>
  <c r="AL24" i="48"/>
  <c r="AB11" i="48"/>
  <c r="AE27" i="50"/>
  <c r="Z27" i="50"/>
  <c r="M51" i="50"/>
  <c r="H34" i="48"/>
  <c r="J53" i="48"/>
  <c r="I11" i="48"/>
  <c r="G20" i="48"/>
  <c r="G16" i="48"/>
  <c r="H35" i="50"/>
  <c r="K13" i="50"/>
  <c r="J18" i="50"/>
  <c r="I37" i="50"/>
  <c r="I23" i="50"/>
  <c r="K11" i="50"/>
  <c r="I17" i="50"/>
  <c r="J20" i="50"/>
  <c r="J43" i="48"/>
  <c r="H32" i="48"/>
  <c r="H18" i="48"/>
  <c r="G45" i="48"/>
  <c r="G50" i="48"/>
  <c r="K36" i="50"/>
  <c r="I8" i="50"/>
  <c r="I20" i="50"/>
  <c r="J43" i="50"/>
  <c r="K23" i="50"/>
  <c r="J39" i="50"/>
  <c r="I21" i="50"/>
  <c r="I9" i="50"/>
  <c r="I48" i="48"/>
  <c r="I19" i="48"/>
  <c r="I37" i="48"/>
  <c r="G12" i="48"/>
  <c r="G15" i="48"/>
  <c r="J32" i="50"/>
  <c r="I34" i="50"/>
  <c r="K42" i="50"/>
  <c r="H4" i="50"/>
  <c r="H14" i="50"/>
  <c r="K19" i="50"/>
  <c r="K30" i="50"/>
  <c r="I49" i="50"/>
  <c r="AE14" i="48"/>
  <c r="V4" i="48"/>
  <c r="AB48" i="50"/>
  <c r="AC28" i="48"/>
  <c r="AM12" i="50"/>
  <c r="AG42" i="48"/>
  <c r="AA8" i="48"/>
  <c r="AB25" i="50"/>
  <c r="X29" i="50"/>
  <c r="M23" i="48"/>
  <c r="K34" i="48"/>
  <c r="AC35" i="50"/>
  <c r="S44" i="50"/>
  <c r="Y17" i="48"/>
  <c r="Q12" i="50"/>
  <c r="AB15" i="48"/>
  <c r="AM9" i="50"/>
  <c r="T36" i="50"/>
  <c r="AI15" i="48"/>
  <c r="O26" i="50"/>
  <c r="Y45" i="50"/>
  <c r="M50" i="50"/>
  <c r="P14" i="48"/>
  <c r="AC31" i="50"/>
  <c r="AI37" i="50"/>
  <c r="AJ37" i="50"/>
  <c r="AL19" i="48"/>
  <c r="U28" i="50"/>
  <c r="N24" i="50"/>
  <c r="Z29" i="48"/>
  <c r="Z18" i="48"/>
  <c r="AE18" i="50"/>
  <c r="AH25" i="50"/>
  <c r="Z35" i="50"/>
  <c r="I52" i="48"/>
  <c r="J17" i="48"/>
  <c r="I22" i="48"/>
  <c r="G40" i="48"/>
  <c r="G37" i="48"/>
  <c r="I25" i="50"/>
  <c r="J35" i="50"/>
  <c r="I16" i="50"/>
  <c r="I11" i="50"/>
  <c r="K49" i="50"/>
  <c r="J10" i="50"/>
  <c r="I39" i="50"/>
  <c r="H49" i="50"/>
  <c r="L44" i="50"/>
  <c r="AK7" i="48"/>
  <c r="U8" i="48"/>
  <c r="AM32" i="50"/>
  <c r="O24" i="48"/>
  <c r="AI9" i="50"/>
  <c r="M52" i="48"/>
  <c r="S53" i="50"/>
  <c r="AE6" i="48"/>
  <c r="AD44" i="50"/>
  <c r="R18" i="50"/>
  <c r="O35" i="48"/>
  <c r="Y8" i="48"/>
  <c r="AB34" i="50"/>
  <c r="Z13" i="50"/>
  <c r="S7" i="48"/>
  <c r="W28" i="50"/>
  <c r="T23" i="50"/>
  <c r="AD29" i="50"/>
  <c r="T40" i="50"/>
  <c r="V37" i="50"/>
  <c r="AE20" i="50"/>
  <c r="Z5" i="48"/>
  <c r="I13" i="48"/>
  <c r="J51" i="48"/>
  <c r="J13" i="48"/>
  <c r="G29" i="48"/>
  <c r="G38" i="48"/>
  <c r="I29" i="50"/>
  <c r="J50" i="50"/>
  <c r="J37" i="50"/>
  <c r="K48" i="50"/>
  <c r="I32" i="50"/>
  <c r="H5" i="50"/>
  <c r="I19" i="50"/>
  <c r="X46" i="50"/>
  <c r="AE26" i="50"/>
  <c r="AI53" i="50"/>
  <c r="AB22" i="50"/>
  <c r="AG43" i="50"/>
  <c r="AD25" i="50"/>
  <c r="N27" i="48"/>
  <c r="Z6" i="50"/>
  <c r="W30" i="50"/>
  <c r="AG26" i="48"/>
  <c r="P18" i="50"/>
  <c r="AF38" i="48"/>
  <c r="W25" i="48"/>
  <c r="N38" i="50"/>
  <c r="W15" i="48"/>
  <c r="AE50" i="50"/>
  <c r="N15" i="48"/>
  <c r="AL14" i="50"/>
  <c r="AC12" i="50"/>
  <c r="AM10" i="50"/>
  <c r="Y52" i="50"/>
  <c r="P11" i="50"/>
  <c r="X53" i="50"/>
  <c r="L8" i="48"/>
  <c r="I12" i="48"/>
  <c r="I24" i="50"/>
  <c r="J9" i="50"/>
  <c r="M7" i="50"/>
  <c r="Y4" i="50"/>
  <c r="AJ28" i="50"/>
  <c r="N47" i="50"/>
  <c r="T46" i="50"/>
  <c r="AE4" i="48"/>
  <c r="AL16" i="50"/>
  <c r="T29" i="50"/>
  <c r="AJ41" i="50"/>
  <c r="T7" i="50"/>
  <c r="U6" i="48"/>
  <c r="R20" i="50"/>
  <c r="S17" i="48"/>
  <c r="AA6" i="48"/>
  <c r="Z14" i="48"/>
  <c r="AK10" i="50"/>
  <c r="AD34" i="48"/>
  <c r="AA7" i="48"/>
  <c r="I30" i="48"/>
  <c r="H17" i="50"/>
  <c r="J49" i="50"/>
  <c r="P3" i="47"/>
  <c r="Y27" i="48"/>
  <c r="T31" i="50"/>
  <c r="AL43" i="50"/>
  <c r="AH46" i="50"/>
  <c r="K3" i="47"/>
  <c r="M25" i="50"/>
  <c r="U36" i="50"/>
  <c r="Z5" i="50"/>
  <c r="Q22" i="50"/>
  <c r="AB30" i="48"/>
  <c r="Q18" i="48"/>
  <c r="AI21" i="50"/>
  <c r="AE31" i="50"/>
  <c r="T34" i="50"/>
  <c r="N36" i="50"/>
  <c r="O6" i="48"/>
  <c r="M24" i="50"/>
  <c r="AE34" i="48"/>
  <c r="X17" i="48"/>
  <c r="AB50" i="50"/>
  <c r="L26" i="48"/>
  <c r="S50" i="50"/>
  <c r="L4" i="48"/>
  <c r="V14" i="48"/>
  <c r="T6" i="48"/>
  <c r="AE10" i="50"/>
  <c r="AL46" i="50"/>
  <c r="AL44" i="50"/>
  <c r="P34" i="48"/>
  <c r="AJ9" i="48"/>
  <c r="Q41" i="50"/>
  <c r="O18" i="50"/>
  <c r="R4" i="48"/>
  <c r="AJ39" i="48"/>
  <c r="AI44" i="50"/>
  <c r="AC34" i="48"/>
  <c r="M44" i="48"/>
  <c r="AB52" i="48"/>
  <c r="U47" i="48"/>
  <c r="AK14" i="50"/>
  <c r="AK17" i="48"/>
  <c r="AF40" i="48"/>
  <c r="AC49" i="48"/>
  <c r="AH53" i="48"/>
  <c r="AB34" i="48"/>
  <c r="Y9" i="50"/>
  <c r="V33" i="48"/>
  <c r="S43" i="48"/>
  <c r="Z51" i="48"/>
  <c r="U43" i="48"/>
  <c r="AG19" i="48"/>
  <c r="K27" i="48"/>
  <c r="AJ36" i="48"/>
  <c r="Z44" i="48"/>
  <c r="AC52" i="48"/>
  <c r="N52" i="48"/>
  <c r="U45" i="48"/>
  <c r="J39" i="48"/>
  <c r="H26" i="50"/>
  <c r="I47" i="50"/>
  <c r="AG8" i="48"/>
  <c r="AB4" i="48"/>
  <c r="AD42" i="50"/>
  <c r="AK40" i="50"/>
  <c r="P30" i="50"/>
  <c r="AA20" i="48"/>
  <c r="AD10" i="50"/>
  <c r="AG21" i="50"/>
  <c r="AA44" i="50"/>
  <c r="AG16" i="48"/>
  <c r="AC35" i="48"/>
  <c r="AG26" i="50"/>
  <c r="AB21" i="48"/>
  <c r="R27" i="50"/>
  <c r="AG37" i="50"/>
  <c r="S47" i="50"/>
  <c r="T13" i="50"/>
  <c r="AL4" i="50"/>
  <c r="AL35" i="48"/>
  <c r="AK44" i="50"/>
  <c r="V20" i="50"/>
  <c r="X35" i="50"/>
  <c r="S29" i="50"/>
  <c r="AK12" i="50"/>
  <c r="AM22" i="50"/>
  <c r="Q27" i="50"/>
  <c r="AE16" i="50"/>
  <c r="L10" i="48"/>
  <c r="AC23" i="48"/>
  <c r="K35" i="48"/>
  <c r="U27" i="50"/>
  <c r="Z7" i="48"/>
  <c r="M20" i="48"/>
  <c r="AM51" i="50"/>
  <c r="R41" i="48"/>
  <c r="AB11" i="50"/>
  <c r="Z35" i="48"/>
  <c r="AC44" i="48"/>
  <c r="AL52" i="48"/>
  <c r="AA38" i="50"/>
  <c r="W8" i="48"/>
  <c r="AL17" i="50"/>
  <c r="AI40" i="48"/>
  <c r="AE49" i="48"/>
  <c r="K50" i="48"/>
  <c r="AJ38" i="48"/>
  <c r="AG23" i="48"/>
  <c r="AA34" i="48"/>
  <c r="Z43" i="48"/>
  <c r="AD51" i="48"/>
  <c r="S49" i="48"/>
  <c r="S29" i="48"/>
  <c r="N23" i="50"/>
  <c r="H4" i="48"/>
  <c r="J29" i="50"/>
  <c r="H37" i="50"/>
  <c r="AD6" i="50"/>
  <c r="AD14" i="48"/>
  <c r="AD50" i="50"/>
  <c r="AF6" i="48"/>
  <c r="AA28" i="50"/>
  <c r="AM7" i="50"/>
  <c r="AM38" i="50"/>
  <c r="AJ6" i="50"/>
  <c r="AL11" i="50"/>
  <c r="AM29" i="50"/>
  <c r="W26" i="48"/>
  <c r="AM6" i="50"/>
  <c r="P5" i="50"/>
  <c r="X10" i="48"/>
  <c r="AH10" i="50"/>
  <c r="L47" i="50"/>
  <c r="O28" i="50"/>
  <c r="S36" i="48"/>
  <c r="L42" i="50"/>
  <c r="AM5" i="50"/>
  <c r="T8" i="48"/>
  <c r="N21" i="48"/>
  <c r="L17" i="48"/>
  <c r="AM48" i="50"/>
  <c r="P26" i="48"/>
  <c r="P13" i="48"/>
  <c r="AE5" i="50"/>
  <c r="AB7" i="48"/>
  <c r="S21" i="48"/>
  <c r="M27" i="50"/>
  <c r="X8" i="50"/>
  <c r="Z15" i="50"/>
  <c r="L19" i="50"/>
  <c r="N42" i="48"/>
  <c r="T19" i="50"/>
  <c r="U35" i="48"/>
  <c r="S45" i="48"/>
  <c r="AI37" i="48"/>
  <c r="AI42" i="50"/>
  <c r="M21" i="50"/>
  <c r="S25" i="50"/>
  <c r="S41" i="48"/>
  <c r="Z50" i="48"/>
  <c r="R53" i="48"/>
  <c r="T6" i="50"/>
  <c r="AG21" i="48"/>
  <c r="Q35" i="48"/>
  <c r="AH44" i="48"/>
  <c r="V53" i="48"/>
  <c r="T52" i="48"/>
  <c r="R18" i="48"/>
  <c r="Q48" i="50"/>
  <c r="U37" i="48"/>
  <c r="R45" i="48"/>
  <c r="AJ53" i="48"/>
  <c r="AG13" i="48"/>
  <c r="L33" i="48"/>
  <c r="AC6" i="50"/>
  <c r="AJ33" i="48"/>
  <c r="P52" i="50"/>
  <c r="V18" i="48"/>
  <c r="AL39" i="48"/>
  <c r="AC47" i="48"/>
  <c r="AD47" i="48"/>
  <c r="P52" i="48"/>
  <c r="O29" i="50"/>
  <c r="W29" i="48"/>
  <c r="N40" i="48"/>
  <c r="T48" i="48"/>
  <c r="Q39" i="48"/>
  <c r="AI41" i="48"/>
  <c r="AF9" i="48"/>
  <c r="L32" i="50"/>
  <c r="AK34" i="48"/>
  <c r="R9" i="48"/>
  <c r="S33" i="48"/>
  <c r="P42" i="48"/>
  <c r="O50" i="48"/>
  <c r="AL36" i="50"/>
  <c r="M34" i="48"/>
  <c r="R53" i="50"/>
  <c r="AB28" i="50"/>
  <c r="H10" i="48"/>
  <c r="H13" i="50"/>
  <c r="K21" i="50"/>
  <c r="R29" i="50"/>
  <c r="AG11" i="50"/>
  <c r="AE28" i="48"/>
  <c r="O19" i="48"/>
  <c r="V24" i="50"/>
  <c r="AM20" i="50"/>
  <c r="M18" i="50"/>
  <c r="AI22" i="48"/>
  <c r="Y24" i="48"/>
  <c r="AL21" i="50"/>
  <c r="AE18" i="48"/>
  <c r="AL8" i="50"/>
  <c r="AL45" i="50"/>
  <c r="M9" i="50"/>
  <c r="Z52" i="50"/>
  <c r="P29" i="48"/>
  <c r="L36" i="48"/>
  <c r="N53" i="50"/>
  <c r="AC14" i="50"/>
  <c r="T25" i="50"/>
  <c r="V11" i="50"/>
  <c r="AL37" i="50"/>
  <c r="X21" i="48"/>
  <c r="M30" i="50"/>
  <c r="AH22" i="48"/>
  <c r="L25" i="48"/>
  <c r="AC29" i="50"/>
  <c r="AK24" i="48"/>
  <c r="V11" i="48"/>
  <c r="P4" i="50"/>
  <c r="X29" i="48"/>
  <c r="K44" i="48"/>
  <c r="X51" i="50"/>
  <c r="AF36" i="48"/>
  <c r="W46" i="48"/>
  <c r="AD40" i="48"/>
  <c r="V32" i="48"/>
  <c r="AF27" i="48"/>
  <c r="AK30" i="48"/>
  <c r="AA41" i="48"/>
  <c r="AJ50" i="48"/>
  <c r="Z40" i="50"/>
  <c r="O27" i="50"/>
  <c r="S24" i="50"/>
  <c r="Y35" i="48"/>
  <c r="N44" i="48"/>
  <c r="J16" i="48"/>
  <c r="J12" i="50"/>
  <c r="J14" i="50"/>
  <c r="AA40" i="50"/>
  <c r="W33" i="48"/>
  <c r="AJ51" i="50"/>
  <c r="Q13" i="48"/>
  <c r="AB10" i="48"/>
  <c r="X8" i="48"/>
  <c r="S10" i="50"/>
  <c r="AG53" i="50"/>
  <c r="AK30" i="50"/>
  <c r="AF5" i="48"/>
  <c r="U21" i="50"/>
  <c r="AL23" i="48"/>
  <c r="M29" i="48"/>
  <c r="U12" i="50"/>
  <c r="V21" i="48"/>
  <c r="N45" i="50"/>
  <c r="AI5" i="50"/>
  <c r="AI38" i="48"/>
  <c r="R39" i="50"/>
  <c r="AB36" i="50"/>
  <c r="AG47" i="50"/>
  <c r="S27" i="50"/>
  <c r="V12" i="48"/>
  <c r="AH22" i="50"/>
  <c r="W32" i="50"/>
  <c r="M17" i="50"/>
  <c r="Y23" i="48"/>
  <c r="L41" i="50"/>
  <c r="P13" i="50"/>
  <c r="P14" i="50"/>
  <c r="O7" i="50"/>
  <c r="AD32" i="50"/>
  <c r="R41" i="50"/>
  <c r="V44" i="48"/>
  <c r="AF9" i="50"/>
  <c r="O37" i="48"/>
  <c r="N47" i="48"/>
  <c r="T45" i="48"/>
  <c r="Z38" i="48"/>
  <c r="AJ7" i="48"/>
  <c r="AF31" i="48"/>
  <c r="O42" i="48"/>
  <c r="S51" i="48"/>
  <c r="AJ34" i="48"/>
  <c r="AC37" i="50"/>
  <c r="O16" i="48"/>
  <c r="X36" i="48"/>
  <c r="X45" i="48"/>
  <c r="J23" i="48"/>
  <c r="H50" i="50"/>
  <c r="J44" i="50"/>
  <c r="AB27" i="48"/>
  <c r="AE35" i="48"/>
  <c r="S15" i="50"/>
  <c r="Z9" i="50"/>
  <c r="AJ14" i="50"/>
  <c r="AH11" i="48"/>
  <c r="AJ24" i="48"/>
  <c r="Q46" i="50"/>
  <c r="O39" i="50"/>
  <c r="AE43" i="50"/>
  <c r="T47" i="50"/>
  <c r="AM13" i="50"/>
  <c r="AJ31" i="48"/>
  <c r="AF4" i="50"/>
  <c r="Q16" i="50"/>
  <c r="AA16" i="48"/>
  <c r="AB20" i="48"/>
  <c r="AE17" i="50"/>
  <c r="M25" i="48"/>
  <c r="I4" i="48"/>
  <c r="J38" i="50"/>
  <c r="K26" i="50"/>
  <c r="M14" i="48"/>
  <c r="AA40" i="48"/>
  <c r="N15" i="50"/>
  <c r="AD5" i="48"/>
  <c r="AC24" i="48"/>
  <c r="AC24" i="50"/>
  <c r="AA13" i="48"/>
  <c r="AK37" i="50"/>
  <c r="AB43" i="50"/>
  <c r="R43" i="50"/>
  <c r="AI29" i="50"/>
  <c r="Q19" i="50"/>
  <c r="O13" i="50"/>
  <c r="H31" i="48"/>
  <c r="I43" i="50"/>
  <c r="AC19" i="48"/>
  <c r="AJ52" i="50"/>
  <c r="AA27" i="48"/>
  <c r="AH41" i="50"/>
  <c r="Y41" i="48"/>
  <c r="Q39" i="50"/>
  <c r="AD40" i="50"/>
  <c r="W35" i="50"/>
  <c r="M31" i="48"/>
  <c r="AD28" i="50"/>
  <c r="AK25" i="48"/>
  <c r="U11" i="48"/>
  <c r="AJ10" i="48"/>
  <c r="AH27" i="50"/>
  <c r="N13" i="48"/>
  <c r="AF22" i="50"/>
  <c r="X7" i="48"/>
  <c r="Z9" i="48"/>
  <c r="AA9" i="48"/>
  <c r="AJ23" i="48"/>
  <c r="O44" i="50"/>
  <c r="AF42" i="50"/>
  <c r="AI4" i="48"/>
  <c r="AA14" i="50"/>
  <c r="AD27" i="50"/>
  <c r="P22" i="50"/>
  <c r="W49" i="50"/>
  <c r="Q21" i="50"/>
  <c r="S9" i="50"/>
  <c r="L23" i="48"/>
  <c r="Y42" i="50"/>
  <c r="X43" i="50"/>
  <c r="P24" i="50"/>
  <c r="AI21" i="48"/>
  <c r="L35" i="48"/>
  <c r="AG51" i="50"/>
  <c r="U35" i="50"/>
  <c r="P39" i="48"/>
  <c r="W49" i="48"/>
  <c r="X53" i="48"/>
  <c r="AF52" i="48"/>
  <c r="AC32" i="50"/>
  <c r="V34" i="48"/>
  <c r="AI44" i="48"/>
  <c r="AH52" i="48"/>
  <c r="W50" i="48"/>
  <c r="S26" i="48"/>
  <c r="AI11" i="48"/>
  <c r="N38" i="48"/>
  <c r="G53" i="48"/>
  <c r="K4" i="50"/>
  <c r="AH8" i="48"/>
  <c r="AI19" i="48"/>
  <c r="AC26" i="48"/>
  <c r="AI23" i="50"/>
  <c r="L53" i="50"/>
  <c r="U13" i="48"/>
  <c r="AF33" i="48"/>
  <c r="Z30" i="50"/>
  <c r="P6" i="50"/>
  <c r="O26" i="48"/>
  <c r="AB29" i="50"/>
  <c r="X52" i="50"/>
  <c r="R21" i="50"/>
  <c r="T17" i="48"/>
  <c r="K22" i="48"/>
  <c r="I42" i="50"/>
  <c r="H23" i="50"/>
  <c r="AL53" i="50"/>
  <c r="X33" i="50"/>
  <c r="AE17" i="48"/>
  <c r="K18" i="48"/>
  <c r="U25" i="48"/>
  <c r="Y51" i="50"/>
  <c r="T7" i="48"/>
  <c r="O53" i="50"/>
  <c r="L14" i="48"/>
  <c r="AG34" i="50"/>
  <c r="AE5" i="48"/>
  <c r="W29" i="50"/>
  <c r="H5" i="48"/>
  <c r="I5" i="48"/>
  <c r="I39" i="48"/>
  <c r="I34" i="48"/>
  <c r="K38" i="50"/>
  <c r="I50" i="50"/>
  <c r="J5" i="50"/>
  <c r="K22" i="50"/>
  <c r="G49" i="48"/>
  <c r="G43" i="48"/>
  <c r="G11" i="48"/>
  <c r="H33" i="48"/>
  <c r="H44" i="48"/>
  <c r="J50" i="48"/>
  <c r="J7" i="48"/>
  <c r="I26" i="48"/>
  <c r="H17" i="48"/>
  <c r="AA17" i="50"/>
  <c r="I17" i="48"/>
  <c r="I29" i="48"/>
  <c r="H42" i="48"/>
  <c r="I50" i="48"/>
  <c r="J34" i="48"/>
  <c r="I10" i="48"/>
  <c r="I49" i="48"/>
  <c r="J42" i="48"/>
  <c r="J4" i="48"/>
  <c r="H24" i="48"/>
  <c r="I38" i="48"/>
  <c r="G31" i="48"/>
  <c r="G42" i="48"/>
  <c r="G36" i="48"/>
  <c r="G22" i="48"/>
  <c r="H41" i="50"/>
  <c r="I4" i="50"/>
  <c r="J24" i="50"/>
  <c r="I22" i="50"/>
  <c r="K28" i="50"/>
  <c r="K16" i="50"/>
  <c r="I48" i="50"/>
  <c r="H7" i="50"/>
  <c r="J47" i="50"/>
  <c r="K31" i="50"/>
  <c r="J48" i="50"/>
  <c r="H48" i="50"/>
  <c r="J46" i="50"/>
  <c r="K45" i="50"/>
  <c r="S2" i="47"/>
  <c r="Y24" i="50"/>
  <c r="N32" i="50"/>
  <c r="AB22" i="48"/>
  <c r="K16" i="48"/>
  <c r="AJ44" i="50"/>
  <c r="Y16" i="48"/>
  <c r="V39" i="50"/>
  <c r="AK16" i="50"/>
  <c r="AC39" i="48"/>
  <c r="Y43" i="50"/>
  <c r="M4" i="48"/>
  <c r="J33" i="48"/>
  <c r="J48" i="48"/>
  <c r="J28" i="48"/>
  <c r="J27" i="48"/>
  <c r="H52" i="48"/>
  <c r="H27" i="48"/>
  <c r="H50" i="48"/>
  <c r="J8" i="48"/>
  <c r="J6" i="48"/>
  <c r="I20" i="48"/>
  <c r="I28" i="48"/>
  <c r="G6" i="48"/>
  <c r="G33" i="48"/>
  <c r="G18" i="48"/>
  <c r="I15" i="50"/>
  <c r="I40" i="50"/>
  <c r="I12" i="50"/>
  <c r="K41" i="50"/>
  <c r="K12" i="50"/>
  <c r="H22" i="50"/>
  <c r="I18" i="50"/>
  <c r="H8" i="50"/>
  <c r="K5" i="50"/>
  <c r="H19" i="50"/>
  <c r="J31" i="50"/>
  <c r="I53" i="50"/>
  <c r="K53" i="50"/>
  <c r="K14" i="50"/>
  <c r="J45" i="50"/>
  <c r="V30" i="50"/>
  <c r="AH20" i="50"/>
  <c r="W16" i="48"/>
  <c r="M48" i="50"/>
  <c r="W5" i="50"/>
  <c r="T47" i="48"/>
  <c r="AD13" i="48"/>
  <c r="AF21" i="50"/>
  <c r="W21" i="48"/>
  <c r="Q23" i="48"/>
  <c r="AH5" i="50"/>
  <c r="Q26" i="50"/>
  <c r="U24" i="48"/>
  <c r="Q44" i="48"/>
  <c r="S11" i="50"/>
  <c r="L28" i="50"/>
  <c r="AF11" i="50"/>
  <c r="AM45" i="50"/>
  <c r="AE13" i="50"/>
  <c r="S10" i="48"/>
  <c r="AJ12" i="48"/>
  <c r="Z28" i="48"/>
  <c r="AA25" i="48"/>
  <c r="AJ26" i="48"/>
  <c r="Q28" i="48"/>
  <c r="AG42" i="50"/>
  <c r="U32" i="48"/>
  <c r="S45" i="50"/>
  <c r="AL50" i="50"/>
  <c r="AA49" i="50"/>
  <c r="X27" i="50"/>
  <c r="X11" i="48"/>
  <c r="AF43" i="50"/>
  <c r="X24" i="48"/>
  <c r="T25" i="48"/>
  <c r="X30" i="50"/>
  <c r="R34" i="50"/>
  <c r="Q29" i="48"/>
  <c r="AF5" i="50"/>
  <c r="T30" i="50"/>
  <c r="W11" i="48"/>
  <c r="P15" i="50"/>
  <c r="K19" i="48"/>
  <c r="P27" i="48"/>
  <c r="N32" i="48"/>
  <c r="AB38" i="50"/>
  <c r="V32" i="50"/>
  <c r="AK48" i="50"/>
  <c r="Q16" i="48"/>
  <c r="AB6" i="50"/>
  <c r="AB40" i="50"/>
  <c r="AJ31" i="50"/>
  <c r="W23" i="50"/>
  <c r="AK7" i="50"/>
  <c r="Q31" i="50"/>
  <c r="X44" i="50"/>
  <c r="X6" i="50"/>
  <c r="AD45" i="50"/>
  <c r="AD41" i="48"/>
  <c r="Y9" i="48"/>
  <c r="H38" i="48"/>
  <c r="J52" i="48"/>
  <c r="H12" i="48"/>
  <c r="I51" i="48"/>
  <c r="J40" i="48"/>
  <c r="J30" i="48"/>
  <c r="H36" i="48"/>
  <c r="H6" i="48"/>
  <c r="J35" i="48"/>
  <c r="H21" i="48"/>
  <c r="H47" i="48"/>
  <c r="G28" i="48"/>
  <c r="G47" i="48"/>
  <c r="G25" i="48"/>
  <c r="I45" i="50"/>
  <c r="I38" i="50"/>
  <c r="J28" i="50"/>
  <c r="H18" i="50"/>
  <c r="K6" i="50"/>
  <c r="K8" i="50"/>
  <c r="H20" i="50"/>
  <c r="J33" i="50"/>
  <c r="J53" i="50"/>
  <c r="K27" i="50"/>
  <c r="K24" i="50"/>
  <c r="H33" i="50"/>
  <c r="I27" i="50"/>
  <c r="K46" i="50"/>
  <c r="J42" i="50"/>
  <c r="AE38" i="50"/>
  <c r="M12" i="50"/>
  <c r="L5" i="48"/>
  <c r="AD10" i="48"/>
  <c r="AI31" i="50"/>
  <c r="AD8" i="50"/>
  <c r="Q50" i="48"/>
  <c r="P36" i="50"/>
  <c r="S4" i="50"/>
  <c r="AH25" i="48"/>
  <c r="S6" i="50"/>
  <c r="I43" i="48"/>
  <c r="I24" i="48"/>
  <c r="J29" i="48"/>
  <c r="H25" i="48"/>
  <c r="J41" i="48"/>
  <c r="I35" i="48"/>
  <c r="J24" i="48"/>
  <c r="I7" i="48"/>
  <c r="I45" i="48"/>
  <c r="H8" i="48"/>
  <c r="I33" i="48"/>
  <c r="G44" i="48"/>
  <c r="G51" i="48"/>
  <c r="G21" i="48"/>
  <c r="K35" i="50"/>
  <c r="J4" i="50"/>
  <c r="K29" i="50"/>
  <c r="K15" i="50"/>
  <c r="H40" i="50"/>
  <c r="I33" i="50"/>
  <c r="H9" i="50"/>
  <c r="H12" i="50"/>
  <c r="K33" i="50"/>
  <c r="J17" i="50"/>
  <c r="K34" i="50"/>
  <c r="J51" i="50"/>
  <c r="H51" i="50"/>
  <c r="K44" i="50"/>
  <c r="I13" i="50"/>
  <c r="AM33" i="50"/>
  <c r="AJ36" i="50"/>
  <c r="N48" i="50"/>
  <c r="N52" i="50"/>
  <c r="X51" i="48"/>
  <c r="S36" i="50"/>
  <c r="U8" i="50"/>
  <c r="AB18" i="48"/>
  <c r="AF50" i="50"/>
  <c r="AL33" i="50"/>
  <c r="S17" i="50"/>
  <c r="AE6" i="50"/>
  <c r="O46" i="48"/>
  <c r="AK23" i="48"/>
  <c r="U52" i="50"/>
  <c r="O49" i="50"/>
  <c r="AG41" i="50"/>
  <c r="AJ12" i="50"/>
  <c r="AB51" i="50"/>
  <c r="N7" i="50"/>
  <c r="AG24" i="50"/>
  <c r="R12" i="48"/>
  <c r="M21" i="48"/>
  <c r="N24" i="48"/>
  <c r="AA21" i="48"/>
  <c r="Q8" i="48"/>
  <c r="AA22" i="48"/>
  <c r="AA29" i="48"/>
  <c r="AE30" i="50"/>
  <c r="M49" i="50"/>
  <c r="M39" i="50"/>
  <c r="AE32" i="48"/>
  <c r="W5" i="48"/>
  <c r="AJ24" i="50"/>
  <c r="V42" i="50"/>
  <c r="Z31" i="48"/>
  <c r="W18" i="50"/>
  <c r="W22" i="48"/>
  <c r="AE8" i="50"/>
  <c r="Q28" i="50"/>
  <c r="AE35" i="50"/>
  <c r="AK21" i="50"/>
  <c r="L19" i="48"/>
  <c r="P43" i="50"/>
  <c r="V45" i="50"/>
  <c r="AB49" i="50"/>
  <c r="T23" i="48"/>
  <c r="AG15" i="50"/>
  <c r="K29" i="48"/>
  <c r="AD52" i="50"/>
  <c r="O16" i="50"/>
  <c r="AF18" i="48"/>
  <c r="AJ20" i="48"/>
  <c r="R23" i="48"/>
  <c r="R33" i="48"/>
  <c r="M43" i="48"/>
  <c r="H39" i="50"/>
  <c r="H11" i="50"/>
  <c r="K37" i="50"/>
  <c r="H21" i="50"/>
  <c r="H38" i="50"/>
  <c r="H29" i="50"/>
  <c r="H34" i="50"/>
  <c r="I35" i="50"/>
  <c r="K7" i="50"/>
  <c r="K52" i="50"/>
  <c r="G10" i="48"/>
  <c r="G52" i="48"/>
  <c r="H13" i="48"/>
  <c r="H37" i="48"/>
  <c r="H35" i="48"/>
  <c r="J31" i="48"/>
  <c r="H19" i="48"/>
  <c r="H15" i="48"/>
  <c r="I9" i="48"/>
  <c r="I8" i="48"/>
  <c r="H7" i="48"/>
  <c r="I14" i="48"/>
  <c r="H51" i="48"/>
  <c r="J21" i="48"/>
  <c r="J9" i="48"/>
  <c r="K17" i="50"/>
  <c r="H43" i="50"/>
  <c r="K40" i="50"/>
  <c r="H53" i="50"/>
  <c r="I28" i="50"/>
  <c r="K18" i="50"/>
  <c r="J36" i="50"/>
  <c r="H25" i="50"/>
  <c r="H15" i="50"/>
  <c r="K50" i="50"/>
  <c r="G26" i="48"/>
  <c r="G46" i="48"/>
  <c r="H23" i="48"/>
  <c r="J36" i="48"/>
  <c r="J18" i="48"/>
  <c r="J10" i="48"/>
  <c r="H41" i="48"/>
  <c r="H46" i="48"/>
  <c r="J46" i="48"/>
  <c r="H53" i="48"/>
  <c r="H32" i="50"/>
  <c r="J6" i="50"/>
  <c r="I31" i="50"/>
  <c r="G5" i="48"/>
  <c r="G32" i="48"/>
  <c r="I42" i="48"/>
  <c r="I6" i="48"/>
  <c r="H22" i="48"/>
  <c r="H40" i="48"/>
  <c r="I25" i="48"/>
  <c r="J14" i="48"/>
  <c r="J20" i="48"/>
  <c r="J47" i="48"/>
  <c r="J8" i="50"/>
  <c r="G14" i="48"/>
  <c r="G48" i="48"/>
  <c r="G27" i="48"/>
  <c r="H9" i="48"/>
  <c r="J45" i="48"/>
  <c r="I47" i="48"/>
  <c r="I31" i="48"/>
  <c r="I41" i="48"/>
  <c r="I18" i="48"/>
  <c r="I32" i="48"/>
  <c r="J11" i="48"/>
  <c r="J15" i="50"/>
  <c r="K32" i="50"/>
  <c r="J22" i="50"/>
  <c r="G41" i="48"/>
  <c r="G34" i="48"/>
  <c r="G7" i="48"/>
  <c r="J32" i="48"/>
  <c r="I36" i="48"/>
  <c r="H29" i="48"/>
  <c r="H14" i="48"/>
  <c r="J22" i="48"/>
  <c r="H45" i="48"/>
  <c r="H16" i="48"/>
  <c r="J5" i="48"/>
  <c r="H48" i="48"/>
  <c r="H20" i="48"/>
  <c r="I46" i="48"/>
  <c r="I15" i="48"/>
  <c r="AG50" i="50"/>
  <c r="U24" i="50"/>
  <c r="AE51" i="50"/>
  <c r="Z25" i="48"/>
  <c r="Q53" i="50"/>
  <c r="AL15" i="48"/>
  <c r="AF11" i="48"/>
  <c r="U5" i="48"/>
  <c r="V12" i="50"/>
  <c r="AG27" i="48"/>
  <c r="M7" i="48"/>
  <c r="X22" i="48"/>
  <c r="AK8" i="48"/>
  <c r="V26" i="48"/>
  <c r="AH9" i="48"/>
  <c r="AJ25" i="50"/>
  <c r="Q22" i="48"/>
  <c r="P24" i="48"/>
  <c r="AI23" i="48"/>
  <c r="P38" i="50"/>
  <c r="AB5" i="48"/>
  <c r="V31" i="50"/>
  <c r="AH26" i="48"/>
  <c r="AJ46" i="50"/>
  <c r="AC15" i="50"/>
  <c r="M42" i="48"/>
  <c r="Q10" i="50"/>
  <c r="Y6" i="50"/>
  <c r="AA19" i="48"/>
  <c r="X19" i="48"/>
  <c r="N18" i="48"/>
  <c r="R16" i="50"/>
  <c r="L22" i="48"/>
  <c r="M35" i="50"/>
  <c r="AG22" i="50"/>
  <c r="AK29" i="48"/>
  <c r="AA43" i="48"/>
  <c r="AC18" i="50"/>
  <c r="W47" i="50"/>
  <c r="T38" i="50"/>
  <c r="R2" i="47"/>
  <c r="AJ22" i="50"/>
  <c r="Y11" i="48"/>
  <c r="U53" i="50"/>
  <c r="AE25" i="50"/>
  <c r="AF13" i="48"/>
  <c r="AF12" i="50"/>
  <c r="U33" i="50"/>
  <c r="AF12" i="48"/>
  <c r="V13" i="48"/>
  <c r="P39" i="50"/>
  <c r="Y29" i="48"/>
  <c r="AD39" i="50"/>
  <c r="Y12" i="50"/>
  <c r="L30" i="50"/>
  <c r="AI50" i="50"/>
  <c r="Y12" i="48"/>
  <c r="R17" i="48"/>
  <c r="N5" i="50"/>
  <c r="AI35" i="50"/>
  <c r="AI49" i="50"/>
  <c r="Y36" i="50"/>
  <c r="U13" i="50"/>
  <c r="M22" i="50"/>
  <c r="O45" i="50"/>
  <c r="AD46" i="50"/>
  <c r="AL6" i="48"/>
  <c r="AH37" i="50"/>
  <c r="Q33" i="48"/>
  <c r="AC5" i="48"/>
  <c r="V9" i="48"/>
  <c r="S52" i="50"/>
  <c r="X12" i="50"/>
  <c r="AE52" i="50"/>
  <c r="AH28" i="50"/>
  <c r="L11" i="48"/>
  <c r="T20" i="48"/>
  <c r="M33" i="50"/>
  <c r="AF52" i="50"/>
  <c r="K13" i="48"/>
  <c r="R24" i="50"/>
  <c r="K8" i="48"/>
  <c r="AD9" i="48"/>
  <c r="Q15" i="48"/>
  <c r="R26" i="48"/>
  <c r="R8" i="48"/>
  <c r="AI27" i="50"/>
  <c r="O6" i="50"/>
  <c r="U15" i="48"/>
  <c r="W48" i="50"/>
  <c r="W13" i="48"/>
  <c r="N30" i="48"/>
  <c r="AH40" i="48"/>
  <c r="R19" i="48"/>
  <c r="Z36" i="50"/>
  <c r="X32" i="50"/>
  <c r="AC45" i="50"/>
  <c r="K20" i="48"/>
  <c r="AC43" i="50"/>
  <c r="AF53" i="50"/>
  <c r="V49" i="50"/>
  <c r="AA13" i="50"/>
  <c r="AA47" i="50"/>
  <c r="AM17" i="50"/>
  <c r="P21" i="50"/>
  <c r="P28" i="48"/>
  <c r="T43" i="48"/>
  <c r="AK23" i="50"/>
  <c r="AC20" i="48"/>
  <c r="N27" i="50"/>
  <c r="AF39" i="50"/>
  <c r="AF46" i="50"/>
  <c r="Z41" i="50"/>
  <c r="P2" i="47"/>
  <c r="R36" i="50"/>
  <c r="L12" i="48"/>
  <c r="U32" i="50"/>
  <c r="AJ27" i="50"/>
  <c r="AI39" i="48"/>
  <c r="AF14" i="50"/>
  <c r="S37" i="50"/>
  <c r="Q6" i="48"/>
  <c r="R28" i="48"/>
  <c r="Y44" i="50"/>
  <c r="Y33" i="50"/>
  <c r="V47" i="50"/>
  <c r="AB33" i="50"/>
  <c r="AC7" i="48"/>
  <c r="AB16" i="50"/>
  <c r="Z23" i="48"/>
  <c r="AH17" i="50"/>
  <c r="W53" i="50"/>
  <c r="Z43" i="50"/>
  <c r="U14" i="48"/>
  <c r="Y26" i="48"/>
  <c r="AD9" i="50"/>
  <c r="R21" i="48"/>
  <c r="Z33" i="50"/>
  <c r="AK22" i="48"/>
  <c r="AE41" i="50"/>
  <c r="N31" i="50"/>
  <c r="V18" i="50"/>
  <c r="AM27" i="50"/>
  <c r="AG25" i="48"/>
  <c r="P7" i="50"/>
  <c r="AM31" i="50"/>
  <c r="L40" i="50"/>
  <c r="AI32" i="50"/>
  <c r="AI51" i="50"/>
  <c r="M10" i="50"/>
  <c r="P30" i="48"/>
  <c r="R51" i="48"/>
  <c r="X41" i="50"/>
  <c r="Y37" i="50"/>
  <c r="AK15" i="50"/>
  <c r="Z38" i="50"/>
  <c r="U48" i="50"/>
  <c r="AJ13" i="48"/>
  <c r="N11" i="48"/>
  <c r="AB24" i="48"/>
  <c r="AC34" i="50"/>
  <c r="AJ45" i="50"/>
  <c r="W30" i="48"/>
  <c r="AA45" i="48"/>
  <c r="R6" i="48"/>
  <c r="AL6" i="50"/>
  <c r="M13" i="50"/>
  <c r="Q50" i="50"/>
  <c r="U44" i="50"/>
  <c r="L45" i="50"/>
  <c r="Z18" i="50"/>
  <c r="AE9" i="48"/>
  <c r="M16" i="50"/>
  <c r="R8" i="50"/>
  <c r="R25" i="50"/>
  <c r="AG34" i="48"/>
  <c r="V19" i="48"/>
  <c r="AE53" i="50"/>
  <c r="AB18" i="50"/>
  <c r="O21" i="50"/>
  <c r="Y31" i="50"/>
  <c r="U38" i="50"/>
  <c r="S32" i="48"/>
  <c r="L9" i="48"/>
  <c r="R32" i="50"/>
  <c r="Q36" i="50"/>
  <c r="T29" i="48"/>
  <c r="X39" i="50"/>
  <c r="S42" i="50"/>
  <c r="AD51" i="50"/>
  <c r="O19" i="50"/>
  <c r="Y37" i="48"/>
  <c r="Q4" i="48"/>
  <c r="L37" i="50"/>
  <c r="AD22" i="48"/>
  <c r="AJ5" i="50"/>
  <c r="AL47" i="50"/>
  <c r="AE25" i="48"/>
  <c r="AC23" i="50"/>
  <c r="AK36" i="50"/>
  <c r="T32" i="50"/>
  <c r="AH29" i="50"/>
  <c r="AF16" i="48"/>
  <c r="U26" i="50"/>
  <c r="L35" i="50"/>
  <c r="Y47" i="50"/>
  <c r="Z19" i="50"/>
  <c r="AI33" i="48"/>
  <c r="AI25" i="50"/>
  <c r="AC21" i="48"/>
  <c r="AA35" i="50"/>
  <c r="AH34" i="50"/>
  <c r="Q49" i="50"/>
  <c r="R32" i="48"/>
  <c r="AA42" i="48"/>
  <c r="AF40" i="50"/>
  <c r="U39" i="50"/>
  <c r="L40" i="48"/>
  <c r="M48" i="48"/>
  <c r="S42" i="48"/>
  <c r="T35" i="50"/>
  <c r="W4" i="48"/>
  <c r="AJ10" i="50"/>
  <c r="AC37" i="48"/>
  <c r="P45" i="48"/>
  <c r="AC53" i="48"/>
  <c r="O2" i="47"/>
  <c r="AB17" i="48"/>
  <c r="U5" i="50"/>
  <c r="AE28" i="50"/>
  <c r="AG9" i="50"/>
  <c r="AF18" i="50"/>
  <c r="V23" i="50"/>
  <c r="AJ11" i="48"/>
  <c r="AE19" i="48"/>
  <c r="M9" i="48"/>
  <c r="P26" i="50"/>
  <c r="V23" i="48"/>
  <c r="AB31" i="48"/>
  <c r="AI13" i="48"/>
  <c r="AL15" i="50"/>
  <c r="Y48" i="50"/>
  <c r="AK29" i="50"/>
  <c r="V7" i="50"/>
  <c r="L18" i="48"/>
  <c r="N17" i="48"/>
  <c r="T51" i="50"/>
  <c r="S5" i="50"/>
  <c r="Y22" i="50"/>
  <c r="AD48" i="50"/>
  <c r="M8" i="50"/>
  <c r="Y15" i="48"/>
  <c r="Y34" i="50"/>
  <c r="U26" i="48"/>
  <c r="O10" i="50"/>
  <c r="S8" i="50"/>
  <c r="AL37" i="48"/>
  <c r="O52" i="50"/>
  <c r="Y25" i="50"/>
  <c r="S12" i="50"/>
  <c r="AC51" i="50"/>
  <c r="Z12" i="50"/>
  <c r="W34" i="50"/>
  <c r="U45" i="50"/>
  <c r="O20" i="50"/>
  <c r="AE44" i="48"/>
  <c r="AF27" i="50"/>
  <c r="AC50" i="50"/>
  <c r="AC21" i="50"/>
  <c r="Z22" i="50"/>
  <c r="S23" i="50"/>
  <c r="AA29" i="50"/>
  <c r="AA43" i="50"/>
  <c r="AL5" i="48"/>
  <c r="O37" i="50"/>
  <c r="T33" i="50"/>
  <c r="AH6" i="50"/>
  <c r="AD7" i="50"/>
  <c r="AD38" i="50"/>
  <c r="AI14" i="50"/>
  <c r="N14" i="50"/>
  <c r="AC15" i="48"/>
  <c r="Z48" i="50"/>
  <c r="AB25" i="48"/>
  <c r="AJ50" i="50"/>
  <c r="V46" i="50"/>
  <c r="O51" i="50"/>
  <c r="AA24" i="48"/>
  <c r="AE4" i="50"/>
  <c r="X25" i="50"/>
  <c r="K6" i="48"/>
  <c r="S46" i="50"/>
  <c r="X4" i="48"/>
  <c r="X37" i="48"/>
  <c r="AE11" i="50"/>
  <c r="AJ21" i="48"/>
  <c r="AC49" i="50"/>
  <c r="AF37" i="50"/>
  <c r="Q7" i="48"/>
  <c r="N37" i="50"/>
  <c r="Y41" i="50"/>
  <c r="AI26" i="48"/>
  <c r="V43" i="48"/>
  <c r="AI9" i="48"/>
  <c r="R52" i="50"/>
  <c r="AG7" i="50"/>
  <c r="O23" i="50"/>
  <c r="M26" i="50"/>
  <c r="T37" i="50"/>
  <c r="X20" i="48"/>
  <c r="Y35" i="50"/>
  <c r="AI17" i="50"/>
  <c r="X40" i="50"/>
  <c r="AF21" i="48"/>
  <c r="AH20" i="48"/>
  <c r="N10" i="50"/>
  <c r="AJ30" i="50"/>
  <c r="AL38" i="50"/>
  <c r="U51" i="50"/>
  <c r="AL31" i="50"/>
  <c r="O4" i="48"/>
  <c r="N46" i="50"/>
  <c r="AL9" i="48"/>
  <c r="AL8" i="48"/>
  <c r="Q43" i="50"/>
  <c r="Y50" i="50"/>
  <c r="S22" i="48"/>
  <c r="L22" i="50"/>
  <c r="W38" i="50"/>
  <c r="W11" i="50"/>
  <c r="Z8" i="48"/>
  <c r="AM46" i="50"/>
  <c r="AE21" i="50"/>
  <c r="X13" i="48"/>
  <c r="AK28" i="50"/>
  <c r="AH32" i="48"/>
  <c r="AG48" i="48"/>
  <c r="P48" i="50"/>
  <c r="AI8" i="50"/>
  <c r="T12" i="50"/>
  <c r="AB15" i="50"/>
  <c r="T48" i="50"/>
  <c r="W37" i="50"/>
  <c r="AA28" i="48"/>
  <c r="AH8" i="50"/>
  <c r="U6" i="50"/>
  <c r="P16" i="48"/>
  <c r="AK26" i="50"/>
  <c r="AK36" i="48"/>
  <c r="M47" i="48"/>
  <c r="O11" i="48"/>
  <c r="X20" i="50"/>
  <c r="Q4" i="50"/>
  <c r="AI17" i="48"/>
  <c r="T53" i="50"/>
  <c r="N40" i="50"/>
  <c r="W17" i="48"/>
  <c r="AG20" i="50"/>
  <c r="AI14" i="48"/>
  <c r="Z24" i="48"/>
  <c r="AK52" i="50"/>
  <c r="S6" i="48"/>
  <c r="Q9" i="48"/>
  <c r="AF15" i="50"/>
  <c r="L16" i="48"/>
  <c r="AA33" i="48"/>
  <c r="AD17" i="48"/>
  <c r="Z37" i="50"/>
  <c r="W4" i="50"/>
  <c r="AA21" i="50"/>
  <c r="AE12" i="50"/>
  <c r="P31" i="50"/>
  <c r="Q52" i="50"/>
  <c r="AC10" i="50"/>
  <c r="X30" i="48"/>
  <c r="Z50" i="50"/>
  <c r="AL7" i="50"/>
  <c r="R29" i="48"/>
  <c r="K4" i="48"/>
  <c r="L31" i="48"/>
  <c r="AK13" i="48"/>
  <c r="AG10" i="50"/>
  <c r="AC20" i="50"/>
  <c r="AD16" i="48"/>
  <c r="Y31" i="48"/>
  <c r="S9" i="48"/>
  <c r="AL18" i="50"/>
  <c r="AD4" i="48"/>
  <c r="W46" i="50"/>
  <c r="AB8" i="50"/>
  <c r="AK4" i="50"/>
  <c r="M52" i="50"/>
  <c r="X15" i="48"/>
  <c r="W27" i="48"/>
  <c r="AA7" i="50"/>
  <c r="Y5" i="48"/>
  <c r="R12" i="50"/>
  <c r="U47" i="50"/>
  <c r="AK19" i="48"/>
  <c r="AG48" i="50"/>
  <c r="Z8" i="50"/>
  <c r="AE48" i="50"/>
  <c r="W33" i="50"/>
  <c r="AC31" i="48"/>
  <c r="Z20" i="48"/>
  <c r="AK19" i="50"/>
  <c r="P40" i="50"/>
  <c r="T43" i="50"/>
  <c r="O32" i="50"/>
  <c r="AI6" i="50"/>
  <c r="AH15" i="48"/>
  <c r="AA48" i="50"/>
  <c r="AA32" i="50"/>
  <c r="AL28" i="50"/>
  <c r="AK6" i="48"/>
  <c r="L50" i="50"/>
  <c r="R51" i="50"/>
  <c r="W20" i="48"/>
  <c r="AH7" i="48"/>
  <c r="T10" i="48"/>
  <c r="P33" i="50"/>
  <c r="AC53" i="50"/>
  <c r="AD20" i="50"/>
  <c r="T21" i="50"/>
  <c r="AK18" i="50"/>
  <c r="AA25" i="50"/>
  <c r="AK32" i="50"/>
  <c r="AC8" i="48"/>
  <c r="Z34" i="48"/>
  <c r="AE46" i="48"/>
  <c r="V7" i="48"/>
  <c r="W18" i="48"/>
  <c r="AF15" i="48"/>
  <c r="AG4" i="48"/>
  <c r="M4" i="50"/>
  <c r="U4" i="50"/>
  <c r="AF28" i="48"/>
  <c r="V28" i="50"/>
  <c r="AJ33" i="50"/>
  <c r="R13" i="48"/>
  <c r="M42" i="50"/>
  <c r="W12" i="48"/>
  <c r="L20" i="50"/>
  <c r="AC52" i="50"/>
  <c r="AD19" i="48"/>
  <c r="AE31" i="48"/>
  <c r="AF41" i="48"/>
  <c r="Q25" i="48"/>
  <c r="AM50" i="50"/>
  <c r="Y28" i="48"/>
  <c r="S19" i="48"/>
  <c r="T50" i="50"/>
  <c r="AJ18" i="48"/>
  <c r="X11" i="50"/>
  <c r="AI8" i="48"/>
  <c r="AE8" i="48"/>
  <c r="AL20" i="50"/>
  <c r="AB9" i="50"/>
  <c r="J2" i="47"/>
  <c r="V9" i="50"/>
  <c r="U20" i="50"/>
  <c r="W9" i="50"/>
  <c r="AH4" i="50"/>
  <c r="AJ4" i="50"/>
  <c r="N5" i="48"/>
  <c r="L13" i="50"/>
  <c r="O23" i="48"/>
  <c r="Q24" i="50"/>
  <c r="V35" i="48"/>
  <c r="AG47" i="48"/>
  <c r="AK41" i="50"/>
  <c r="AG5" i="50"/>
  <c r="R31" i="50"/>
  <c r="L16" i="50"/>
  <c r="AG14" i="48"/>
  <c r="AD49" i="50"/>
  <c r="AG38" i="50"/>
  <c r="AM47" i="50"/>
  <c r="AM30" i="50"/>
  <c r="O5" i="50"/>
  <c r="Z42" i="50"/>
  <c r="Y20" i="48"/>
  <c r="AA34" i="50"/>
  <c r="L48" i="50"/>
  <c r="AL33" i="48"/>
  <c r="AF42" i="48"/>
  <c r="AE21" i="48"/>
  <c r="W39" i="50"/>
  <c r="Z51" i="50"/>
  <c r="N11" i="50"/>
  <c r="V21" i="50"/>
  <c r="L21" i="48"/>
  <c r="AL23" i="50"/>
  <c r="N16" i="50"/>
  <c r="AL29" i="50"/>
  <c r="AC48" i="50"/>
  <c r="AH12" i="50"/>
  <c r="R17" i="50"/>
  <c r="W41" i="50"/>
  <c r="R40" i="50"/>
  <c r="AF8" i="50"/>
  <c r="Y19" i="50"/>
  <c r="AE33" i="48"/>
  <c r="K7" i="48"/>
  <c r="AH31" i="50"/>
  <c r="AE26" i="48"/>
  <c r="Z21" i="50"/>
  <c r="L29" i="48"/>
  <c r="AL25" i="50"/>
  <c r="Q17" i="48"/>
  <c r="AF20" i="50"/>
  <c r="M23" i="50"/>
  <c r="AH16" i="50"/>
  <c r="AE12" i="48"/>
  <c r="AC41" i="50"/>
  <c r="Q11" i="48"/>
  <c r="AJ22" i="48"/>
  <c r="AG33" i="50"/>
  <c r="O29" i="48"/>
  <c r="AG35" i="50"/>
  <c r="AA33" i="50"/>
  <c r="X14" i="50"/>
  <c r="K5" i="48"/>
  <c r="AD22" i="50"/>
  <c r="AI32" i="48"/>
  <c r="Y40" i="50"/>
  <c r="O47" i="50"/>
  <c r="U25" i="50"/>
  <c r="AC14" i="48"/>
  <c r="AB16" i="48"/>
  <c r="W22" i="50"/>
  <c r="Z32" i="50"/>
  <c r="AJ25" i="48"/>
  <c r="X6" i="48"/>
  <c r="AG16" i="50"/>
  <c r="AA5" i="48"/>
  <c r="O17" i="50"/>
  <c r="M19" i="50"/>
  <c r="T11" i="50"/>
  <c r="AF25" i="50"/>
  <c r="AK34" i="50"/>
  <c r="N41" i="50"/>
  <c r="AJ16" i="48"/>
  <c r="AM37" i="50"/>
  <c r="AE7" i="48"/>
  <c r="W7" i="48"/>
  <c r="AH19" i="48"/>
  <c r="AL51" i="50"/>
  <c r="X49" i="50"/>
  <c r="AM11" i="50"/>
  <c r="AI18" i="48"/>
  <c r="Q37" i="48"/>
  <c r="Y49" i="48"/>
  <c r="Z34" i="50"/>
  <c r="AA12" i="50"/>
  <c r="R22" i="50"/>
  <c r="AD11" i="50"/>
  <c r="W24" i="48"/>
  <c r="V5" i="50"/>
  <c r="AG44" i="50"/>
  <c r="P15" i="48"/>
  <c r="L12" i="50"/>
  <c r="AJ19" i="48"/>
  <c r="Z10" i="50"/>
  <c r="AC30" i="50"/>
  <c r="U17" i="50"/>
  <c r="T9" i="48"/>
  <c r="AI12" i="48"/>
  <c r="X34" i="48"/>
  <c r="R44" i="48"/>
  <c r="R11" i="48"/>
  <c r="Q44" i="50"/>
  <c r="AJ40" i="50"/>
  <c r="O17" i="48"/>
  <c r="U28" i="48"/>
  <c r="M47" i="50"/>
  <c r="Z27" i="48"/>
  <c r="S28" i="50"/>
  <c r="W44" i="50"/>
  <c r="V29" i="50"/>
  <c r="V22" i="48"/>
  <c r="R14" i="48"/>
  <c r="V13" i="50"/>
  <c r="W10" i="48"/>
  <c r="AF17" i="48"/>
  <c r="N23" i="48"/>
  <c r="AE49" i="50"/>
  <c r="AH29" i="48"/>
  <c r="AF35" i="50"/>
  <c r="AM36" i="50"/>
  <c r="AK15" i="48"/>
  <c r="P31" i="48"/>
  <c r="P19" i="48"/>
  <c r="AK45" i="50"/>
  <c r="AJ15" i="48"/>
  <c r="V51" i="50"/>
  <c r="AF28" i="50"/>
  <c r="O12" i="50"/>
  <c r="AJ32" i="50"/>
  <c r="AF24" i="48"/>
  <c r="L51" i="50"/>
  <c r="U23" i="48"/>
  <c r="AD31" i="48"/>
  <c r="AC9" i="50"/>
  <c r="O9" i="48"/>
  <c r="AD15" i="50"/>
  <c r="V5" i="48"/>
  <c r="L20" i="48"/>
  <c r="M38" i="50"/>
  <c r="AJ8" i="50"/>
  <c r="Z17" i="48"/>
  <c r="AK11" i="50"/>
  <c r="S25" i="48"/>
  <c r="U19" i="48"/>
  <c r="X27" i="48"/>
  <c r="AH35" i="50"/>
  <c r="O9" i="50"/>
  <c r="Y23" i="50"/>
  <c r="L3" i="47"/>
  <c r="U22" i="48"/>
  <c r="AI36" i="50"/>
  <c r="AM43" i="50"/>
  <c r="Q7" i="50"/>
  <c r="L6" i="50"/>
  <c r="AH48" i="50"/>
  <c r="K28" i="48"/>
  <c r="AG12" i="48"/>
  <c r="AE38" i="48"/>
  <c r="AD50" i="48"/>
  <c r="T10" i="50"/>
  <c r="P44" i="50"/>
  <c r="N28" i="50"/>
  <c r="AG45" i="50"/>
  <c r="AD26" i="48"/>
  <c r="V27" i="50"/>
  <c r="AJ11" i="50"/>
  <c r="L38" i="50"/>
  <c r="N12" i="48"/>
  <c r="Z29" i="50"/>
  <c r="U37" i="50"/>
  <c r="J3" i="47"/>
  <c r="T5" i="48"/>
  <c r="AD23" i="48"/>
  <c r="O3" i="47"/>
  <c r="U12" i="48"/>
  <c r="T16" i="48"/>
  <c r="AC26" i="50"/>
  <c r="Y11" i="50"/>
  <c r="AD20" i="48"/>
  <c r="AM39" i="50"/>
  <c r="R4" i="50"/>
  <c r="AG28" i="48"/>
  <c r="L7" i="48"/>
  <c r="AE27" i="48"/>
  <c r="V33" i="50"/>
  <c r="AF31" i="50"/>
  <c r="N4" i="50"/>
  <c r="N17" i="50"/>
  <c r="N30" i="50"/>
  <c r="Q38" i="50"/>
  <c r="AD30" i="50"/>
  <c r="K2" i="47"/>
  <c r="AK9" i="48"/>
  <c r="M5" i="50"/>
  <c r="AF20" i="48"/>
  <c r="M37" i="50"/>
  <c r="AE34" i="50"/>
  <c r="M11" i="50"/>
  <c r="AA19" i="50"/>
  <c r="AE23" i="48"/>
  <c r="K14" i="48"/>
  <c r="K36" i="48"/>
  <c r="W44" i="48"/>
  <c r="W52" i="48"/>
  <c r="R19" i="50"/>
  <c r="M12" i="48"/>
  <c r="AA9" i="50"/>
  <c r="AH14" i="50"/>
  <c r="M11" i="48"/>
  <c r="Z17" i="50"/>
  <c r="Y13" i="48"/>
  <c r="X7" i="50"/>
  <c r="Z13" i="48"/>
  <c r="AB26" i="50"/>
  <c r="AC8" i="50"/>
  <c r="AK10" i="48"/>
  <c r="P28" i="50"/>
  <c r="U10" i="50"/>
  <c r="AL39" i="50"/>
  <c r="Y32" i="50"/>
  <c r="AD47" i="50"/>
  <c r="AF49" i="50"/>
  <c r="Z16" i="50"/>
  <c r="O32" i="48"/>
  <c r="AE40" i="48"/>
  <c r="N22" i="48"/>
  <c r="R44" i="50"/>
  <c r="S4" i="48"/>
  <c r="AD7" i="48"/>
  <c r="P18" i="48"/>
  <c r="K24" i="48"/>
  <c r="AK31" i="50"/>
  <c r="AI22" i="50"/>
  <c r="Q5" i="48"/>
  <c r="AD15" i="48"/>
  <c r="W19" i="50"/>
  <c r="AL22" i="50"/>
  <c r="AA18" i="50"/>
  <c r="AC13" i="48"/>
  <c r="L15" i="50"/>
  <c r="AI13" i="50"/>
  <c r="AL42" i="50"/>
  <c r="AA10" i="48"/>
  <c r="P8" i="50"/>
  <c r="T32" i="48"/>
  <c r="S13" i="50"/>
  <c r="M6" i="48"/>
  <c r="L52" i="50"/>
  <c r="X16" i="48"/>
  <c r="V22" i="50"/>
  <c r="AL32" i="48"/>
  <c r="W8" i="50"/>
  <c r="L28" i="48"/>
  <c r="AL40" i="50"/>
  <c r="Z24" i="50"/>
  <c r="AG15" i="48"/>
  <c r="AB44" i="50"/>
  <c r="AH28" i="48"/>
  <c r="AK20" i="48"/>
  <c r="AG28" i="50"/>
  <c r="Q37" i="50"/>
  <c r="X14" i="48"/>
  <c r="AJ38" i="50"/>
  <c r="O15" i="50"/>
  <c r="AF25" i="48"/>
  <c r="V8" i="48"/>
  <c r="P37" i="50"/>
  <c r="U14" i="50"/>
  <c r="R26" i="50"/>
  <c r="O8" i="50"/>
  <c r="AC19" i="50"/>
  <c r="AA23" i="50"/>
  <c r="W19" i="48"/>
  <c r="AL21" i="48"/>
  <c r="AB5" i="50"/>
  <c r="AL34" i="50"/>
  <c r="AK28" i="48"/>
  <c r="Z47" i="50"/>
  <c r="Y17" i="50"/>
  <c r="X38" i="50"/>
  <c r="AJ34" i="50"/>
  <c r="Z49" i="50"/>
  <c r="AE29" i="48"/>
  <c r="S37" i="48"/>
  <c r="AL45" i="48"/>
  <c r="AF17" i="50"/>
  <c r="AD6" i="48"/>
  <c r="Z12" i="48"/>
  <c r="O4" i="50"/>
  <c r="Q6" i="50"/>
  <c r="AD14" i="50"/>
  <c r="N29" i="50"/>
  <c r="X36" i="50"/>
  <c r="O5" i="48"/>
  <c r="P9" i="48"/>
  <c r="AL48" i="50"/>
  <c r="M24" i="48"/>
  <c r="AM42" i="50"/>
  <c r="AK16" i="48"/>
  <c r="AD26" i="50"/>
  <c r="T18" i="50"/>
  <c r="Y5" i="50"/>
  <c r="O34" i="50"/>
  <c r="AG20" i="48"/>
  <c r="AC38" i="50"/>
  <c r="AD32" i="48"/>
  <c r="K40" i="48"/>
  <c r="AI46" i="50"/>
  <c r="AG29" i="50"/>
  <c r="T11" i="48"/>
  <c r="L9" i="50"/>
  <c r="V17" i="50"/>
  <c r="AM19" i="50"/>
  <c r="AH24" i="50"/>
  <c r="X13" i="50"/>
  <c r="Y19" i="48"/>
  <c r="AE14" i="50"/>
  <c r="Z4" i="48"/>
  <c r="X5" i="48"/>
  <c r="O42" i="50"/>
  <c r="R10" i="48"/>
  <c r="AG31" i="50"/>
  <c r="R46" i="50"/>
  <c r="AC27" i="50"/>
  <c r="W36" i="50"/>
  <c r="T22" i="50"/>
  <c r="Q32" i="50"/>
  <c r="AJ32" i="48"/>
  <c r="AI19" i="50"/>
  <c r="AD43" i="50"/>
  <c r="X17" i="50"/>
  <c r="K12" i="48"/>
  <c r="K10" i="48"/>
  <c r="P34" i="50"/>
  <c r="L21" i="50"/>
  <c r="AG8" i="50"/>
  <c r="P8" i="48"/>
  <c r="Y8" i="50"/>
  <c r="Z6" i="48"/>
  <c r="P10" i="48"/>
  <c r="L2" i="47"/>
  <c r="W15" i="50"/>
  <c r="P45" i="50"/>
  <c r="L27" i="48"/>
  <c r="X31" i="50"/>
  <c r="AA15" i="48"/>
  <c r="AC17" i="48"/>
  <c r="K9" i="48"/>
  <c r="AK13" i="50"/>
  <c r="Q20" i="50"/>
  <c r="AH19" i="50"/>
  <c r="AA11" i="50"/>
  <c r="AF29" i="50"/>
  <c r="M44" i="50"/>
  <c r="AA39" i="50"/>
  <c r="U15" i="50"/>
  <c r="P47" i="50"/>
  <c r="W7" i="50"/>
  <c r="M28" i="50"/>
  <c r="Q34" i="50"/>
  <c r="AA31" i="48"/>
  <c r="X40" i="48"/>
  <c r="U48" i="48"/>
  <c r="AI33" i="50"/>
  <c r="AJ17" i="50"/>
  <c r="AH11" i="50"/>
  <c r="AM28" i="50"/>
  <c r="AD5" i="50"/>
  <c r="Y39" i="50"/>
  <c r="O22" i="50"/>
  <c r="R15" i="48"/>
  <c r="AD18" i="50"/>
  <c r="AM24" i="50"/>
  <c r="U9" i="50"/>
  <c r="AL22" i="48"/>
  <c r="W23" i="48"/>
  <c r="Y21" i="50"/>
  <c r="AD31" i="50"/>
  <c r="AE9" i="50"/>
  <c r="M19" i="48"/>
  <c r="M8" i="48"/>
  <c r="AI40" i="50"/>
  <c r="N9" i="48"/>
  <c r="P27" i="50"/>
  <c r="S38" i="50"/>
  <c r="R23" i="50"/>
  <c r="T16" i="50"/>
  <c r="N25" i="50"/>
  <c r="T49" i="50"/>
  <c r="AJ47" i="50"/>
  <c r="AK33" i="50"/>
  <c r="AA50" i="50"/>
  <c r="Q12" i="48"/>
  <c r="V16" i="50"/>
  <c r="AE7" i="50"/>
  <c r="O46" i="50"/>
  <c r="AE10" i="48"/>
  <c r="P17" i="48"/>
  <c r="AI30" i="50"/>
  <c r="O13" i="48"/>
  <c r="AJ29" i="50"/>
  <c r="S28" i="48"/>
  <c r="W6" i="50"/>
  <c r="Q35" i="50"/>
  <c r="N20" i="48"/>
  <c r="N26" i="48"/>
  <c r="P33" i="48"/>
  <c r="M41" i="48"/>
  <c r="N49" i="48"/>
  <c r="U20" i="48"/>
  <c r="AA26" i="50"/>
  <c r="Q5" i="50"/>
  <c r="U17" i="48"/>
  <c r="AA6" i="50"/>
  <c r="R50" i="50"/>
  <c r="AG49" i="50"/>
  <c r="T20" i="50"/>
  <c r="P51" i="50"/>
  <c r="Q42" i="50"/>
  <c r="S32" i="50"/>
  <c r="T28" i="48"/>
  <c r="S3" i="47"/>
  <c r="U7" i="50"/>
  <c r="AM52" i="50"/>
  <c r="S22" i="50"/>
  <c r="AK5" i="50"/>
  <c r="M2" i="47"/>
  <c r="AA30" i="50"/>
  <c r="V20" i="48"/>
  <c r="AL12" i="48"/>
  <c r="AC22" i="48"/>
  <c r="S35" i="50"/>
  <c r="R5" i="50"/>
  <c r="X48" i="50"/>
  <c r="T28" i="50"/>
  <c r="T5" i="50"/>
  <c r="AD17" i="50"/>
  <c r="AF19" i="48"/>
  <c r="AH52" i="50"/>
  <c r="S24" i="48"/>
  <c r="AL32" i="50"/>
  <c r="AJ15" i="50"/>
  <c r="Q3" i="47"/>
  <c r="K23" i="48"/>
  <c r="AG12" i="50"/>
  <c r="AG22" i="48"/>
  <c r="W43" i="50"/>
  <c r="AA53" i="50"/>
  <c r="AE22" i="50"/>
  <c r="Z16" i="48"/>
  <c r="AB42" i="50"/>
  <c r="V35" i="50"/>
  <c r="L33" i="50"/>
  <c r="N2" i="47"/>
  <c r="V36" i="50"/>
  <c r="AG25" i="50"/>
  <c r="AF16" i="50"/>
  <c r="W9" i="48"/>
  <c r="AH51" i="50"/>
  <c r="AD11" i="48"/>
  <c r="AD23" i="50"/>
  <c r="P5" i="48"/>
  <c r="AK11" i="48"/>
  <c r="AC4" i="50"/>
  <c r="W20" i="50"/>
  <c r="AJ13" i="50"/>
  <c r="AD25" i="48"/>
  <c r="AH44" i="50"/>
  <c r="AE16" i="48"/>
  <c r="X16" i="50"/>
  <c r="W50" i="50"/>
  <c r="AH4" i="48"/>
  <c r="AC16" i="48"/>
  <c r="AB26" i="48"/>
  <c r="N21" i="50"/>
  <c r="AL27" i="50"/>
  <c r="AL9" i="50"/>
  <c r="AL12" i="50"/>
  <c r="AK17" i="50"/>
  <c r="AF10" i="50"/>
  <c r="AD36" i="50"/>
  <c r="N19" i="50"/>
  <c r="AF13" i="50"/>
  <c r="AG31" i="48"/>
  <c r="W38" i="48"/>
  <c r="AI45" i="48"/>
  <c r="K52" i="48"/>
  <c r="U16" i="48"/>
  <c r="Y25" i="48"/>
  <c r="T8" i="50"/>
  <c r="Q10" i="48"/>
  <c r="P25" i="48"/>
  <c r="P6" i="48"/>
  <c r="N8" i="48"/>
  <c r="AA46" i="50"/>
  <c r="U9" i="48"/>
  <c r="M14" i="50"/>
  <c r="AJ23" i="50"/>
  <c r="AG40" i="50"/>
  <c r="AD13" i="50"/>
  <c r="O30" i="50"/>
  <c r="AL26" i="50"/>
  <c r="W45" i="50"/>
  <c r="AK22" i="50"/>
  <c r="AF7" i="50"/>
  <c r="AD21" i="50"/>
  <c r="AB52" i="50"/>
  <c r="AK38" i="50"/>
  <c r="N44" i="50"/>
  <c r="AG19" i="50"/>
  <c r="R9" i="50"/>
  <c r="AB35" i="48"/>
  <c r="AK42" i="48"/>
  <c r="W14" i="50"/>
  <c r="AA20" i="50"/>
  <c r="AF8" i="48"/>
  <c r="R20" i="48"/>
  <c r="AL27" i="48"/>
  <c r="AD8" i="48"/>
  <c r="AE36" i="50"/>
  <c r="AH18" i="50"/>
  <c r="P42" i="50"/>
  <c r="AH21" i="48"/>
  <c r="U19" i="50"/>
  <c r="AJ35" i="50"/>
  <c r="P23" i="50"/>
  <c r="AJ28" i="48"/>
  <c r="AC27" i="48"/>
  <c r="AB9" i="48"/>
  <c r="X24" i="50"/>
  <c r="Q2" i="47"/>
  <c r="X9" i="48"/>
  <c r="AL19" i="50"/>
  <c r="V15" i="48"/>
  <c r="Y53" i="50"/>
  <c r="AE29" i="50"/>
  <c r="AK43" i="50"/>
  <c r="Q24" i="48"/>
  <c r="AF23" i="50"/>
  <c r="AA45" i="50"/>
  <c r="AJ17" i="48"/>
  <c r="AA8" i="50"/>
  <c r="L25" i="50"/>
  <c r="AB37" i="50"/>
  <c r="AK39" i="50"/>
  <c r="V38" i="50"/>
  <c r="U50" i="50"/>
  <c r="S30" i="50"/>
  <c r="AL26" i="48"/>
  <c r="AE37" i="50"/>
  <c r="AH7" i="50"/>
  <c r="AM25" i="50"/>
  <c r="T12" i="48"/>
  <c r="AK8" i="50"/>
  <c r="AG52" i="50"/>
  <c r="K17" i="48"/>
  <c r="N3" i="47"/>
  <c r="Y22" i="48"/>
  <c r="AB20" i="50"/>
  <c r="AK4" i="48"/>
  <c r="S20" i="48"/>
  <c r="AH12" i="48"/>
  <c r="AM8" i="50"/>
  <c r="L6" i="48"/>
  <c r="AG6" i="48"/>
  <c r="AB28" i="48"/>
  <c r="AA26" i="48"/>
  <c r="AM49" i="50"/>
  <c r="Q8" i="50"/>
  <c r="Y32" i="48"/>
  <c r="V39" i="48"/>
  <c r="AB46" i="48"/>
  <c r="P53" i="48"/>
  <c r="M18" i="48"/>
  <c r="AF6" i="50"/>
  <c r="AH53" i="50"/>
  <c r="AF32" i="50"/>
  <c r="L43" i="50"/>
  <c r="S49" i="50"/>
  <c r="AB31" i="50"/>
  <c r="AB30" i="50"/>
  <c r="K26" i="48"/>
  <c r="AK25" i="50"/>
  <c r="Z25" i="50"/>
  <c r="AD21" i="48"/>
  <c r="Q51" i="50"/>
  <c r="AI26" i="50"/>
  <c r="AG6" i="50"/>
  <c r="AB45" i="50"/>
  <c r="Q27" i="48"/>
  <c r="O48" i="50"/>
  <c r="AH32" i="50"/>
  <c r="AB19" i="50"/>
  <c r="P21" i="48"/>
  <c r="Z21" i="48"/>
  <c r="AB29" i="48"/>
  <c r="Y36" i="48"/>
  <c r="AJ43" i="48"/>
  <c r="R3" i="47"/>
  <c r="AG13" i="50"/>
  <c r="M40" i="50"/>
  <c r="N10" i="48"/>
  <c r="P19" i="50"/>
  <c r="Z14" i="50"/>
  <c r="AK51" i="50"/>
  <c r="Z7" i="50"/>
  <c r="L15" i="48"/>
  <c r="X21" i="50"/>
  <c r="R38" i="50"/>
  <c r="AI7" i="48"/>
  <c r="V41" i="50"/>
  <c r="AJ21" i="50"/>
  <c r="R6" i="50"/>
  <c r="AF48" i="50"/>
  <c r="S14" i="48"/>
  <c r="Q11" i="50"/>
  <c r="T15" i="50"/>
  <c r="V6" i="50"/>
  <c r="AI20" i="48"/>
  <c r="R24" i="48"/>
  <c r="AL4" i="48"/>
  <c r="M31" i="50"/>
  <c r="W12" i="50"/>
  <c r="T45" i="50"/>
  <c r="AI5" i="48"/>
  <c r="T9" i="50"/>
  <c r="AK9" i="50"/>
  <c r="AI4" i="50"/>
  <c r="X47" i="50"/>
  <c r="V15" i="50"/>
  <c r="N33" i="50"/>
  <c r="AD18" i="48"/>
  <c r="AH13" i="50"/>
  <c r="AL13" i="50"/>
  <c r="AJ6" i="48"/>
  <c r="U18" i="50"/>
  <c r="AE32" i="50"/>
  <c r="AC4" i="48"/>
  <c r="W31" i="50"/>
  <c r="M17" i="48"/>
  <c r="U18" i="48"/>
  <c r="AD28" i="48"/>
  <c r="AL20" i="48"/>
  <c r="R37" i="50"/>
  <c r="AM44" i="50"/>
  <c r="AA12" i="48"/>
  <c r="AG36" i="50"/>
  <c r="U49" i="50"/>
  <c r="AI7" i="50"/>
  <c r="M15" i="50"/>
  <c r="M3" i="47"/>
  <c r="P49" i="50"/>
  <c r="O18" i="48"/>
  <c r="AG14" i="50"/>
  <c r="L31" i="50"/>
  <c r="Y4" i="48"/>
  <c r="AE23" i="50"/>
  <c r="R25" i="48"/>
  <c r="N16" i="48"/>
  <c r="X10" i="50"/>
  <c r="AG4" i="50"/>
  <c r="X28" i="50"/>
  <c r="AA5" i="50"/>
  <c r="Q40" i="50"/>
  <c r="AA14" i="48"/>
  <c r="AM15" i="50"/>
  <c r="AH17" i="48"/>
  <c r="R10" i="50"/>
  <c r="M15" i="48"/>
  <c r="W42" i="50"/>
  <c r="N19" i="48"/>
  <c r="T52" i="50"/>
  <c r="S34" i="50"/>
  <c r="M43" i="50"/>
  <c r="N14" i="48"/>
  <c r="AA4" i="48"/>
  <c r="Q30" i="50"/>
  <c r="R16" i="48"/>
  <c r="Y18" i="50"/>
  <c r="AD12" i="50"/>
  <c r="S26" i="50"/>
  <c r="V43" i="50"/>
  <c r="AX201" i="46"/>
  <c r="AU207" i="46"/>
  <c r="AU206" i="46"/>
  <c r="BA207" i="46"/>
  <c r="AC203" i="46"/>
  <c r="CW200" i="46"/>
  <c r="FK200" i="46"/>
  <c r="BS202" i="46"/>
  <c r="CT201" i="46"/>
  <c r="Z203" i="46"/>
  <c r="AF201" i="46"/>
  <c r="DO201" i="46"/>
  <c r="BY206" i="46"/>
  <c r="CQ204" i="46"/>
  <c r="EP200" i="46"/>
  <c r="EJ203" i="46"/>
  <c r="BJ201" i="46"/>
  <c r="EG205" i="46"/>
  <c r="Z206" i="46"/>
  <c r="DX206" i="46"/>
  <c r="CH203" i="46"/>
  <c r="CQ203" i="46"/>
  <c r="CT206" i="46"/>
  <c r="CB207" i="46"/>
  <c r="BJ202" i="46"/>
  <c r="CH204" i="46"/>
  <c r="DR201" i="46"/>
  <c r="ES203" i="46"/>
  <c r="ED206" i="46"/>
  <c r="DL200" i="46"/>
  <c r="EJ207" i="46"/>
  <c r="EY207" i="46"/>
  <c r="AR200" i="46"/>
  <c r="AU204" i="46"/>
  <c r="DU203" i="46"/>
  <c r="BJ207" i="46"/>
  <c r="CB205" i="46"/>
  <c r="Z205" i="46"/>
  <c r="AR203" i="46"/>
  <c r="BD207" i="46"/>
  <c r="AR204" i="46"/>
  <c r="AO205" i="46"/>
  <c r="CQ200" i="46"/>
  <c r="EA201" i="46"/>
  <c r="CT202" i="46"/>
  <c r="DC206" i="46"/>
  <c r="FB204" i="46"/>
  <c r="CZ200" i="46"/>
  <c r="CN206" i="46"/>
  <c r="Z207" i="46"/>
  <c r="EG206" i="46"/>
  <c r="DL205" i="46"/>
  <c r="W203" i="46"/>
  <c r="CE205" i="46"/>
  <c r="ES206" i="46"/>
  <c r="CB201" i="46"/>
  <c r="AI207" i="46"/>
  <c r="DF202" i="46"/>
  <c r="BV203" i="46"/>
  <c r="BG207" i="46"/>
  <c r="EY205" i="46"/>
  <c r="EP203" i="46"/>
  <c r="FK205" i="46"/>
  <c r="DX205" i="46"/>
  <c r="CN202" i="46"/>
  <c r="DX203" i="46"/>
  <c r="AX204" i="46"/>
  <c r="CQ205" i="46"/>
  <c r="BY205" i="46"/>
  <c r="Z202" i="46"/>
  <c r="EM204" i="46"/>
  <c r="EG201" i="46"/>
  <c r="EV203" i="46"/>
  <c r="FB206" i="46"/>
  <c r="CT205" i="46"/>
  <c r="EA204" i="46"/>
  <c r="EM200" i="46"/>
  <c r="FB203" i="46"/>
  <c r="ED205" i="46"/>
  <c r="EY200" i="46"/>
  <c r="DR205" i="46"/>
  <c r="CK204" i="46"/>
  <c r="DO205" i="46"/>
  <c r="FE200" i="46"/>
  <c r="DR203" i="46"/>
  <c r="CK200" i="46"/>
  <c r="CT207" i="46"/>
  <c r="DX200" i="46"/>
  <c r="BG203" i="46"/>
  <c r="BD204" i="46"/>
  <c r="W201" i="46"/>
  <c r="BG204" i="46"/>
  <c r="AL204" i="46"/>
  <c r="BG205" i="46"/>
  <c r="DR200" i="46"/>
  <c r="AX200" i="46"/>
  <c r="CN200" i="46"/>
  <c r="AU200" i="46"/>
  <c r="AC204" i="46"/>
  <c r="EA202" i="46"/>
  <c r="DR202" i="46"/>
  <c r="Z200" i="46"/>
  <c r="DC202" i="46"/>
  <c r="AL203" i="46"/>
  <c r="EY202" i="46"/>
  <c r="CT203" i="46"/>
  <c r="AL200" i="46"/>
  <c r="AL201" i="46"/>
  <c r="CE200" i="46"/>
  <c r="W204" i="46"/>
  <c r="BG202" i="46"/>
  <c r="CB204" i="46"/>
  <c r="AC206" i="46"/>
  <c r="DL207" i="46"/>
  <c r="FE205" i="46"/>
  <c r="AO200" i="46"/>
  <c r="DX204" i="46"/>
  <c r="AF207" i="46"/>
  <c r="CZ203" i="46"/>
  <c r="AO207" i="46"/>
  <c r="BP205" i="46"/>
  <c r="DU205" i="46"/>
  <c r="AL206" i="46"/>
  <c r="CK201" i="46"/>
  <c r="ES201" i="46"/>
  <c r="DX201" i="46"/>
  <c r="CK203" i="46"/>
  <c r="BS203" i="46"/>
  <c r="AO204" i="46"/>
  <c r="CE206" i="46"/>
  <c r="ED202" i="46"/>
  <c r="CK206" i="46"/>
  <c r="FE201" i="46"/>
  <c r="CB206" i="46"/>
  <c r="AR201" i="46"/>
  <c r="FB202" i="46"/>
  <c r="AU202" i="46"/>
  <c r="EP207" i="46"/>
  <c r="CW203" i="46"/>
  <c r="BA203" i="46"/>
  <c r="ED200" i="46"/>
  <c r="BY203" i="46"/>
  <c r="DO207" i="46"/>
  <c r="CE202" i="46"/>
  <c r="FK204" i="46"/>
  <c r="T202" i="46"/>
  <c r="EP206" i="46"/>
  <c r="CZ206" i="46"/>
  <c r="T204" i="46"/>
  <c r="AI200" i="46"/>
  <c r="BA206" i="46"/>
  <c r="CB202" i="46"/>
  <c r="FE206" i="46"/>
  <c r="DF200" i="46"/>
  <c r="T206" i="46"/>
  <c r="CN207" i="46"/>
  <c r="FH204" i="46"/>
  <c r="DX207" i="46"/>
  <c r="BM203" i="46"/>
  <c r="DR206" i="46"/>
  <c r="CZ202" i="46"/>
  <c r="EG202" i="46"/>
  <c r="FH203" i="46"/>
  <c r="DF205" i="46"/>
  <c r="EJ202" i="46"/>
  <c r="AU205" i="46"/>
  <c r="DO203" i="46"/>
  <c r="EJ201" i="46"/>
  <c r="AL207" i="46"/>
  <c r="DU202" i="46"/>
  <c r="EV200" i="46"/>
  <c r="AX206" i="46"/>
  <c r="T201" i="46"/>
  <c r="DI205" i="46"/>
  <c r="DC201" i="46"/>
  <c r="T205" i="46"/>
  <c r="CZ205" i="46"/>
  <c r="CQ201" i="46"/>
  <c r="CQ206" i="46"/>
  <c r="CT204" i="46"/>
  <c r="FE204" i="46"/>
  <c r="FE203" i="46"/>
  <c r="CW204" i="46"/>
  <c r="EA205" i="46"/>
  <c r="CK207" i="46"/>
  <c r="DR207" i="46"/>
  <c r="BV200" i="46"/>
  <c r="DL202" i="46"/>
  <c r="BD202" i="46"/>
  <c r="CK202" i="46"/>
  <c r="AI205" i="46"/>
  <c r="DU201" i="46"/>
  <c r="BS204" i="46"/>
  <c r="Z204" i="46"/>
  <c r="AI203" i="46"/>
  <c r="DO200" i="46"/>
  <c r="BV207" i="46"/>
  <c r="BV205" i="46"/>
  <c r="BY207" i="46"/>
  <c r="CW206" i="46"/>
  <c r="W202" i="46"/>
  <c r="DI207" i="46"/>
  <c r="EG207" i="46"/>
  <c r="DR204" i="46"/>
  <c r="CB200" i="46"/>
  <c r="EA206" i="46"/>
  <c r="BP200" i="46"/>
  <c r="EM201" i="46"/>
  <c r="EP201" i="46"/>
  <c r="W205" i="46"/>
  <c r="AR205" i="46"/>
  <c r="AR202" i="46"/>
  <c r="EJ204" i="46"/>
  <c r="BY204" i="46"/>
  <c r="DC204" i="46"/>
  <c r="CZ207" i="46"/>
  <c r="BY201" i="46"/>
  <c r="DC207" i="46"/>
  <c r="BV202" i="46"/>
  <c r="BM206" i="46"/>
  <c r="DU204" i="46"/>
  <c r="BA202" i="46"/>
  <c r="EM205" i="46"/>
  <c r="AF204" i="46"/>
  <c r="BJ203" i="46"/>
  <c r="CH202" i="46"/>
  <c r="DO202" i="46"/>
  <c r="BY202" i="46"/>
  <c r="DO204" i="46"/>
  <c r="FK202" i="46"/>
  <c r="BS207" i="46"/>
  <c r="BP204" i="46"/>
  <c r="BY200" i="46"/>
  <c r="EG200" i="46"/>
  <c r="DU207" i="46"/>
  <c r="AF200" i="46"/>
  <c r="DF206" i="46"/>
  <c r="T200" i="46"/>
  <c r="DO206" i="46"/>
  <c r="CN203" i="46"/>
  <c r="CH200" i="46"/>
  <c r="AC200" i="46"/>
  <c r="DL203" i="46"/>
  <c r="AO201" i="46"/>
  <c r="BV201" i="46"/>
  <c r="DU200" i="46"/>
  <c r="BM201" i="46"/>
  <c r="EM206" i="46"/>
  <c r="CW205" i="46"/>
  <c r="BS206" i="46"/>
  <c r="BS200" i="46"/>
  <c r="FE202" i="46"/>
  <c r="BG201" i="46"/>
  <c r="BM205" i="46"/>
  <c r="AI201" i="46"/>
  <c r="BD205" i="46"/>
  <c r="AO202" i="46"/>
  <c r="BJ200" i="46"/>
  <c r="EA200" i="46"/>
  <c r="FH202" i="46"/>
  <c r="BJ206" i="46"/>
  <c r="CB203" i="46"/>
  <c r="Z201" i="46"/>
  <c r="CE207" i="46"/>
  <c r="FH201" i="46"/>
  <c r="BD200" i="46"/>
  <c r="FB205" i="46"/>
  <c r="BA200" i="46"/>
  <c r="AF202" i="46"/>
  <c r="EY201" i="46"/>
  <c r="FK201" i="46"/>
  <c r="AI206" i="46"/>
  <c r="FB207" i="46"/>
  <c r="BA201" i="46"/>
  <c r="EJ200" i="46"/>
  <c r="AI202" i="46"/>
  <c r="EA203" i="46"/>
  <c r="W200" i="46"/>
  <c r="BP203" i="46"/>
  <c r="ES207" i="46"/>
  <c r="BM207" i="46"/>
  <c r="FH207" i="46"/>
  <c r="CH207" i="46"/>
  <c r="BD201" i="46"/>
  <c r="CK205" i="46"/>
  <c r="AC202" i="46"/>
  <c r="CZ204" i="46"/>
  <c r="AF203" i="46"/>
  <c r="DF207" i="46"/>
  <c r="EY204" i="46"/>
  <c r="EA207" i="46"/>
  <c r="BM202" i="46"/>
  <c r="FH205" i="46"/>
  <c r="CE201" i="46"/>
  <c r="AU203" i="46"/>
  <c r="EV201" i="46"/>
  <c r="CE203" i="46"/>
  <c r="AU201" i="46"/>
  <c r="ED203" i="46"/>
  <c r="CW202" i="46"/>
  <c r="CW207" i="46"/>
  <c r="AF206" i="46"/>
  <c r="ES200" i="46"/>
  <c r="CW201" i="46"/>
  <c r="DI204" i="46"/>
  <c r="EV205" i="46"/>
  <c r="CH206" i="46"/>
  <c r="AC205" i="46"/>
  <c r="EV207" i="46"/>
  <c r="EV204" i="46"/>
  <c r="DL201" i="46"/>
  <c r="ES204" i="46"/>
  <c r="BM200" i="46"/>
  <c r="CN204" i="46"/>
  <c r="ES205" i="46"/>
  <c r="DC205" i="46"/>
  <c r="AX207" i="46"/>
  <c r="BG206" i="46"/>
  <c r="DX202" i="46"/>
  <c r="AX203" i="46"/>
  <c r="EV206" i="46"/>
  <c r="DL204" i="46"/>
  <c r="CQ207" i="46"/>
  <c r="CN205" i="46"/>
  <c r="FK206" i="46"/>
  <c r="DI201" i="46"/>
  <c r="BJ204" i="46"/>
  <c r="CE204" i="46"/>
  <c r="BA205" i="46"/>
  <c r="CH205" i="46"/>
  <c r="AF205" i="46"/>
  <c r="EM207" i="46"/>
  <c r="EY203" i="46"/>
  <c r="AL205" i="46"/>
  <c r="FE207" i="46"/>
  <c r="BD206" i="46"/>
  <c r="DI202" i="46"/>
  <c r="DC200" i="46"/>
  <c r="BP206" i="46"/>
  <c r="AC207" i="46"/>
  <c r="CQ202" i="46"/>
  <c r="DF201" i="46"/>
  <c r="FK203" i="46"/>
  <c r="BD203" i="46"/>
  <c r="CZ201" i="46"/>
  <c r="AR206" i="46"/>
  <c r="BS201" i="46"/>
  <c r="AX202" i="46"/>
  <c r="FH206" i="46"/>
  <c r="AO206" i="46"/>
  <c r="DF204" i="46"/>
  <c r="FK207" i="46"/>
  <c r="T203" i="46"/>
  <c r="EG203" i="46"/>
  <c r="W206" i="46"/>
  <c r="EJ206" i="46"/>
  <c r="AX205" i="46"/>
  <c r="AL202" i="46"/>
  <c r="EM202" i="46"/>
  <c r="ES202" i="46"/>
  <c r="AR207" i="46"/>
  <c r="EP204" i="46"/>
  <c r="DI200" i="46"/>
  <c r="AO203" i="46"/>
  <c r="ED201" i="46"/>
  <c r="DF203" i="46"/>
  <c r="BP207" i="46"/>
  <c r="T207" i="46"/>
  <c r="BP202" i="46"/>
  <c r="EY206" i="46"/>
  <c r="EM203" i="46"/>
  <c r="W207" i="46"/>
  <c r="DI203" i="46"/>
  <c r="BV204" i="46"/>
  <c r="AI204" i="46"/>
  <c r="EV202" i="46"/>
  <c r="CN201" i="46"/>
  <c r="EP202" i="46"/>
  <c r="DI206" i="46"/>
  <c r="AC201" i="46"/>
  <c r="BV206" i="46"/>
  <c r="EG204" i="46"/>
  <c r="FH200" i="46"/>
  <c r="CT200" i="46"/>
  <c r="ED204" i="46"/>
  <c r="BM204" i="46"/>
  <c r="BS205" i="46"/>
  <c r="BJ205" i="46"/>
  <c r="BP201" i="46"/>
  <c r="CH201" i="46"/>
  <c r="DU206" i="46"/>
  <c r="DC203" i="46"/>
  <c r="FB201" i="46"/>
  <c r="ED207" i="46"/>
  <c r="EP205" i="46"/>
  <c r="DL206" i="46"/>
  <c r="BG200" i="46"/>
  <c r="EJ205" i="46"/>
  <c r="BA204" i="46"/>
  <c r="FB200" i="46"/>
  <c r="AF182" i="46"/>
  <c r="BJ182" i="46"/>
  <c r="BJ194" i="46"/>
  <c r="BS197" i="46"/>
  <c r="DU183" i="46"/>
  <c r="ED195" i="46"/>
  <c r="AU183" i="46"/>
  <c r="ES188" i="46"/>
  <c r="EA182" i="46"/>
  <c r="BJ195" i="46"/>
  <c r="CQ184" i="46"/>
  <c r="AI189" i="46"/>
  <c r="BA195" i="46"/>
  <c r="FE188" i="46"/>
  <c r="CT193" i="46"/>
  <c r="EP195" i="46"/>
  <c r="CK192" i="46"/>
  <c r="CN197" i="46"/>
  <c r="DF191" i="46"/>
  <c r="CW185" i="46"/>
  <c r="DX195" i="46"/>
  <c r="W195" i="46"/>
  <c r="BY189" i="46"/>
  <c r="DX191" i="46"/>
  <c r="CT195" i="46"/>
  <c r="BP185" i="46"/>
  <c r="W194" i="46"/>
  <c r="BA185" i="46"/>
  <c r="AX182" i="46"/>
  <c r="EG182" i="46"/>
  <c r="W185" i="46"/>
  <c r="EA188" i="46"/>
  <c r="BS186" i="46"/>
  <c r="BD194" i="46"/>
  <c r="FH187" i="46"/>
  <c r="BV186" i="46"/>
  <c r="W187" i="46"/>
  <c r="EV192" i="46"/>
  <c r="DO191" i="46"/>
  <c r="EV188" i="46"/>
  <c r="BP193" i="46"/>
  <c r="BA189" i="46"/>
  <c r="FH189" i="46"/>
  <c r="DL182" i="46"/>
  <c r="AX192" i="46"/>
  <c r="DU197" i="46"/>
  <c r="BM194" i="46"/>
  <c r="BM197" i="46"/>
  <c r="Z197" i="46"/>
  <c r="FK192" i="46"/>
  <c r="FB188" i="46"/>
  <c r="AO194" i="46"/>
  <c r="DR196" i="46"/>
  <c r="AF185" i="46"/>
  <c r="CB185" i="46"/>
  <c r="AC191" i="46"/>
  <c r="BG194" i="46"/>
  <c r="AF183" i="46"/>
  <c r="BJ47" i="45"/>
  <c r="BI47" i="45" s="1"/>
  <c r="BH47" i="45" s="1"/>
  <c r="BJ24" i="45"/>
  <c r="BI24" i="45" s="1"/>
  <c r="BH24" i="45" s="1"/>
  <c r="BJ8" i="45"/>
  <c r="BI8" i="45" s="1"/>
  <c r="BH8" i="45" s="1"/>
  <c r="CN191" i="46"/>
  <c r="DF193" i="46"/>
  <c r="AO195" i="46"/>
  <c r="BS185" i="46"/>
  <c r="EJ184" i="46"/>
  <c r="BM189" i="46"/>
  <c r="AR192" i="46"/>
  <c r="AL194" i="46"/>
  <c r="BS188" i="46"/>
  <c r="AU186" i="46"/>
  <c r="EV190" i="46"/>
  <c r="DI187" i="46"/>
  <c r="DU189" i="46"/>
  <c r="FE197" i="46"/>
  <c r="CE194" i="46"/>
  <c r="AU197" i="46"/>
  <c r="Z182" i="46"/>
  <c r="BV195" i="46"/>
  <c r="FE196" i="46"/>
  <c r="DC184" i="46"/>
  <c r="DF184" i="46"/>
  <c r="EY190" i="46"/>
  <c r="AF187" i="46"/>
  <c r="EJ193" i="46"/>
  <c r="BG197" i="46"/>
  <c r="DL194" i="46"/>
  <c r="DI182" i="46"/>
  <c r="CH182" i="46"/>
  <c r="DL185" i="46"/>
  <c r="ES184" i="46"/>
  <c r="CB197" i="46"/>
  <c r="BV184" i="46"/>
  <c r="BG189" i="46"/>
  <c r="CH191" i="46"/>
  <c r="EY192" i="46"/>
  <c r="EJ194" i="46"/>
  <c r="ED197" i="46"/>
  <c r="AU194" i="46"/>
  <c r="BY195" i="46"/>
  <c r="FB189" i="46"/>
  <c r="CZ186" i="46"/>
  <c r="CN186" i="46"/>
  <c r="AI197" i="46"/>
  <c r="EJ183" i="46"/>
  <c r="CT184" i="46"/>
  <c r="DC191" i="46"/>
  <c r="DU191" i="46"/>
  <c r="CZ184" i="46"/>
  <c r="FB192" i="46"/>
  <c r="EA183" i="46"/>
  <c r="AU185" i="46"/>
  <c r="CW186" i="46"/>
  <c r="T182" i="46"/>
  <c r="BY188" i="46"/>
  <c r="AI190" i="46"/>
  <c r="EG185" i="46"/>
  <c r="EV184" i="46"/>
  <c r="FH191" i="46"/>
  <c r="BG185" i="46"/>
  <c r="AI187" i="46"/>
  <c r="BY187" i="46"/>
  <c r="CE185" i="46"/>
  <c r="CW194" i="46"/>
  <c r="CK197" i="46"/>
  <c r="AF188" i="46"/>
  <c r="AI183" i="46"/>
  <c r="AC187" i="46"/>
  <c r="CH185" i="46"/>
  <c r="DX194" i="46"/>
  <c r="AX193" i="46"/>
  <c r="T196" i="46"/>
  <c r="CT192" i="46"/>
  <c r="AO183" i="46"/>
  <c r="BD196" i="46"/>
  <c r="DO184" i="46"/>
  <c r="BM190" i="46"/>
  <c r="BY192" i="46"/>
  <c r="BP196" i="46"/>
  <c r="EY183" i="46"/>
  <c r="AL185" i="46"/>
  <c r="BP184" i="46"/>
  <c r="DI190" i="46"/>
  <c r="BD186" i="46"/>
  <c r="DR186" i="46"/>
  <c r="DU193" i="46"/>
  <c r="EM196" i="46"/>
  <c r="FH182" i="46"/>
  <c r="DI192" i="46"/>
  <c r="CK185" i="46"/>
  <c r="CT183" i="46"/>
  <c r="CZ188" i="46"/>
  <c r="DO182" i="46"/>
  <c r="AO185" i="46"/>
  <c r="EP197" i="46"/>
  <c r="BY184" i="46"/>
  <c r="W182" i="46"/>
  <c r="DU196" i="46"/>
  <c r="T188" i="46"/>
  <c r="AX191" i="46"/>
  <c r="AU189" i="46"/>
  <c r="DR197" i="46"/>
  <c r="BV194" i="46"/>
  <c r="BJ23" i="45"/>
  <c r="BI23" i="45" s="1"/>
  <c r="BH23" i="45" s="1"/>
  <c r="BP192" i="46"/>
  <c r="DO189" i="46"/>
  <c r="DL190" i="46"/>
  <c r="ED188" i="46"/>
  <c r="DX182" i="46"/>
  <c r="DO197" i="46"/>
  <c r="DL197" i="46"/>
  <c r="CW193" i="46"/>
  <c r="T184" i="46"/>
  <c r="T185" i="46"/>
  <c r="AR195" i="46"/>
  <c r="AF197" i="46"/>
  <c r="BP194" i="46"/>
  <c r="AC196" i="46"/>
  <c r="FH194" i="46"/>
  <c r="CK194" i="46"/>
  <c r="BS194" i="46"/>
  <c r="BS195" i="46"/>
  <c r="CH184" i="46"/>
  <c r="ED193" i="46"/>
  <c r="EG195" i="46"/>
  <c r="EV195" i="46"/>
  <c r="T194" i="46"/>
  <c r="EJ186" i="46"/>
  <c r="FH192" i="46"/>
  <c r="DL187" i="46"/>
  <c r="EY194" i="46"/>
  <c r="BG191" i="46"/>
  <c r="AX184" i="46"/>
  <c r="CK188" i="46"/>
  <c r="BD190" i="46"/>
  <c r="DR193" i="46"/>
  <c r="AR191" i="46"/>
  <c r="FK184" i="46"/>
  <c r="DF185" i="46"/>
  <c r="EM192" i="46"/>
  <c r="DO185" i="46"/>
  <c r="BV189" i="46"/>
  <c r="AO192" i="46"/>
  <c r="ED184" i="46"/>
  <c r="CN192" i="46"/>
  <c r="DX190" i="46"/>
  <c r="ES189" i="46"/>
  <c r="FK183" i="46"/>
  <c r="AL182" i="46"/>
  <c r="AF195" i="46"/>
  <c r="DO183" i="46"/>
  <c r="AU188" i="46"/>
  <c r="CE188" i="46"/>
  <c r="EA192" i="46"/>
  <c r="EY195" i="46"/>
  <c r="CZ189" i="46"/>
  <c r="BV185" i="46"/>
  <c r="CQ185" i="46"/>
  <c r="DL184" i="46"/>
  <c r="ES195" i="46"/>
  <c r="AU195" i="46"/>
  <c r="BJ41" i="45"/>
  <c r="BI41" i="45" s="1"/>
  <c r="BH41" i="45" s="1"/>
  <c r="ES197" i="46"/>
  <c r="BD191" i="46"/>
  <c r="BA183" i="46"/>
  <c r="AC184" i="46"/>
  <c r="CN188" i="46"/>
  <c r="BM192" i="46"/>
  <c r="EP193" i="46"/>
  <c r="EV182" i="46"/>
  <c r="AC189" i="46"/>
  <c r="W190" i="46"/>
  <c r="CB186" i="46"/>
  <c r="Z185" i="46"/>
  <c r="EY196" i="46"/>
  <c r="EY191" i="46"/>
  <c r="CK191" i="46"/>
  <c r="CZ185" i="46"/>
  <c r="BY186" i="46"/>
  <c r="CK184" i="46"/>
  <c r="Z190" i="46"/>
  <c r="ES191" i="46"/>
  <c r="EM190" i="46"/>
  <c r="ED194" i="46"/>
  <c r="CT191" i="46"/>
  <c r="CH188" i="46"/>
  <c r="FE191" i="46"/>
  <c r="CE192" i="46"/>
  <c r="FE185" i="46"/>
  <c r="BA187" i="46"/>
  <c r="CQ194" i="46"/>
  <c r="BD192" i="46"/>
  <c r="AF192" i="46"/>
  <c r="DI193" i="46"/>
  <c r="BJ190" i="46"/>
  <c r="ED186" i="46"/>
  <c r="CW195" i="46"/>
  <c r="AL197" i="46"/>
  <c r="CW187" i="46"/>
  <c r="T191" i="46"/>
  <c r="FK195" i="46"/>
  <c r="BM191" i="46"/>
  <c r="BY196" i="46"/>
  <c r="FK187" i="46"/>
  <c r="CK195" i="46"/>
  <c r="EP191" i="46"/>
  <c r="AL189" i="46"/>
  <c r="DO194" i="46"/>
  <c r="AX194" i="46"/>
  <c r="DU187" i="46"/>
  <c r="DO195" i="46"/>
  <c r="DF194" i="46"/>
  <c r="BD193" i="46"/>
  <c r="AR187" i="46"/>
  <c r="AC182" i="46"/>
  <c r="EV185" i="46"/>
  <c r="BM186" i="46"/>
  <c r="ES194" i="46"/>
  <c r="DF190" i="46"/>
  <c r="BJ18" i="45"/>
  <c r="BI18" i="45" s="1"/>
  <c r="BH18" i="45" s="1"/>
  <c r="BJ11" i="45"/>
  <c r="BI11" i="45" s="1"/>
  <c r="BH11" i="45" s="1"/>
  <c r="BJ22" i="45"/>
  <c r="BI22" i="45" s="1"/>
  <c r="BH22" i="45" s="1"/>
  <c r="DC187" i="46"/>
  <c r="BS192" i="46"/>
  <c r="BA186" i="46"/>
  <c r="CE196" i="46"/>
  <c r="EM193" i="46"/>
  <c r="AX183" i="46"/>
  <c r="EA197" i="46"/>
  <c r="AX197" i="46"/>
  <c r="DI189" i="46"/>
  <c r="DR191" i="46"/>
  <c r="CZ197" i="46"/>
  <c r="EP185" i="46"/>
  <c r="EV193" i="46"/>
  <c r="EJ197" i="46"/>
  <c r="DL189" i="46"/>
  <c r="CW192" i="46"/>
  <c r="DI188" i="46"/>
  <c r="AC194" i="46"/>
  <c r="ES183" i="46"/>
  <c r="FK193" i="46"/>
  <c r="EJ191" i="46"/>
  <c r="W193" i="46"/>
  <c r="BP195" i="46"/>
  <c r="EG190" i="46"/>
  <c r="BM184" i="46"/>
  <c r="BS187" i="46"/>
  <c r="CN194" i="46"/>
  <c r="BM185" i="46"/>
  <c r="AR183" i="46"/>
  <c r="EM184" i="46"/>
  <c r="BG195" i="46"/>
  <c r="CH187" i="46"/>
  <c r="AR197" i="46"/>
  <c r="ES192" i="46"/>
  <c r="DX197" i="46"/>
  <c r="EA191" i="46"/>
  <c r="BV183" i="46"/>
  <c r="DO187" i="46"/>
  <c r="CQ195" i="46"/>
  <c r="BY185" i="46"/>
  <c r="AR188" i="46"/>
  <c r="DC197" i="46"/>
  <c r="EY188" i="46"/>
  <c r="EM188" i="46"/>
  <c r="FH186" i="46"/>
  <c r="EY197" i="46"/>
  <c r="ED182" i="46"/>
  <c r="BD195" i="46"/>
  <c r="AL193" i="46"/>
  <c r="EG193" i="46"/>
  <c r="CE182" i="46"/>
  <c r="BM188" i="46"/>
  <c r="EG197" i="46"/>
  <c r="BV187" i="46"/>
  <c r="CE197" i="46"/>
  <c r="AO193" i="46"/>
  <c r="CQ188" i="46"/>
  <c r="BJ44" i="45"/>
  <c r="BI44" i="45" s="1"/>
  <c r="BH44" i="45" s="1"/>
  <c r="BJ30" i="45"/>
  <c r="BI30" i="45" s="1"/>
  <c r="BH30" i="45" s="1"/>
  <c r="BJ34" i="45"/>
  <c r="BI34" i="45" s="1"/>
  <c r="BH34" i="45" s="1"/>
  <c r="T193" i="46"/>
  <c r="AF190" i="46"/>
  <c r="DF189" i="46"/>
  <c r="FH197" i="46"/>
  <c r="CT187" i="46"/>
  <c r="CE186" i="46"/>
  <c r="EJ195" i="46"/>
  <c r="EY185" i="46"/>
  <c r="DC189" i="46"/>
  <c r="CN187" i="46"/>
  <c r="CN183" i="46"/>
  <c r="CH190" i="46"/>
  <c r="BS190" i="46"/>
  <c r="BA182" i="46"/>
  <c r="CK190" i="46"/>
  <c r="CQ196" i="46"/>
  <c r="BJ186" i="46"/>
  <c r="FH183" i="46"/>
  <c r="BG192" i="46"/>
  <c r="DC190" i="46"/>
  <c r="AF191" i="46"/>
  <c r="EA190" i="46"/>
  <c r="AI194" i="46"/>
  <c r="FK190" i="46"/>
  <c r="DC183" i="46"/>
  <c r="BY194" i="46"/>
  <c r="BS184" i="46"/>
  <c r="EA189" i="46"/>
  <c r="BP197" i="46"/>
  <c r="DI195" i="46"/>
  <c r="BS189" i="46"/>
  <c r="CB183" i="46"/>
  <c r="EV187" i="46"/>
  <c r="BS183" i="46"/>
  <c r="BJ48" i="45"/>
  <c r="BI48" i="45" s="1"/>
  <c r="BH48" i="45" s="1"/>
  <c r="BJ7" i="45"/>
  <c r="BI7" i="45" s="1"/>
  <c r="BH7" i="45" s="1"/>
  <c r="BJ33" i="45"/>
  <c r="BI33" i="45" s="1"/>
  <c r="BH33" i="45" s="1"/>
  <c r="DU182" i="46"/>
  <c r="EV186" i="46"/>
  <c r="DI191" i="46"/>
  <c r="EV189" i="46"/>
  <c r="FE192" i="46"/>
  <c r="FB182" i="46"/>
  <c r="BP182" i="46"/>
  <c r="EM187" i="46"/>
  <c r="BS193" i="46"/>
  <c r="EA184" i="46"/>
  <c r="FH195" i="46"/>
  <c r="DI197" i="46"/>
  <c r="FB197" i="46"/>
  <c r="CE191" i="46"/>
  <c r="BP183" i="46"/>
  <c r="BD188" i="46"/>
  <c r="AO184" i="46"/>
  <c r="AO197" i="46"/>
  <c r="CN193" i="46"/>
  <c r="CE189" i="46"/>
  <c r="BA194" i="46"/>
  <c r="DF192" i="46"/>
  <c r="CN195" i="46"/>
  <c r="W188" i="46"/>
  <c r="ED187" i="46"/>
  <c r="AC188" i="46"/>
  <c r="BG196" i="46"/>
  <c r="CT182" i="46"/>
  <c r="BV182" i="46"/>
  <c r="CW184" i="46"/>
  <c r="DL193" i="46"/>
  <c r="CH194" i="46"/>
  <c r="AL186" i="46"/>
  <c r="DR183" i="46"/>
  <c r="BA190" i="46"/>
  <c r="BJ25" i="45"/>
  <c r="BI25" i="45" s="1"/>
  <c r="BH25" i="45" s="1"/>
  <c r="BJ16" i="45"/>
  <c r="BI16" i="45" s="1"/>
  <c r="BH16" i="45" s="1"/>
  <c r="BJ9" i="45"/>
  <c r="BI9" i="45" s="1"/>
  <c r="BH9" i="45" s="1"/>
  <c r="DR185" i="46"/>
  <c r="DI184" i="46"/>
  <c r="W186" i="46"/>
  <c r="FE193" i="46"/>
  <c r="BS196" i="46"/>
  <c r="EV197" i="46"/>
  <c r="AC183" i="46"/>
  <c r="DC186" i="46"/>
  <c r="AI191" i="46"/>
  <c r="FH196" i="46"/>
  <c r="BA184" i="46"/>
  <c r="CK183" i="46"/>
  <c r="AR189" i="46"/>
  <c r="BJ196" i="46"/>
  <c r="CK187" i="46"/>
  <c r="FE183" i="46"/>
  <c r="EJ187" i="46"/>
  <c r="ES186" i="46"/>
  <c r="EV196" i="46"/>
  <c r="CT185" i="46"/>
  <c r="EG187" i="46"/>
  <c r="AX186" i="46"/>
  <c r="EG188" i="46"/>
  <c r="AU196" i="46"/>
  <c r="Z188" i="46"/>
  <c r="BM187" i="46"/>
  <c r="AU190" i="46"/>
  <c r="T190" i="46"/>
  <c r="CT190" i="46"/>
  <c r="BY191" i="46"/>
  <c r="BS182" i="46"/>
  <c r="DL186" i="46"/>
  <c r="CK196" i="46"/>
  <c r="AF193" i="46"/>
  <c r="BV192" i="46"/>
  <c r="BJ21" i="45"/>
  <c r="BI21" i="45" s="1"/>
  <c r="BH21" i="45" s="1"/>
  <c r="BJ39" i="45"/>
  <c r="BI39" i="45" s="1"/>
  <c r="BH39" i="45" s="1"/>
  <c r="AO186" i="46"/>
  <c r="FK194" i="46"/>
  <c r="DC194" i="46"/>
  <c r="AO191" i="46"/>
  <c r="EM183" i="46"/>
  <c r="FB183" i="46"/>
  <c r="AI196" i="46"/>
  <c r="BG190" i="46"/>
  <c r="DI183" i="46"/>
  <c r="EP192" i="46"/>
  <c r="BJ193" i="46"/>
  <c r="Z196" i="46"/>
  <c r="FK189" i="46"/>
  <c r="AO196" i="46"/>
  <c r="CB192" i="46"/>
  <c r="DX187" i="46"/>
  <c r="Z195" i="46"/>
  <c r="DX186" i="46"/>
  <c r="CH192" i="46"/>
  <c r="BY183" i="46"/>
  <c r="W192" i="46"/>
  <c r="CZ196" i="46"/>
  <c r="BG187" i="46"/>
  <c r="EM185" i="46"/>
  <c r="CN189" i="46"/>
  <c r="CT194" i="46"/>
  <c r="T186" i="46"/>
  <c r="EM191" i="46"/>
  <c r="DL191" i="46"/>
  <c r="FB194" i="46"/>
  <c r="DL183" i="46"/>
  <c r="ES190" i="46"/>
  <c r="Z194" i="46"/>
  <c r="BA188" i="46"/>
  <c r="DX192" i="46"/>
  <c r="BJ14" i="45"/>
  <c r="BI14" i="45" s="1"/>
  <c r="BH14" i="45" s="1"/>
  <c r="BJ28" i="45"/>
  <c r="BI28" i="45" s="1"/>
  <c r="BH28" i="45" s="1"/>
  <c r="BJ31" i="45"/>
  <c r="BI31" i="45" s="1"/>
  <c r="BH31" i="45" s="1"/>
  <c r="CZ182" i="46"/>
  <c r="CW189" i="46"/>
  <c r="CQ193" i="46"/>
  <c r="CZ193" i="46"/>
  <c r="EP194" i="46"/>
  <c r="BG182" i="46"/>
  <c r="EG183" i="46"/>
  <c r="DF183" i="46"/>
  <c r="CK189" i="46"/>
  <c r="EP187" i="46"/>
  <c r="DC188" i="46"/>
  <c r="CB194" i="46"/>
  <c r="BY197" i="46"/>
  <c r="EJ185" i="46"/>
  <c r="DF187" i="46"/>
  <c r="CQ190" i="46"/>
  <c r="CN185" i="46"/>
  <c r="W189" i="46"/>
  <c r="AO189" i="46"/>
  <c r="BA192" i="46"/>
  <c r="BJ197" i="46"/>
  <c r="ED183" i="46"/>
  <c r="BG183" i="46"/>
  <c r="DX184" i="46"/>
  <c r="BM196" i="46"/>
  <c r="AL196" i="46"/>
  <c r="DI186" i="46"/>
  <c r="DO193" i="46"/>
  <c r="CE193" i="46"/>
  <c r="AO182" i="46"/>
  <c r="BG193" i="46"/>
  <c r="FK197" i="46"/>
  <c r="DI196" i="46"/>
  <c r="AX189" i="46"/>
  <c r="BJ26" i="45"/>
  <c r="BI26" i="45" s="1"/>
  <c r="BH26" i="45" s="1"/>
  <c r="BJ12" i="45"/>
  <c r="BI12" i="45" s="1"/>
  <c r="BH12" i="45" s="1"/>
  <c r="CB193" i="46"/>
  <c r="DC182" i="46"/>
  <c r="BD197" i="46"/>
  <c r="FE195" i="46"/>
  <c r="CE184" i="46"/>
  <c r="CW196" i="46"/>
  <c r="BD187" i="46"/>
  <c r="CK186" i="46"/>
  <c r="AI186" i="46"/>
  <c r="DL196" i="46"/>
  <c r="BP188" i="46"/>
  <c r="EV191" i="46"/>
  <c r="BD189" i="46"/>
  <c r="FE186" i="46"/>
  <c r="BM182" i="46"/>
  <c r="BG186" i="46"/>
  <c r="FB185" i="46"/>
  <c r="AU182" i="46"/>
  <c r="W197" i="46"/>
  <c r="AI188" i="46"/>
  <c r="DR192" i="46"/>
  <c r="AU193" i="46"/>
  <c r="FH185" i="46"/>
  <c r="AL183" i="46"/>
  <c r="ES185" i="46"/>
  <c r="BV193" i="46"/>
  <c r="FB190" i="46"/>
  <c r="CH189" i="46"/>
  <c r="FK196" i="46"/>
  <c r="EP190" i="46"/>
  <c r="AC190" i="46"/>
  <c r="ES187" i="46"/>
  <c r="AF184" i="46"/>
  <c r="DX188" i="46"/>
  <c r="BJ46" i="45"/>
  <c r="BI46" i="45" s="1"/>
  <c r="BH46" i="45" s="1"/>
  <c r="BJ35" i="45"/>
  <c r="BI35" i="45" s="1"/>
  <c r="BH35" i="45" s="1"/>
  <c r="DR189" i="46"/>
  <c r="AR193" i="46"/>
  <c r="EJ182" i="46"/>
  <c r="CZ187" i="46"/>
  <c r="DF186" i="46"/>
  <c r="CB195" i="46"/>
  <c r="CZ190" i="46"/>
  <c r="W183" i="46"/>
  <c r="DF197" i="46"/>
  <c r="EG186" i="46"/>
  <c r="DX196" i="46"/>
  <c r="CB187" i="46"/>
  <c r="CE190" i="46"/>
  <c r="CB182" i="46"/>
  <c r="ES196" i="46"/>
  <c r="FH184" i="46"/>
  <c r="CE183" i="46"/>
  <c r="EP196" i="46"/>
  <c r="FE189" i="46"/>
  <c r="FK185" i="46"/>
  <c r="CB189" i="46"/>
  <c r="BV191" i="46"/>
  <c r="Z186" i="46"/>
  <c r="EA185" i="46"/>
  <c r="CH195" i="46"/>
  <c r="DR195" i="46"/>
  <c r="CB190" i="46"/>
  <c r="FK182" i="46"/>
  <c r="FB186" i="46"/>
  <c r="EM182" i="46"/>
  <c r="EG191" i="46"/>
  <c r="EP182" i="46"/>
  <c r="AF196" i="46"/>
  <c r="BS191" i="46"/>
  <c r="BJ10" i="45"/>
  <c r="BI10" i="45" s="1"/>
  <c r="BH10" i="45" s="1"/>
  <c r="BJ13" i="45"/>
  <c r="BI13" i="45" s="1"/>
  <c r="BH13" i="45" s="1"/>
  <c r="CZ183" i="46"/>
  <c r="CE187" i="46"/>
  <c r="DC196" i="46"/>
  <c r="AC186" i="46"/>
  <c r="BA197" i="46"/>
  <c r="AI185" i="46"/>
  <c r="CQ189" i="46"/>
  <c r="DF195" i="46"/>
  <c r="T183" i="46"/>
  <c r="AR190" i="46"/>
  <c r="Z183" i="46"/>
  <c r="W196" i="46"/>
  <c r="ED189" i="46"/>
  <c r="BJ15" i="45"/>
  <c r="BI15" i="45" s="1"/>
  <c r="BH15" i="45" s="1"/>
  <c r="EJ192" i="46"/>
  <c r="EM194" i="46"/>
  <c r="ED196" i="46"/>
  <c r="AR182" i="46"/>
  <c r="EP188" i="46"/>
  <c r="FE194" i="46"/>
  <c r="BG188" i="46"/>
  <c r="DX189" i="46"/>
  <c r="DL192" i="46"/>
  <c r="T189" i="46"/>
  <c r="ED185" i="46"/>
  <c r="EA186" i="46"/>
  <c r="CW191" i="46"/>
  <c r="BP189" i="46"/>
  <c r="CT196" i="46"/>
  <c r="EM197" i="46"/>
  <c r="CZ192" i="46"/>
  <c r="CH183" i="46"/>
  <c r="CN182" i="46"/>
  <c r="EM189" i="46"/>
  <c r="FH190" i="46"/>
  <c r="Z187" i="46"/>
  <c r="AR196" i="46"/>
  <c r="DU190" i="46"/>
  <c r="DO186" i="46"/>
  <c r="BV188" i="46"/>
  <c r="FE187" i="46"/>
  <c r="EG196" i="46"/>
  <c r="CW188" i="46"/>
  <c r="DU195" i="46"/>
  <c r="EG192" i="46"/>
  <c r="AX195" i="46"/>
  <c r="EM195" i="46"/>
  <c r="BD182" i="46"/>
  <c r="DI185" i="46"/>
  <c r="BJ49" i="45"/>
  <c r="BI49" i="45" s="1"/>
  <c r="BH49" i="45" s="1"/>
  <c r="BJ19" i="45"/>
  <c r="BI19" i="45" s="1"/>
  <c r="BH19" i="45" s="1"/>
  <c r="BJ37" i="45"/>
  <c r="BI37" i="45" s="1"/>
  <c r="BH37" i="45" s="1"/>
  <c r="T195" i="46"/>
  <c r="AX190" i="46"/>
  <c r="Z184" i="46"/>
  <c r="CB188" i="46"/>
  <c r="DL195" i="46"/>
  <c r="BJ45" i="45"/>
  <c r="BI45" i="45" s="1"/>
  <c r="BH45" i="45" s="1"/>
  <c r="BY190" i="46"/>
  <c r="CH193" i="46"/>
  <c r="AI195" i="46"/>
  <c r="AR194" i="46"/>
  <c r="CT188" i="46"/>
  <c r="FH193" i="46"/>
  <c r="CK193" i="46"/>
  <c r="AL191" i="46"/>
  <c r="AU191" i="46"/>
  <c r="DC193" i="46"/>
  <c r="FB195" i="46"/>
  <c r="AU192" i="46"/>
  <c r="EM186" i="46"/>
  <c r="BJ185" i="46"/>
  <c r="BY193" i="46"/>
  <c r="CH196" i="46"/>
  <c r="FB187" i="46"/>
  <c r="FB196" i="46"/>
  <c r="BA196" i="46"/>
  <c r="EP184" i="46"/>
  <c r="CT189" i="46"/>
  <c r="FK188" i="46"/>
  <c r="W191" i="46"/>
  <c r="DR184" i="46"/>
  <c r="CQ192" i="46"/>
  <c r="AI193" i="46"/>
  <c r="FE182" i="46"/>
  <c r="DU184" i="46"/>
  <c r="DX183" i="46"/>
  <c r="DX193" i="46"/>
  <c r="DC195" i="46"/>
  <c r="EA193" i="46"/>
  <c r="ED192" i="46"/>
  <c r="BJ183" i="46"/>
  <c r="BJ5" i="45"/>
  <c r="BI5" i="45" s="1"/>
  <c r="BH5" i="45" s="1"/>
  <c r="BJ36" i="45"/>
  <c r="BI36" i="45" s="1"/>
  <c r="BH36" i="45" s="1"/>
  <c r="BJ4" i="45"/>
  <c r="BI4" i="45" s="1"/>
  <c r="BH4" i="45" s="1"/>
  <c r="AR186" i="46"/>
  <c r="DX185" i="46"/>
  <c r="EA194" i="46"/>
  <c r="AC185" i="46"/>
  <c r="CQ186" i="46"/>
  <c r="AO187" i="46"/>
  <c r="EG189" i="46"/>
  <c r="CZ194" i="46"/>
  <c r="BM193" i="46"/>
  <c r="Z193" i="46"/>
  <c r="AF186" i="46"/>
  <c r="CN196" i="46"/>
  <c r="AO190" i="46"/>
  <c r="BA193" i="46"/>
  <c r="EY189" i="46"/>
  <c r="DU192" i="46"/>
  <c r="FB184" i="46"/>
  <c r="DU188" i="46"/>
  <c r="CE195" i="46"/>
  <c r="CB184" i="46"/>
  <c r="AI184" i="46"/>
  <c r="AC195" i="46"/>
  <c r="FK191" i="46"/>
  <c r="DR194" i="46"/>
  <c r="DO196" i="46"/>
  <c r="BD185" i="46"/>
  <c r="AL187" i="46"/>
  <c r="EY184" i="46"/>
  <c r="AX187" i="46"/>
  <c r="BJ188" i="46"/>
  <c r="CQ182" i="46"/>
  <c r="EJ189" i="46"/>
  <c r="DR190" i="46"/>
  <c r="BJ184" i="46"/>
  <c r="AO188" i="46"/>
  <c r="CW183" i="46"/>
  <c r="DU185" i="46"/>
  <c r="AI182" i="46"/>
  <c r="DR187" i="46"/>
  <c r="CB191" i="46"/>
  <c r="CH197" i="46"/>
  <c r="BP191" i="46"/>
  <c r="EY187" i="46"/>
  <c r="ED190" i="46"/>
  <c r="BJ20" i="45"/>
  <c r="BI20" i="45" s="1"/>
  <c r="BH20" i="45" s="1"/>
  <c r="BJ17" i="45"/>
  <c r="BI17" i="45" s="1"/>
  <c r="BH17" i="45" s="1"/>
  <c r="BJ32" i="45"/>
  <c r="BI32" i="45" s="1"/>
  <c r="BH32" i="45" s="1"/>
  <c r="BV190" i="46"/>
  <c r="EA195" i="46"/>
  <c r="CT186" i="46"/>
  <c r="EV194" i="46"/>
  <c r="EJ196" i="46"/>
  <c r="CQ197" i="46"/>
  <c r="CZ195" i="46"/>
  <c r="ED191" i="46"/>
  <c r="BJ51" i="45"/>
  <c r="BI51" i="45" s="1"/>
  <c r="BH51" i="45" s="1"/>
  <c r="Z189" i="46"/>
  <c r="T192" i="46"/>
  <c r="EA196" i="46"/>
  <c r="DF182" i="46"/>
  <c r="DO190" i="46"/>
  <c r="CN184" i="46"/>
  <c r="Z191" i="46"/>
  <c r="AC197" i="46"/>
  <c r="BJ191" i="46"/>
  <c r="DR182" i="46"/>
  <c r="DU186" i="46"/>
  <c r="CH186" i="46"/>
  <c r="DL188" i="46"/>
  <c r="BJ187" i="46"/>
  <c r="AL184" i="46"/>
  <c r="BJ42" i="45"/>
  <c r="BI42" i="45" s="1"/>
  <c r="BH42" i="45" s="1"/>
  <c r="EP189" i="46"/>
  <c r="BJ189" i="46"/>
  <c r="T197" i="46"/>
  <c r="CK182" i="46"/>
  <c r="EY182" i="46"/>
  <c r="EG194" i="46"/>
  <c r="FK186" i="46"/>
  <c r="AU187" i="46"/>
  <c r="DO188" i="46"/>
  <c r="AC192" i="46"/>
  <c r="BJ27" i="45"/>
  <c r="BI27" i="45" s="1"/>
  <c r="BH27" i="45" s="1"/>
  <c r="CZ191" i="46"/>
  <c r="EY186" i="46"/>
  <c r="AI192" i="46"/>
  <c r="CW182" i="46"/>
  <c r="FE190" i="46"/>
  <c r="EP186" i="46"/>
  <c r="EA187" i="46"/>
  <c r="CQ191" i="46"/>
  <c r="AF194" i="46"/>
  <c r="BJ29" i="45"/>
  <c r="BI29" i="45" s="1"/>
  <c r="BH29" i="45" s="1"/>
  <c r="DR188" i="46"/>
  <c r="DF196" i="46"/>
  <c r="CT197" i="46"/>
  <c r="AR185" i="46"/>
  <c r="BP187" i="46"/>
  <c r="FB193" i="46"/>
  <c r="BA191" i="46"/>
  <c r="AC193" i="46"/>
  <c r="AU184" i="46"/>
  <c r="Z192" i="46"/>
  <c r="BJ38" i="45"/>
  <c r="BI38" i="45" s="1"/>
  <c r="BH38" i="45" s="1"/>
  <c r="AR184" i="46"/>
  <c r="W184" i="46"/>
  <c r="AX188" i="46"/>
  <c r="BJ6" i="45"/>
  <c r="BI6" i="45" s="1"/>
  <c r="BH6" i="45" s="1"/>
  <c r="ES193" i="46"/>
  <c r="BM195" i="46"/>
  <c r="BM183" i="46"/>
  <c r="BG184" i="46"/>
  <c r="FH188" i="46"/>
  <c r="BJ50" i="45"/>
  <c r="BI50" i="45" s="1"/>
  <c r="BH50" i="45" s="1"/>
  <c r="CN190" i="46"/>
  <c r="T187" i="46"/>
  <c r="DC185" i="46"/>
  <c r="BV197" i="46"/>
  <c r="DO192" i="46"/>
  <c r="BY182" i="46"/>
  <c r="AL192" i="46"/>
  <c r="BP186" i="46"/>
  <c r="BJ40" i="45"/>
  <c r="BI40" i="45" s="1"/>
  <c r="BH40" i="45" s="1"/>
  <c r="AF189" i="46"/>
  <c r="DF188" i="46"/>
  <c r="FB191" i="46"/>
  <c r="BJ192" i="46"/>
  <c r="AL188" i="46"/>
  <c r="EP183" i="46"/>
  <c r="CW190" i="46"/>
  <c r="EG184" i="46"/>
  <c r="DU194" i="46"/>
  <c r="EV183" i="46"/>
  <c r="FE184" i="46"/>
  <c r="AL195" i="46"/>
  <c r="AL190" i="46"/>
  <c r="CQ187" i="46"/>
  <c r="AX185" i="46"/>
  <c r="DI194" i="46"/>
  <c r="DC192" i="46"/>
  <c r="AX196" i="46"/>
  <c r="CQ183" i="46"/>
  <c r="ES182" i="46"/>
  <c r="BV196" i="46"/>
  <c r="BP190" i="46"/>
  <c r="EY193" i="46"/>
  <c r="CB196" i="46"/>
  <c r="BD184" i="46"/>
  <c r="EJ190" i="46"/>
  <c r="BJ43" i="45"/>
  <c r="BI43" i="45" s="1"/>
  <c r="BH43" i="45" s="1"/>
  <c r="BD183" i="46"/>
  <c r="EJ188" i="46"/>
  <c r="CW197" i="46"/>
  <c r="CB180" i="46"/>
  <c r="EJ180" i="46"/>
  <c r="FE180" i="46"/>
  <c r="AC180" i="46"/>
  <c r="Z162" i="46"/>
  <c r="DR162" i="46"/>
  <c r="DX162" i="46"/>
  <c r="EY180" i="46"/>
  <c r="FK180" i="46"/>
  <c r="BP180" i="46"/>
  <c r="BG180" i="46"/>
  <c r="BD180" i="46"/>
  <c r="T180" i="46"/>
  <c r="BJ162" i="46"/>
  <c r="CB162" i="46"/>
  <c r="CT162" i="46"/>
  <c r="BV162" i="46"/>
  <c r="T162" i="46"/>
  <c r="M162" i="46"/>
  <c r="G3" i="47" s="1"/>
  <c r="FH162" i="46"/>
  <c r="EP162" i="46"/>
  <c r="ES180" i="46"/>
  <c r="EA162" i="46"/>
  <c r="BY162" i="46"/>
  <c r="CQ162" i="46"/>
  <c r="ES162" i="46"/>
  <c r="CQ180" i="46"/>
  <c r="AR180" i="46"/>
  <c r="EP180" i="46"/>
  <c r="EY162" i="46"/>
  <c r="AF162" i="46"/>
  <c r="BG162" i="46"/>
  <c r="EV162" i="46"/>
  <c r="AX162" i="46"/>
  <c r="BP162" i="46"/>
  <c r="DF180" i="46"/>
  <c r="EV180" i="46"/>
  <c r="DU180" i="46"/>
  <c r="FH180" i="46"/>
  <c r="EA180" i="46"/>
  <c r="CH180" i="46"/>
  <c r="AL162" i="46"/>
  <c r="W162" i="46"/>
  <c r="BA162" i="46"/>
  <c r="BY180" i="46"/>
  <c r="EG162" i="46"/>
  <c r="EM180" i="46"/>
  <c r="Z180" i="46"/>
  <c r="CN180" i="46"/>
  <c r="FB180" i="46"/>
  <c r="ED162" i="46"/>
  <c r="CN162" i="46"/>
  <c r="DO162" i="46"/>
  <c r="AU162" i="46"/>
  <c r="CK162" i="46"/>
  <c r="BM180" i="46"/>
  <c r="FE162" i="46"/>
  <c r="CW162" i="46"/>
  <c r="DC162" i="46"/>
  <c r="DC180" i="46"/>
  <c r="BD162" i="46"/>
  <c r="DL162" i="46"/>
  <c r="DL180" i="46"/>
  <c r="EG180" i="46"/>
  <c r="CK180" i="46"/>
  <c r="W180" i="46"/>
  <c r="DR180" i="46"/>
  <c r="AI180" i="46"/>
  <c r="BS162" i="46"/>
  <c r="DX180" i="46"/>
  <c r="BS180" i="46"/>
  <c r="BJ180" i="46"/>
  <c r="CE180" i="46"/>
  <c r="CT180" i="46"/>
  <c r="EM162" i="46"/>
  <c r="DI162" i="46"/>
  <c r="AR162" i="46"/>
  <c r="CE162" i="46"/>
  <c r="BM162" i="46"/>
  <c r="FB162" i="46"/>
  <c r="DU162" i="46"/>
  <c r="AO162" i="46"/>
  <c r="BA180" i="46"/>
  <c r="CZ162" i="46"/>
  <c r="CW180" i="46"/>
  <c r="DO180" i="46"/>
  <c r="AU180" i="46"/>
  <c r="AO180" i="46"/>
  <c r="AF180" i="46"/>
  <c r="EJ162" i="46"/>
  <c r="FK162" i="46"/>
  <c r="DF162" i="46"/>
  <c r="AL180" i="46"/>
  <c r="BV180" i="46"/>
  <c r="CZ180" i="46"/>
  <c r="AX180" i="46"/>
  <c r="ED180" i="46"/>
  <c r="DI180" i="46"/>
  <c r="CH162" i="46"/>
  <c r="AC162" i="46"/>
  <c r="AI162" i="46"/>
  <c r="BS208" i="46" l="1"/>
  <c r="DI208" i="46"/>
  <c r="AF208" i="46"/>
  <c r="CB198" i="46"/>
  <c r="BD198" i="46"/>
  <c r="AI198" i="46"/>
  <c r="W208" i="46"/>
  <c r="FB208" i="46"/>
  <c r="CH198" i="46"/>
  <c r="CN208" i="46"/>
  <c r="W198" i="46"/>
  <c r="BP208" i="46"/>
  <c r="DR208" i="46"/>
  <c r="DF198" i="46"/>
  <c r="EA208" i="46"/>
  <c r="EM208" i="46"/>
  <c r="FK208" i="46"/>
  <c r="EM198" i="46"/>
  <c r="BA198" i="46"/>
  <c r="EV198" i="46"/>
  <c r="BD208" i="46"/>
  <c r="T208" i="46"/>
  <c r="DO208" i="46"/>
  <c r="DF208" i="46"/>
  <c r="AU208" i="46"/>
  <c r="FE208" i="46"/>
  <c r="AO198" i="46"/>
  <c r="DI198" i="46"/>
  <c r="CE208" i="46"/>
  <c r="EY198" i="46"/>
  <c r="AR198" i="46"/>
  <c r="BV198" i="46"/>
  <c r="DU198" i="46"/>
  <c r="O9" i="51"/>
  <c r="N9" i="51" s="1"/>
  <c r="M9" i="51" s="1"/>
  <c r="V9" i="51" s="1"/>
  <c r="O37" i="51"/>
  <c r="N37" i="51" s="1"/>
  <c r="M37" i="51" s="1"/>
  <c r="V37" i="51" s="1"/>
  <c r="O24" i="51"/>
  <c r="N24" i="51" s="1"/>
  <c r="M24" i="51" s="1"/>
  <c r="V24" i="51" s="1"/>
  <c r="O38" i="51"/>
  <c r="N38" i="51" s="1"/>
  <c r="M38" i="51" s="1"/>
  <c r="V38" i="51" s="1"/>
  <c r="O45" i="51"/>
  <c r="N45" i="51" s="1"/>
  <c r="M45" i="51" s="1"/>
  <c r="V45" i="51" s="1"/>
  <c r="O35" i="51"/>
  <c r="N35" i="51" s="1"/>
  <c r="M35" i="51" s="1"/>
  <c r="V35" i="51" s="1"/>
  <c r="O15" i="51"/>
  <c r="N15" i="51" s="1"/>
  <c r="M15" i="51" s="1"/>
  <c r="V15" i="51" s="1"/>
  <c r="O50" i="51"/>
  <c r="N50" i="51" s="1"/>
  <c r="M50" i="51" s="1"/>
  <c r="V50" i="51" s="1"/>
  <c r="O11" i="51"/>
  <c r="N11" i="51" s="1"/>
  <c r="M11" i="51" s="1"/>
  <c r="V11" i="51" s="1"/>
  <c r="O10" i="51"/>
  <c r="N10" i="51" s="1"/>
  <c r="M10" i="51" s="1"/>
  <c r="V10" i="51" s="1"/>
  <c r="O31" i="51"/>
  <c r="N31" i="51" s="1"/>
  <c r="M31" i="51" s="1"/>
  <c r="V31" i="51" s="1"/>
  <c r="O49" i="51"/>
  <c r="N49" i="51" s="1"/>
  <c r="M49" i="51" s="1"/>
  <c r="V49" i="51" s="1"/>
  <c r="O27" i="51"/>
  <c r="N27" i="51" s="1"/>
  <c r="M27" i="51" s="1"/>
  <c r="V27" i="51" s="1"/>
  <c r="O18" i="51"/>
  <c r="N18" i="51" s="1"/>
  <c r="M18" i="51" s="1"/>
  <c r="V18" i="51" s="1"/>
  <c r="O43" i="51"/>
  <c r="N43" i="51" s="1"/>
  <c r="M43" i="51" s="1"/>
  <c r="V43" i="51" s="1"/>
  <c r="O12" i="51"/>
  <c r="N12" i="51" s="1"/>
  <c r="M12" i="51" s="1"/>
  <c r="V12" i="51" s="1"/>
  <c r="O52" i="51"/>
  <c r="N52" i="51" s="1"/>
  <c r="M52" i="51" s="1"/>
  <c r="V52" i="51" s="1"/>
  <c r="O42" i="51"/>
  <c r="N42" i="51" s="1"/>
  <c r="M42" i="51" s="1"/>
  <c r="V42" i="51" s="1"/>
  <c r="O51" i="51"/>
  <c r="N51" i="51" s="1"/>
  <c r="M51" i="51" s="1"/>
  <c r="V51" i="51" s="1"/>
  <c r="O55" i="51"/>
  <c r="N55" i="51" s="1"/>
  <c r="M55" i="51" s="1"/>
  <c r="V55" i="51" s="1"/>
  <c r="O34" i="51"/>
  <c r="N34" i="51" s="1"/>
  <c r="M34" i="51" s="1"/>
  <c r="V34" i="51" s="1"/>
  <c r="O16" i="51"/>
  <c r="N16" i="51" s="1"/>
  <c r="M16" i="51" s="1"/>
  <c r="V16" i="51" s="1"/>
  <c r="O25" i="51"/>
  <c r="N25" i="51" s="1"/>
  <c r="M25" i="51" s="1"/>
  <c r="V25" i="51" s="1"/>
  <c r="O29" i="51"/>
  <c r="N29" i="51" s="1"/>
  <c r="M29" i="51" s="1"/>
  <c r="V29" i="51" s="1"/>
  <c r="O26" i="51"/>
  <c r="N26" i="51" s="1"/>
  <c r="M26" i="51" s="1"/>
  <c r="V26" i="51" s="1"/>
  <c r="O14" i="51"/>
  <c r="N14" i="51" s="1"/>
  <c r="M14" i="51" s="1"/>
  <c r="V14" i="51" s="1"/>
  <c r="O47" i="51"/>
  <c r="N47" i="51" s="1"/>
  <c r="M47" i="51" s="1"/>
  <c r="V47" i="51" s="1"/>
  <c r="O48" i="51"/>
  <c r="N48" i="51" s="1"/>
  <c r="M48" i="51" s="1"/>
  <c r="V48" i="51" s="1"/>
  <c r="O33" i="51"/>
  <c r="N33" i="51" s="1"/>
  <c r="M33" i="51" s="1"/>
  <c r="V33" i="51" s="1"/>
  <c r="O22" i="51"/>
  <c r="N22" i="51" s="1"/>
  <c r="M22" i="51" s="1"/>
  <c r="V22" i="51" s="1"/>
  <c r="O40" i="51"/>
  <c r="N40" i="51" s="1"/>
  <c r="M40" i="51" s="1"/>
  <c r="V40" i="51" s="1"/>
  <c r="T198" i="46"/>
  <c r="O20" i="51"/>
  <c r="N20" i="51" s="1"/>
  <c r="M20" i="51" s="1"/>
  <c r="V20" i="51" s="1"/>
  <c r="O46" i="51"/>
  <c r="N46" i="51" s="1"/>
  <c r="M46" i="51" s="1"/>
  <c r="V46" i="51" s="1"/>
  <c r="O8" i="51"/>
  <c r="N8" i="51" s="1"/>
  <c r="M8" i="51" s="1"/>
  <c r="V8" i="51" s="1"/>
  <c r="M198" i="46"/>
  <c r="I3" i="47" s="1"/>
  <c r="O41" i="51"/>
  <c r="N41" i="51" s="1"/>
  <c r="M41" i="51" s="1"/>
  <c r="V41" i="51" s="1"/>
  <c r="O23" i="51"/>
  <c r="N23" i="51" s="1"/>
  <c r="M23" i="51" s="1"/>
  <c r="V23" i="51" s="1"/>
  <c r="O19" i="51"/>
  <c r="N19" i="51" s="1"/>
  <c r="M19" i="51" s="1"/>
  <c r="V19" i="51" s="1"/>
  <c r="O21" i="51"/>
  <c r="N21" i="51" s="1"/>
  <c r="M21" i="51" s="1"/>
  <c r="V21" i="51" s="1"/>
  <c r="O36" i="51"/>
  <c r="N36" i="51" s="1"/>
  <c r="M36" i="51" s="1"/>
  <c r="V36" i="51" s="1"/>
  <c r="O53" i="51"/>
  <c r="N53" i="51" s="1"/>
  <c r="M53" i="51" s="1"/>
  <c r="V53" i="51" s="1"/>
  <c r="O44" i="51"/>
  <c r="N44" i="51" s="1"/>
  <c r="M44" i="51" s="1"/>
  <c r="V44" i="51" s="1"/>
  <c r="O39" i="51"/>
  <c r="N39" i="51" s="1"/>
  <c r="M39" i="51" s="1"/>
  <c r="V39" i="51" s="1"/>
  <c r="O28" i="51"/>
  <c r="N28" i="51" s="1"/>
  <c r="M28" i="51" s="1"/>
  <c r="V28" i="51" s="1"/>
  <c r="O32" i="51"/>
  <c r="N32" i="51" s="1"/>
  <c r="M32" i="51" s="1"/>
  <c r="V32" i="51" s="1"/>
  <c r="O13" i="51"/>
  <c r="N13" i="51" s="1"/>
  <c r="M13" i="51" s="1"/>
  <c r="V13" i="51" s="1"/>
  <c r="O54" i="51"/>
  <c r="N54" i="51" s="1"/>
  <c r="M54" i="51" s="1"/>
  <c r="V54" i="51" s="1"/>
  <c r="O30" i="51"/>
  <c r="N30" i="51" s="1"/>
  <c r="M30" i="51" s="1"/>
  <c r="V30" i="51" s="1"/>
  <c r="O17" i="51"/>
  <c r="N17" i="51" s="1"/>
  <c r="M17" i="51" s="1"/>
  <c r="V17" i="51" s="1"/>
  <c r="DL198" i="46"/>
  <c r="EG198" i="46"/>
  <c r="BJ198" i="46"/>
  <c r="EG208" i="46"/>
  <c r="AI208" i="46"/>
  <c r="AH4" i="46" s="1"/>
  <c r="AH2" i="46" s="1"/>
  <c r="EY208" i="46"/>
  <c r="CK198" i="46"/>
  <c r="CT198" i="46"/>
  <c r="DX198" i="46"/>
  <c r="AX198" i="46"/>
  <c r="AF198" i="46"/>
  <c r="AE4" i="46" s="1"/>
  <c r="AE2" i="46" s="1"/>
  <c r="ES208" i="46"/>
  <c r="EJ208" i="46"/>
  <c r="BY208" i="46"/>
  <c r="CB208" i="46"/>
  <c r="CA4" i="46" s="1"/>
  <c r="CA2" i="46" s="1"/>
  <c r="AL208" i="46"/>
  <c r="FK198" i="46"/>
  <c r="AX208" i="46"/>
  <c r="CN198" i="46"/>
  <c r="ES198" i="46"/>
  <c r="CW198" i="46"/>
  <c r="CQ198" i="46"/>
  <c r="DC198" i="46"/>
  <c r="CT208" i="46"/>
  <c r="BJ208" i="46"/>
  <c r="CZ208" i="46"/>
  <c r="CW208" i="46"/>
  <c r="BM198" i="46"/>
  <c r="CE198" i="46"/>
  <c r="BG208" i="46"/>
  <c r="FH208" i="46"/>
  <c r="BM208" i="46"/>
  <c r="BV208" i="46"/>
  <c r="AR208" i="46"/>
  <c r="BY198" i="46"/>
  <c r="CZ198" i="46"/>
  <c r="FE198" i="46"/>
  <c r="AC208" i="46"/>
  <c r="AO208" i="46"/>
  <c r="Z208" i="46"/>
  <c r="DX208" i="46"/>
  <c r="AU198" i="46"/>
  <c r="AT4" i="46" s="1"/>
  <c r="AT2" i="46" s="1"/>
  <c r="AC198" i="46"/>
  <c r="EA198" i="46"/>
  <c r="CH208" i="46"/>
  <c r="CG4" i="46" s="1"/>
  <c r="CG2" i="46" s="1"/>
  <c r="EV208" i="46"/>
  <c r="DR198" i="46"/>
  <c r="AL198" i="46"/>
  <c r="DO198" i="46"/>
  <c r="EP198" i="46"/>
  <c r="BG198" i="46"/>
  <c r="BP198" i="46"/>
  <c r="FH198" i="46"/>
  <c r="Z198" i="46"/>
  <c r="Y4" i="46" s="1"/>
  <c r="Y2" i="46" s="1"/>
  <c r="DC208" i="46"/>
  <c r="DB4" i="46" s="1"/>
  <c r="DB2" i="46" s="1"/>
  <c r="BA208" i="46"/>
  <c r="CK208" i="46"/>
  <c r="DL208" i="46"/>
  <c r="BS198" i="46"/>
  <c r="BR4" i="46" s="1"/>
  <c r="BR2" i="46" s="1"/>
  <c r="DU208" i="46"/>
  <c r="EJ198" i="46"/>
  <c r="FB198" i="46"/>
  <c r="ED198" i="46"/>
  <c r="ED208" i="46"/>
  <c r="CQ208" i="46"/>
  <c r="EP208" i="46"/>
  <c r="BC4" i="46"/>
  <c r="S4" i="46" l="1"/>
  <c r="S2" i="46" s="1"/>
  <c r="FA4" i="46"/>
  <c r="FA2" i="46" s="1"/>
  <c r="EL4" i="46"/>
  <c r="EL2" i="46" s="1"/>
  <c r="V4" i="46"/>
  <c r="V2" i="46" s="1"/>
  <c r="DH4" i="46"/>
  <c r="DH2" i="46" s="1"/>
  <c r="AB4" i="46"/>
  <c r="AB2" i="46" s="1"/>
  <c r="CM4" i="46"/>
  <c r="CM2" i="46" s="1"/>
  <c r="EF4" i="46"/>
  <c r="EF2" i="46" s="1"/>
  <c r="DE4" i="46"/>
  <c r="DE2" i="46" s="1"/>
  <c r="BO4" i="46"/>
  <c r="BO2" i="46" s="1"/>
  <c r="CD4" i="46"/>
  <c r="CD2" i="46" s="1"/>
  <c r="AN4" i="46"/>
  <c r="AN2" i="46" s="1"/>
  <c r="DW4" i="46"/>
  <c r="DW2" i="46" s="1"/>
  <c r="BX4" i="46"/>
  <c r="BX2" i="46" s="1"/>
  <c r="FD4" i="46"/>
  <c r="FD2" i="46" s="1"/>
  <c r="AW4" i="46"/>
  <c r="AW2" i="46" s="1"/>
  <c r="DK4" i="46"/>
  <c r="DK2" i="46" s="1"/>
  <c r="DZ4" i="46"/>
  <c r="DZ2" i="46" s="1"/>
  <c r="BI4" i="46"/>
  <c r="BI2" i="46" s="1"/>
  <c r="EC4" i="46"/>
  <c r="EC2" i="46" s="1"/>
  <c r="EO4" i="46"/>
  <c r="EO2" i="46" s="1"/>
  <c r="EI4" i="46"/>
  <c r="EI2" i="46" s="1"/>
  <c r="DQ4" i="46"/>
  <c r="DQ2" i="46" s="1"/>
  <c r="DT4" i="46"/>
  <c r="DT2" i="46" s="1"/>
  <c r="CJ4" i="46"/>
  <c r="CJ2" i="46" s="1"/>
  <c r="AZ4" i="46"/>
  <c r="AZ2" i="46" s="1"/>
  <c r="BU4" i="46"/>
  <c r="BU2" i="46" s="1"/>
  <c r="BL4" i="46"/>
  <c r="BL2" i="46" s="1"/>
  <c r="AK4" i="46"/>
  <c r="AK2" i="46" s="1"/>
  <c r="AQ4" i="46"/>
  <c r="AQ2" i="46" s="1"/>
  <c r="FJ4" i="46"/>
  <c r="FJ2" i="46" s="1"/>
  <c r="EX4" i="46"/>
  <c r="FG4" i="46"/>
  <c r="FG2" i="46" s="1"/>
  <c r="CY4" i="46"/>
  <c r="CY2" i="46" s="1"/>
  <c r="BF4" i="46"/>
  <c r="BF2" i="46" s="1"/>
  <c r="EU4" i="46"/>
  <c r="EU2" i="46" s="1"/>
  <c r="CV4" i="46"/>
  <c r="CV2" i="46" s="1"/>
  <c r="CP4" i="46"/>
  <c r="CP2" i="46" s="1"/>
  <c r="ER4" i="46"/>
  <c r="ER2" i="46" s="1"/>
  <c r="CS4" i="46"/>
  <c r="CS2" i="46" s="1"/>
  <c r="DN4" i="46"/>
  <c r="DN2" i="46" s="1"/>
  <c r="BC2" i="46"/>
  <c r="EX3" i="46" l="1"/>
  <c r="DH3" i="46"/>
  <c r="BI3" i="46"/>
  <c r="DQ3" i="46"/>
  <c r="EC3" i="46"/>
  <c r="BC3" i="46"/>
  <c r="Y3" i="46"/>
  <c r="S3" i="46"/>
  <c r="EL3" i="46"/>
  <c r="DN3" i="46"/>
  <c r="FG3" i="46"/>
  <c r="BX3" i="46"/>
  <c r="BR3" i="46"/>
  <c r="DZ3" i="46"/>
  <c r="EF3" i="46"/>
  <c r="DT3" i="46"/>
  <c r="EI3" i="46"/>
  <c r="BO3" i="46"/>
  <c r="DB3" i="46"/>
  <c r="DE3" i="46"/>
  <c r="AB3" i="46"/>
  <c r="BU3" i="46"/>
  <c r="AW3" i="46"/>
  <c r="AQ3" i="46"/>
  <c r="CD3" i="46"/>
  <c r="CJ3" i="46"/>
  <c r="CG3" i="46"/>
  <c r="CM3" i="46"/>
  <c r="BL3" i="46"/>
  <c r="AE3" i="46"/>
  <c r="CP3" i="46"/>
  <c r="CV3" i="46"/>
  <c r="CA3" i="46"/>
  <c r="EO3" i="46"/>
  <c r="DW3" i="46"/>
  <c r="EX2" i="46"/>
  <c r="FA1" i="46" s="1"/>
  <c r="CY3" i="46"/>
  <c r="CS3" i="46"/>
  <c r="BF3" i="46"/>
  <c r="AT3" i="46"/>
  <c r="AK3" i="46"/>
  <c r="DK3" i="46"/>
  <c r="AZ3" i="46"/>
  <c r="FA3" i="46"/>
  <c r="EU3" i="46"/>
  <c r="AH3" i="46"/>
  <c r="FD3" i="46"/>
  <c r="V3" i="46"/>
  <c r="AN3" i="46"/>
  <c r="ER3" i="46"/>
  <c r="FJ3" i="46"/>
  <c r="EX1" i="46" l="1"/>
  <c r="CD1" i="46"/>
  <c r="AQ1" i="46"/>
  <c r="BR1" i="46"/>
  <c r="AZ1" i="46"/>
  <c r="CA1" i="46"/>
  <c r="CP1" i="46"/>
  <c r="CG1" i="46"/>
  <c r="BC1" i="46"/>
  <c r="DK1" i="46"/>
  <c r="V1" i="46"/>
  <c r="BX1" i="46"/>
  <c r="EF1" i="46"/>
  <c r="CV1" i="46"/>
  <c r="BF1" i="46"/>
  <c r="DQ1" i="46"/>
  <c r="CM1" i="46"/>
  <c r="AT1" i="46"/>
  <c r="DE1" i="46"/>
  <c r="BL1" i="46"/>
  <c r="EC1" i="46"/>
  <c r="AB1" i="46"/>
  <c r="EI1" i="46"/>
  <c r="DB1" i="46"/>
  <c r="CY1" i="46"/>
  <c r="AN1" i="46"/>
  <c r="CJ1" i="46"/>
  <c r="Y1" i="46"/>
  <c r="EO1" i="46"/>
  <c r="AH1" i="46"/>
  <c r="AW1" i="46"/>
  <c r="DT1" i="46"/>
  <c r="EU1" i="46"/>
  <c r="BI1" i="46"/>
  <c r="DN1" i="46"/>
  <c r="DH1" i="46"/>
  <c r="FD1" i="46"/>
  <c r="ER1" i="46"/>
  <c r="FJ1" i="46"/>
  <c r="DW1" i="46"/>
  <c r="EL1" i="46"/>
  <c r="BO1" i="46"/>
  <c r="DZ1" i="46"/>
  <c r="CS1" i="46"/>
  <c r="AE1" i="46"/>
  <c r="AK1" i="46"/>
  <c r="FG1" i="46"/>
  <c r="BU1" i="46"/>
  <c r="S1" i="46"/>
  <c r="N52" i="47" l="1" a="1"/>
  <c r="N52" i="47" s="1"/>
  <c r="J16" i="47" a="1"/>
  <c r="J16" i="47" s="1"/>
  <c r="K30" i="47" a="1"/>
  <c r="K30" i="47" s="1"/>
  <c r="G42" i="47" a="1"/>
  <c r="G42" i="47" s="1"/>
  <c r="K34" i="47" a="1"/>
  <c r="K34" i="47" s="1"/>
  <c r="F32" i="47" a="1"/>
  <c r="F32" i="47" s="1"/>
  <c r="C18" i="47"/>
  <c r="O30" i="47" a="1"/>
  <c r="O30" i="47" s="1"/>
  <c r="J38" i="47" a="1"/>
  <c r="J38" i="47" s="1"/>
  <c r="J10" i="47" a="1"/>
  <c r="J10" i="47" s="1"/>
  <c r="C27" i="47"/>
  <c r="O38" i="47" a="1"/>
  <c r="O38" i="47" s="1"/>
  <c r="J27" i="47" a="1"/>
  <c r="J27" i="47" s="1"/>
  <c r="Q5" i="47" a="1"/>
  <c r="Q5" i="47" s="1"/>
  <c r="P20" i="47" a="1"/>
  <c r="P20" i="47" s="1"/>
  <c r="P26" i="47" a="1"/>
  <c r="P26" i="47" s="1"/>
  <c r="C7" i="47"/>
  <c r="R15" i="47" a="1"/>
  <c r="R15" i="47" s="1"/>
  <c r="E53" i="47" a="1"/>
  <c r="E53" i="47" s="1"/>
  <c r="H41" i="47" a="1"/>
  <c r="H41" i="47" s="1"/>
  <c r="P35" i="47" a="1"/>
  <c r="P35" i="47" s="1"/>
  <c r="Q34" i="47" a="1"/>
  <c r="Q34" i="47" s="1"/>
  <c r="D35" i="47"/>
  <c r="G29" i="47" a="1"/>
  <c r="G29" i="47" s="1"/>
  <c r="R32" i="47" a="1"/>
  <c r="R32" i="47" s="1"/>
  <c r="R20" i="47" a="1"/>
  <c r="R20" i="47" s="1"/>
  <c r="H52" i="47" a="1"/>
  <c r="H52" i="47" s="1"/>
  <c r="K14" i="47" a="1"/>
  <c r="K14" i="47" s="1"/>
  <c r="I12" i="47" a="1"/>
  <c r="I12" i="47" s="1"/>
  <c r="R41" i="47" a="1"/>
  <c r="R41" i="47" s="1"/>
  <c r="L13" i="47" a="1"/>
  <c r="L13" i="47" s="1"/>
  <c r="M29" i="47" a="1"/>
  <c r="M29" i="47" s="1"/>
  <c r="H15" i="47" a="1"/>
  <c r="H15" i="47" s="1"/>
  <c r="P51" i="47" a="1"/>
  <c r="P51" i="47" s="1"/>
  <c r="M7" i="47" a="1"/>
  <c r="M7" i="47" s="1"/>
  <c r="Q28" i="47" a="1"/>
  <c r="Q28" i="47" s="1"/>
  <c r="D50" i="47"/>
  <c r="P36" i="47" a="1"/>
  <c r="P36" i="47" s="1"/>
  <c r="M22" i="47" a="1"/>
  <c r="M22" i="47" s="1"/>
  <c r="E25" i="47" a="1"/>
  <c r="E25" i="47" s="1"/>
  <c r="L54" i="47" a="1"/>
  <c r="L54" i="47" s="1"/>
  <c r="C54" i="47"/>
  <c r="C51" i="47"/>
  <c r="J50" i="47" a="1"/>
  <c r="J50" i="47" s="1"/>
  <c r="K44" i="47" a="1"/>
  <c r="K44" i="47" s="1"/>
  <c r="D38" i="47"/>
  <c r="F6" i="47" a="1"/>
  <c r="F6" i="47" s="1"/>
  <c r="C25" i="47"/>
  <c r="R29" i="47" a="1"/>
  <c r="R29" i="47" s="1"/>
  <c r="K25" i="47" a="1"/>
  <c r="K25" i="47" s="1"/>
  <c r="N21" i="47" a="1"/>
  <c r="N21" i="47" s="1"/>
  <c r="H25" i="47" a="1"/>
  <c r="H25" i="47" s="1"/>
  <c r="R14" i="47" a="1"/>
  <c r="R14" i="47" s="1"/>
  <c r="S34" i="47" a="1"/>
  <c r="S34" i="47" s="1"/>
  <c r="K7" i="47" a="1"/>
  <c r="K7" i="47" s="1"/>
  <c r="F43" i="47" a="1"/>
  <c r="F43" i="47" s="1"/>
  <c r="C8" i="47"/>
  <c r="Q20" i="47" a="1"/>
  <c r="Q20" i="47" s="1"/>
  <c r="O29" i="47" a="1"/>
  <c r="O29" i="47" s="1"/>
  <c r="K45" i="47" a="1"/>
  <c r="K45" i="47" s="1"/>
  <c r="N8" i="47" a="1"/>
  <c r="N8" i="47" s="1"/>
  <c r="G20" i="47" a="1"/>
  <c r="G20" i="47" s="1"/>
  <c r="B7" i="47"/>
  <c r="N41" i="47" a="1"/>
  <c r="N41" i="47" s="1"/>
  <c r="M49" i="47" a="1"/>
  <c r="M49" i="47" s="1"/>
  <c r="G21" i="47" a="1"/>
  <c r="G21" i="47" s="1"/>
  <c r="N27" i="47" a="1"/>
  <c r="N27" i="47" s="1"/>
  <c r="B51" i="47"/>
  <c r="E34" i="47" a="1"/>
  <c r="E34" i="47" s="1"/>
  <c r="R53" i="47" a="1"/>
  <c r="R53" i="47" s="1"/>
  <c r="M47" i="47" a="1"/>
  <c r="M47" i="47" s="1"/>
  <c r="G54" i="47" a="1"/>
  <c r="G54" i="47" s="1"/>
  <c r="F10" i="47" a="1"/>
  <c r="F10" i="47" s="1"/>
  <c r="Q12" i="47" a="1"/>
  <c r="Q12" i="47" s="1"/>
  <c r="G40" i="47" a="1"/>
  <c r="G40" i="47" s="1"/>
  <c r="E7" i="47" a="1"/>
  <c r="E7" i="47" s="1"/>
  <c r="R39" i="47" a="1"/>
  <c r="R39" i="47" s="1"/>
  <c r="K48" i="47" a="1"/>
  <c r="K48" i="47" s="1"/>
  <c r="G13" i="47" a="1"/>
  <c r="G13" i="47" s="1"/>
  <c r="S38" i="47" a="1"/>
  <c r="S38" i="47" s="1"/>
  <c r="O9" i="47" a="1"/>
  <c r="O9" i="47" s="1"/>
  <c r="G8" i="47" a="1"/>
  <c r="G8" i="47" s="1"/>
  <c r="Q35" i="47" a="1"/>
  <c r="Q35" i="47" s="1"/>
  <c r="M26" i="47" a="1"/>
  <c r="M26" i="47" s="1"/>
  <c r="C19" i="47"/>
  <c r="C50" i="47"/>
  <c r="S47" i="47" a="1"/>
  <c r="S47" i="47" s="1"/>
  <c r="P9" i="47" a="1"/>
  <c r="P9" i="47" s="1"/>
  <c r="N31" i="47" a="1"/>
  <c r="N31" i="47" s="1"/>
  <c r="P17" i="47" a="1"/>
  <c r="P17" i="47" s="1"/>
  <c r="B5" i="47"/>
  <c r="G27" i="47" a="1"/>
  <c r="G27" i="47" s="1"/>
  <c r="N10" i="47" a="1"/>
  <c r="N10" i="47" s="1"/>
  <c r="G30" i="47" a="1"/>
  <c r="G30" i="47" s="1"/>
  <c r="B30" i="47"/>
  <c r="I30" i="47" a="1"/>
  <c r="I30" i="47" s="1"/>
  <c r="G24" i="47" a="1"/>
  <c r="G24" i="47" s="1"/>
  <c r="D37" i="47"/>
  <c r="K16" i="47" a="1"/>
  <c r="K16" i="47" s="1"/>
  <c r="F18" i="47" a="1"/>
  <c r="F18" i="47" s="1"/>
  <c r="O18" i="47" a="1"/>
  <c r="O18" i="47" s="1"/>
  <c r="C5" i="47"/>
  <c r="I8" i="47" a="1"/>
  <c r="I8" i="47" s="1"/>
  <c r="Q29" i="47" a="1"/>
  <c r="Q29" i="47" s="1"/>
  <c r="N20" i="47" a="1"/>
  <c r="N20" i="47" s="1"/>
  <c r="R40" i="47" a="1"/>
  <c r="R40" i="47" s="1"/>
  <c r="G52" i="47" a="1"/>
  <c r="G52" i="47" s="1"/>
  <c r="N30" i="47" a="1"/>
  <c r="N30" i="47" s="1"/>
  <c r="P8" i="47" a="1"/>
  <c r="P8" i="47" s="1"/>
  <c r="J23" i="47" a="1"/>
  <c r="J23" i="47" s="1"/>
  <c r="D8" i="47"/>
  <c r="Q53" i="47" a="1"/>
  <c r="Q53" i="47" s="1"/>
  <c r="J41" i="47" a="1"/>
  <c r="J41" i="47" s="1"/>
  <c r="I21" i="47" a="1"/>
  <c r="I21" i="47" s="1"/>
  <c r="P41" i="47" a="1"/>
  <c r="P41" i="47" s="1"/>
  <c r="S16" i="47" a="1"/>
  <c r="S16" i="47" s="1"/>
  <c r="R5" i="47" a="1"/>
  <c r="R5" i="47" s="1"/>
  <c r="G18" i="47" a="1"/>
  <c r="G18" i="47" s="1"/>
  <c r="O26" i="47" a="1"/>
  <c r="O26" i="47" s="1"/>
  <c r="L37" i="47" a="1"/>
  <c r="L37" i="47" s="1"/>
  <c r="E16" i="47" a="1"/>
  <c r="E16" i="47" s="1"/>
  <c r="I33" i="47" a="1"/>
  <c r="I33" i="47" s="1"/>
  <c r="H20" i="47" a="1"/>
  <c r="H20" i="47" s="1"/>
  <c r="F26" i="47" a="1"/>
  <c r="F26" i="47" s="1"/>
  <c r="O16" i="47" a="1"/>
  <c r="O16" i="47" s="1"/>
  <c r="N33" i="47" a="1"/>
  <c r="N33" i="47" s="1"/>
  <c r="R36" i="47" a="1"/>
  <c r="R36" i="47" s="1"/>
  <c r="F52" i="47" a="1"/>
  <c r="F52" i="47" s="1"/>
  <c r="Q42" i="47" a="1"/>
  <c r="Q42" i="47" s="1"/>
  <c r="L40" i="47" a="1"/>
  <c r="L40" i="47" s="1"/>
  <c r="F24" i="47" a="1"/>
  <c r="F24" i="47" s="1"/>
  <c r="H5" i="47" a="1"/>
  <c r="H5" i="47" s="1"/>
  <c r="K37" i="47" a="1"/>
  <c r="K37" i="47" s="1"/>
  <c r="I24" i="47" a="1"/>
  <c r="I24" i="47" s="1"/>
  <c r="I50" i="47" a="1"/>
  <c r="I50" i="47" s="1"/>
  <c r="F30" i="47" a="1"/>
  <c r="F30" i="47" s="1"/>
  <c r="L20" i="47" a="1"/>
  <c r="L20" i="47" s="1"/>
  <c r="P11" i="47" a="1"/>
  <c r="P11" i="47" s="1"/>
  <c r="I47" i="47" a="1"/>
  <c r="I47" i="47" s="1"/>
  <c r="N49" i="47" a="1"/>
  <c r="N49" i="47" s="1"/>
  <c r="K42" i="47" a="1"/>
  <c r="K42" i="47" s="1"/>
  <c r="E31" i="47" a="1"/>
  <c r="E31" i="47" s="1"/>
  <c r="K50" i="47" a="1"/>
  <c r="K50" i="47" s="1"/>
  <c r="R19" i="47" a="1"/>
  <c r="R19" i="47" s="1"/>
  <c r="K41" i="47" a="1"/>
  <c r="K41" i="47" s="1"/>
  <c r="C12" i="47"/>
  <c r="S28" i="47" a="1"/>
  <c r="S28" i="47" s="1"/>
  <c r="M16" i="47" a="1"/>
  <c r="M16" i="47" s="1"/>
  <c r="L30" i="47" a="1"/>
  <c r="L30" i="47" s="1"/>
  <c r="Q30" i="47" a="1"/>
  <c r="Q30" i="47" s="1"/>
  <c r="B38" i="47"/>
  <c r="R44" i="47" a="1"/>
  <c r="R44" i="47" s="1"/>
  <c r="R16" i="47" a="1"/>
  <c r="R16" i="47" s="1"/>
  <c r="H42" i="47" a="1"/>
  <c r="H42" i="47" s="1"/>
  <c r="M9" i="47" a="1"/>
  <c r="M9" i="47" s="1"/>
  <c r="B22" i="47"/>
  <c r="Q38" i="47" a="1"/>
  <c r="Q38" i="47" s="1"/>
  <c r="O27" i="47" a="1"/>
  <c r="O27" i="47" s="1"/>
  <c r="J28" i="47" a="1"/>
  <c r="J28" i="47" s="1"/>
  <c r="S51" i="47" a="1"/>
  <c r="S51" i="47" s="1"/>
  <c r="S7" i="47" a="1"/>
  <c r="S7" i="47" s="1"/>
  <c r="M19" i="47" a="1"/>
  <c r="M19" i="47" s="1"/>
  <c r="D11" i="47"/>
  <c r="E17" i="47" a="1"/>
  <c r="E17" i="47" s="1"/>
  <c r="Q19" i="47" a="1"/>
  <c r="Q19" i="47" s="1"/>
  <c r="B21" i="47"/>
  <c r="R51" i="47" a="1"/>
  <c r="R51" i="47" s="1"/>
  <c r="D47" i="47"/>
  <c r="J29" i="47" a="1"/>
  <c r="J29" i="47" s="1"/>
  <c r="O50" i="47" a="1"/>
  <c r="O50" i="47" s="1"/>
  <c r="K35" i="47" a="1"/>
  <c r="K35" i="47" s="1"/>
  <c r="S25" i="47" a="1"/>
  <c r="S25" i="47" s="1"/>
  <c r="F37" i="47" a="1"/>
  <c r="F37" i="47" s="1"/>
  <c r="P54" i="47" a="1"/>
  <c r="P54" i="47" s="1"/>
  <c r="L21" i="47" a="1"/>
  <c r="L21" i="47" s="1"/>
  <c r="L5" i="47" a="1"/>
  <c r="L5" i="47" s="1"/>
  <c r="D53" i="47"/>
  <c r="M21" i="47" a="1"/>
  <c r="M21" i="47" s="1"/>
  <c r="O34" i="47" a="1"/>
  <c r="O34" i="47" s="1"/>
  <c r="S49" i="47" a="1"/>
  <c r="S49" i="47" s="1"/>
  <c r="C42" i="47"/>
  <c r="J14" i="47" a="1"/>
  <c r="J14" i="47" s="1"/>
  <c r="H39" i="47" a="1"/>
  <c r="H39" i="47" s="1"/>
  <c r="I37" i="47" a="1"/>
  <c r="I37" i="47" s="1"/>
  <c r="K15" i="47" a="1"/>
  <c r="K15" i="47" s="1"/>
  <c r="N14" i="47" a="1"/>
  <c r="N14" i="47" s="1"/>
  <c r="C39" i="47"/>
  <c r="K49" i="47" a="1"/>
  <c r="K49" i="47" s="1"/>
  <c r="P12" i="47" a="1"/>
  <c r="P12" i="47" s="1"/>
  <c r="K36" i="47" a="1"/>
  <c r="K36" i="47" s="1"/>
  <c r="Q21" i="47" a="1"/>
  <c r="Q21" i="47" s="1"/>
  <c r="B26" i="47"/>
  <c r="G47" i="47" a="1"/>
  <c r="G47" i="47" s="1"/>
  <c r="S37" i="47" a="1"/>
  <c r="S37" i="47" s="1"/>
  <c r="M6" i="47" a="1"/>
  <c r="M6" i="47" s="1"/>
  <c r="L50" i="47" a="1"/>
  <c r="L50" i="47" s="1"/>
  <c r="L45" i="47" a="1"/>
  <c r="L45" i="47" s="1"/>
  <c r="I34" i="47" a="1"/>
  <c r="I34" i="47" s="1"/>
  <c r="S20" i="47" a="1"/>
  <c r="S20" i="47" s="1"/>
  <c r="Q25" i="47" a="1"/>
  <c r="Q25" i="47" s="1"/>
  <c r="I20" i="47" a="1"/>
  <c r="I20" i="47" s="1"/>
  <c r="B34" i="47"/>
  <c r="G51" i="47" a="1"/>
  <c r="G51" i="47" s="1"/>
  <c r="J24" i="47" a="1"/>
  <c r="J24" i="47" s="1"/>
  <c r="F34" i="47" a="1"/>
  <c r="F34" i="47" s="1"/>
  <c r="D22" i="47"/>
  <c r="S30" i="47" a="1"/>
  <c r="S30" i="47" s="1"/>
  <c r="Q47" i="47" a="1"/>
  <c r="Q47" i="47" s="1"/>
  <c r="K40" i="47" a="1"/>
  <c r="K40" i="47" s="1"/>
  <c r="S31" i="47" a="1"/>
  <c r="S31" i="47" s="1"/>
  <c r="J6" i="47" a="1"/>
  <c r="J6" i="47" s="1"/>
  <c r="G53" i="47" a="1"/>
  <c r="G53" i="47" s="1"/>
  <c r="R54" i="47" a="1"/>
  <c r="R54" i="47" s="1"/>
  <c r="Q16" i="47" a="1"/>
  <c r="Q16" i="47" s="1"/>
  <c r="R33" i="47" a="1"/>
  <c r="R33" i="47" s="1"/>
  <c r="M8" i="47" a="1"/>
  <c r="M8" i="47" s="1"/>
  <c r="F12" i="47" a="1"/>
  <c r="F12" i="47" s="1"/>
  <c r="D44" i="47"/>
  <c r="O14" i="47" a="1"/>
  <c r="O14" i="47" s="1"/>
  <c r="B19" i="47"/>
  <c r="P16" i="47" a="1"/>
  <c r="P16" i="47" s="1"/>
  <c r="R43" i="47" a="1"/>
  <c r="R43" i="47" s="1"/>
  <c r="E47" i="47" a="1"/>
  <c r="E47" i="47" s="1"/>
  <c r="Q36" i="47" a="1"/>
  <c r="Q36" i="47" s="1"/>
  <c r="S19" i="47" a="1"/>
  <c r="S19" i="47" s="1"/>
  <c r="L48" i="47" a="1"/>
  <c r="L48" i="47" s="1"/>
  <c r="G44" i="47" a="1"/>
  <c r="G44" i="47" s="1"/>
  <c r="K54" i="47" a="1"/>
  <c r="K54" i="47" s="1"/>
  <c r="O41" i="47" a="1"/>
  <c r="O41" i="47" s="1"/>
  <c r="G15" i="47" a="1"/>
  <c r="G15" i="47" s="1"/>
  <c r="O15" i="47" a="1"/>
  <c r="O15" i="47" s="1"/>
  <c r="C24" i="47"/>
  <c r="L18" i="47" a="1"/>
  <c r="L18" i="47" s="1"/>
  <c r="L36" i="47" a="1"/>
  <c r="L36" i="47" s="1"/>
  <c r="J20" i="47" a="1"/>
  <c r="J20" i="47" s="1"/>
  <c r="N35" i="47" a="1"/>
  <c r="N35" i="47" s="1"/>
  <c r="I49" i="47" a="1"/>
  <c r="I49" i="47" s="1"/>
  <c r="C33" i="47"/>
  <c r="J9" i="47" a="1"/>
  <c r="J9" i="47" s="1"/>
  <c r="Q8" i="47" a="1"/>
  <c r="Q8" i="47" s="1"/>
  <c r="F39" i="47" a="1"/>
  <c r="F39" i="47" s="1"/>
  <c r="J51" i="47" a="1"/>
  <c r="J51" i="47" s="1"/>
  <c r="B33" i="47"/>
  <c r="J49" i="47" a="1"/>
  <c r="J49" i="47" s="1"/>
  <c r="Q27" i="47" a="1"/>
  <c r="Q27" i="47" s="1"/>
  <c r="N18" i="47" a="1"/>
  <c r="N18" i="47" s="1"/>
  <c r="J44" i="47" a="1"/>
  <c r="J44" i="47" s="1"/>
  <c r="B45" i="47"/>
  <c r="J15" i="47" a="1"/>
  <c r="J15" i="47" s="1"/>
  <c r="H8" i="47" a="1"/>
  <c r="H8" i="47" s="1"/>
  <c r="R12" i="47" a="1"/>
  <c r="R12" i="47" s="1"/>
  <c r="J32" i="47" a="1"/>
  <c r="J32" i="47" s="1"/>
  <c r="R31" i="47" a="1"/>
  <c r="R31" i="47" s="1"/>
  <c r="B9" i="47"/>
  <c r="G9" i="47" a="1"/>
  <c r="G9" i="47" s="1"/>
  <c r="H11" i="47" a="1"/>
  <c r="H11" i="47" s="1"/>
  <c r="M35" i="47" a="1"/>
  <c r="M35" i="47" s="1"/>
  <c r="M37" i="47" a="1"/>
  <c r="M37" i="47" s="1"/>
  <c r="C35" i="47"/>
  <c r="K17" i="47" a="1"/>
  <c r="K17" i="47" s="1"/>
  <c r="M45" i="47" a="1"/>
  <c r="M45" i="47" s="1"/>
  <c r="Q7" i="47" a="1"/>
  <c r="Q7" i="47" s="1"/>
  <c r="C21" i="47"/>
  <c r="G49" i="47" a="1"/>
  <c r="G49" i="47" s="1"/>
  <c r="L38" i="47" a="1"/>
  <c r="L38" i="47" s="1"/>
  <c r="E6" i="47" a="1"/>
  <c r="E6" i="47" s="1"/>
  <c r="I6" i="47" a="1"/>
  <c r="I6" i="47" s="1"/>
  <c r="O28" i="47" a="1"/>
  <c r="O28" i="47" s="1"/>
  <c r="C36" i="47"/>
  <c r="P37" i="47" a="1"/>
  <c r="P37" i="47" s="1"/>
  <c r="I38" i="47" a="1"/>
  <c r="I38" i="47" s="1"/>
  <c r="M40" i="47" a="1"/>
  <c r="M40" i="47" s="1"/>
  <c r="N44" i="47" a="1"/>
  <c r="N44" i="47" s="1"/>
  <c r="E40" i="47" a="1"/>
  <c r="E40" i="47" s="1"/>
  <c r="C48" i="47"/>
  <c r="H13" i="47" a="1"/>
  <c r="H13" i="47" s="1"/>
  <c r="N39" i="47" a="1"/>
  <c r="N39" i="47" s="1"/>
  <c r="H12" i="47" a="1"/>
  <c r="H12" i="47" s="1"/>
  <c r="M50" i="47" a="1"/>
  <c r="M50" i="47" s="1"/>
  <c r="P40" i="47" a="1"/>
  <c r="P40" i="47" s="1"/>
  <c r="Q44" i="47" a="1"/>
  <c r="Q44" i="47" s="1"/>
  <c r="N24" i="47" a="1"/>
  <c r="N24" i="47" s="1"/>
  <c r="Q50" i="47" a="1"/>
  <c r="Q50" i="47" s="1"/>
  <c r="G38" i="47" a="1"/>
  <c r="G38" i="47" s="1"/>
  <c r="E8" i="47" a="1"/>
  <c r="E8" i="47" s="1"/>
  <c r="Q22" i="47" a="1"/>
  <c r="Q22" i="47" s="1"/>
  <c r="D14" i="47"/>
  <c r="P39" i="47" a="1"/>
  <c r="P39" i="47" s="1"/>
  <c r="S8" i="47" a="1"/>
  <c r="S8" i="47" s="1"/>
  <c r="N40" i="47" a="1"/>
  <c r="N40" i="47" s="1"/>
  <c r="M23" i="47" a="1"/>
  <c r="M23" i="47" s="1"/>
  <c r="O42" i="47" a="1"/>
  <c r="O42" i="47" s="1"/>
  <c r="H46" i="47" a="1"/>
  <c r="H46" i="47" s="1"/>
  <c r="E5" i="47" a="1"/>
  <c r="E5" i="47" s="1"/>
  <c r="P30" i="47" a="1"/>
  <c r="P30" i="47" s="1"/>
  <c r="D33" i="47"/>
  <c r="G34" i="47" a="1"/>
  <c r="G34" i="47" s="1"/>
  <c r="K28" i="47" a="1"/>
  <c r="K28" i="47" s="1"/>
  <c r="F49" i="47" a="1"/>
  <c r="F49" i="47" s="1"/>
  <c r="F11" i="47" a="1"/>
  <c r="F11" i="47" s="1"/>
  <c r="O45" i="47" a="1"/>
  <c r="O45" i="47" s="1"/>
  <c r="K33" i="47" a="1"/>
  <c r="K33" i="47" s="1"/>
  <c r="Q33" i="47" a="1"/>
  <c r="Q33" i="47" s="1"/>
  <c r="N51" i="47" a="1"/>
  <c r="N51" i="47" s="1"/>
  <c r="L33" i="47" a="1"/>
  <c r="L33" i="47" s="1"/>
  <c r="L52" i="47" a="1"/>
  <c r="L52" i="47" s="1"/>
  <c r="H48" i="47" a="1"/>
  <c r="H48" i="47" s="1"/>
  <c r="D48" i="47"/>
  <c r="K9" i="47" a="1"/>
  <c r="K9" i="47" s="1"/>
  <c r="D27" i="47"/>
  <c r="L17" i="47" a="1"/>
  <c r="L17" i="47" s="1"/>
  <c r="M28" i="47" a="1"/>
  <c r="M28" i="47" s="1"/>
  <c r="E28" i="47" a="1"/>
  <c r="E28" i="47" s="1"/>
  <c r="B49" i="47"/>
  <c r="S50" i="47" a="1"/>
  <c r="S50" i="47" s="1"/>
  <c r="G6" i="47" a="1"/>
  <c r="G6" i="47" s="1"/>
  <c r="O31" i="47" a="1"/>
  <c r="O31" i="47" s="1"/>
  <c r="M33" i="47" a="1"/>
  <c r="M33" i="47" s="1"/>
  <c r="G50" i="47" a="1"/>
  <c r="G50" i="47" s="1"/>
  <c r="G19" i="47" a="1"/>
  <c r="G19" i="47" s="1"/>
  <c r="I10" i="47" a="1"/>
  <c r="I10" i="47" s="1"/>
  <c r="I28" i="47" a="1"/>
  <c r="I28" i="47" s="1"/>
  <c r="O25" i="47" a="1"/>
  <c r="O25" i="47" s="1"/>
  <c r="D6" i="47"/>
  <c r="J31" i="47" a="1"/>
  <c r="J31" i="47" s="1"/>
  <c r="I35" i="47" a="1"/>
  <c r="I35" i="47" s="1"/>
  <c r="M18" i="47" a="1"/>
  <c r="M18" i="47" s="1"/>
  <c r="C16" i="47"/>
  <c r="I9" i="47" a="1"/>
  <c r="I9" i="47" s="1"/>
  <c r="S36" i="47" a="1"/>
  <c r="S36" i="47" s="1"/>
  <c r="H34" i="47" a="1"/>
  <c r="H34" i="47" s="1"/>
  <c r="P34" i="47" a="1"/>
  <c r="P34" i="47" s="1"/>
  <c r="L23" i="47" a="1"/>
  <c r="L23" i="47" s="1"/>
  <c r="F22" i="47" a="1"/>
  <c r="F22" i="47" s="1"/>
  <c r="L41" i="47" a="1"/>
  <c r="L41" i="47" s="1"/>
  <c r="M5" i="47" a="1"/>
  <c r="M5" i="47" s="1"/>
  <c r="J45" i="47" a="1"/>
  <c r="J45" i="47" s="1"/>
  <c r="N6" i="47" a="1"/>
  <c r="N6" i="47" s="1"/>
  <c r="E20" i="47" a="1"/>
  <c r="E20" i="47" s="1"/>
  <c r="O6" i="47" a="1"/>
  <c r="O6" i="47" s="1"/>
  <c r="P24" i="47" a="1"/>
  <c r="P24" i="47" s="1"/>
  <c r="I27" i="47" a="1"/>
  <c r="I27" i="47" s="1"/>
  <c r="G32" i="47" a="1"/>
  <c r="G32" i="47" s="1"/>
  <c r="G41" i="47" a="1"/>
  <c r="G41" i="47" s="1"/>
  <c r="H32" i="47" a="1"/>
  <c r="H32" i="47" s="1"/>
  <c r="J35" i="47" a="1"/>
  <c r="J35" i="47" s="1"/>
  <c r="F14" i="47" a="1"/>
  <c r="F14" i="47" s="1"/>
  <c r="D41" i="47"/>
  <c r="H53" i="47" a="1"/>
  <c r="H53" i="47" s="1"/>
  <c r="Q39" i="47" a="1"/>
  <c r="Q39" i="47" s="1"/>
  <c r="Q23" i="47" a="1"/>
  <c r="Q23" i="47" s="1"/>
  <c r="J36" i="47" a="1"/>
  <c r="J36" i="47" s="1"/>
  <c r="O53" i="47" a="1"/>
  <c r="O53" i="47" s="1"/>
  <c r="B54" i="47"/>
  <c r="F35" i="47" a="1"/>
  <c r="F35" i="47" s="1"/>
  <c r="E43" i="47" a="1"/>
  <c r="E43" i="47" s="1"/>
  <c r="R9" i="47" a="1"/>
  <c r="R9" i="47" s="1"/>
  <c r="D31" i="47"/>
  <c r="B41" i="47"/>
  <c r="C30" i="47"/>
  <c r="N12" i="47" a="1"/>
  <c r="N12" i="47" s="1"/>
  <c r="K29" i="47" a="1"/>
  <c r="K29" i="47" s="1"/>
  <c r="C40" i="47"/>
  <c r="F47" i="47" a="1"/>
  <c r="F47" i="47" s="1"/>
  <c r="L8" i="47" a="1"/>
  <c r="L8" i="47" s="1"/>
  <c r="R18" i="47" a="1"/>
  <c r="R18" i="47" s="1"/>
  <c r="G33" i="47" a="1"/>
  <c r="G33" i="47" s="1"/>
  <c r="K31" i="47" a="1"/>
  <c r="K31" i="47" s="1"/>
  <c r="E18" i="47" a="1"/>
  <c r="E18" i="47" s="1"/>
  <c r="F16" i="47" a="1"/>
  <c r="F16" i="47" s="1"/>
  <c r="M31" i="47" a="1"/>
  <c r="M31" i="47" s="1"/>
  <c r="H7" i="47" a="1"/>
  <c r="H7" i="47" s="1"/>
  <c r="M15" i="47" a="1"/>
  <c r="M15" i="47" s="1"/>
  <c r="M53" i="47" a="1"/>
  <c r="M53" i="47" s="1"/>
  <c r="N36" i="47" a="1"/>
  <c r="N36" i="47" s="1"/>
  <c r="F42" i="47" a="1"/>
  <c r="F42" i="47" s="1"/>
  <c r="N34" i="47" a="1"/>
  <c r="N34" i="47" s="1"/>
  <c r="I36" i="47" a="1"/>
  <c r="I36" i="47" s="1"/>
  <c r="G12" i="47" a="1"/>
  <c r="G12" i="47" s="1"/>
  <c r="C52" i="47"/>
  <c r="B23" i="47"/>
  <c r="H28" i="47" a="1"/>
  <c r="H28" i="47" s="1"/>
  <c r="J17" i="47" a="1"/>
  <c r="J17" i="47" s="1"/>
  <c r="D13" i="47"/>
  <c r="Q24" i="47" a="1"/>
  <c r="Q24" i="47" s="1"/>
  <c r="Q45" i="47" a="1"/>
  <c r="Q45" i="47" s="1"/>
  <c r="D29" i="47"/>
  <c r="S15" i="47" a="1"/>
  <c r="S15" i="47" s="1"/>
  <c r="I53" i="47" a="1"/>
  <c r="I53" i="47" s="1"/>
  <c r="E51" i="47" a="1"/>
  <c r="E51" i="47" s="1"/>
  <c r="F9" i="47" a="1"/>
  <c r="F9" i="47" s="1"/>
  <c r="O21" i="47" a="1"/>
  <c r="O21" i="47" s="1"/>
  <c r="B14" i="47"/>
  <c r="K51" i="47" a="1"/>
  <c r="K51" i="47" s="1"/>
  <c r="J7" i="47" a="1"/>
  <c r="J7" i="47" s="1"/>
  <c r="B39" i="47"/>
  <c r="I43" i="47" a="1"/>
  <c r="I43" i="47" s="1"/>
  <c r="M51" i="47" a="1"/>
  <c r="M51" i="47" s="1"/>
  <c r="J47" i="47" a="1"/>
  <c r="J47" i="47" s="1"/>
  <c r="I41" i="47" a="1"/>
  <c r="I41" i="47" s="1"/>
  <c r="Q17" i="47" a="1"/>
  <c r="Q17" i="47" s="1"/>
  <c r="N38" i="47" a="1"/>
  <c r="N38" i="47" s="1"/>
  <c r="S10" i="47" a="1"/>
  <c r="S10" i="47" s="1"/>
  <c r="D12" i="47"/>
  <c r="E29" i="47" a="1"/>
  <c r="E29" i="47" s="1"/>
  <c r="M32" i="47" a="1"/>
  <c r="M32" i="47" s="1"/>
  <c r="K23" i="47" a="1"/>
  <c r="K23" i="47" s="1"/>
  <c r="D54" i="47"/>
  <c r="F38" i="47" a="1"/>
  <c r="F38" i="47" s="1"/>
  <c r="E11" i="47" a="1"/>
  <c r="E11" i="47" s="1"/>
  <c r="N37" i="47" a="1"/>
  <c r="N37" i="47" s="1"/>
  <c r="P45" i="47" a="1"/>
  <c r="P45" i="47" s="1"/>
  <c r="S9" i="47" a="1"/>
  <c r="S9" i="47" s="1"/>
  <c r="H17" i="47" a="1"/>
  <c r="H17" i="47" s="1"/>
  <c r="K46" i="47" a="1"/>
  <c r="K46" i="47" s="1"/>
  <c r="E32" i="47" a="1"/>
  <c r="E32" i="47" s="1"/>
  <c r="P18" i="47" a="1"/>
  <c r="P18" i="47" s="1"/>
  <c r="K12" i="47" a="1"/>
  <c r="K12" i="47" s="1"/>
  <c r="E14" i="47" a="1"/>
  <c r="E14" i="47" s="1"/>
  <c r="O33" i="47" a="1"/>
  <c r="O33" i="47" s="1"/>
  <c r="H54" i="47" a="1"/>
  <c r="H54" i="47" s="1"/>
  <c r="B24" i="47"/>
  <c r="P28" i="47" a="1"/>
  <c r="P28" i="47" s="1"/>
  <c r="P38" i="47" a="1"/>
  <c r="P38" i="47" s="1"/>
  <c r="N48" i="47" a="1"/>
  <c r="N48" i="47" s="1"/>
  <c r="E39" i="47" a="1"/>
  <c r="E39" i="47" s="1"/>
  <c r="E38" i="47" a="1"/>
  <c r="E38" i="47" s="1"/>
  <c r="G48" i="47" a="1"/>
  <c r="G48" i="47" s="1"/>
  <c r="N54" i="47" a="1"/>
  <c r="N54" i="47" s="1"/>
  <c r="S26" i="47" a="1"/>
  <c r="S26" i="47" s="1"/>
  <c r="K47" i="47" a="1"/>
  <c r="K47" i="47" s="1"/>
  <c r="R52" i="47" a="1"/>
  <c r="R52" i="47" s="1"/>
  <c r="F31" i="47" a="1"/>
  <c r="F31" i="47" s="1"/>
  <c r="F53" i="47" a="1"/>
  <c r="F53" i="47" s="1"/>
  <c r="N23" i="47" a="1"/>
  <c r="N23" i="47" s="1"/>
  <c r="J30" i="47" a="1"/>
  <c r="J30" i="47" s="1"/>
  <c r="S33" i="47" a="1"/>
  <c r="S33" i="47" s="1"/>
  <c r="G26" i="47" a="1"/>
  <c r="G26" i="47" s="1"/>
  <c r="D5" i="47"/>
  <c r="L16" i="47" a="1"/>
  <c r="L16" i="47" s="1"/>
  <c r="F23" i="47" a="1"/>
  <c r="F23" i="47" s="1"/>
  <c r="Q46" i="47" a="1"/>
  <c r="Q46" i="47" s="1"/>
  <c r="N7" i="47" a="1"/>
  <c r="N7" i="47" s="1"/>
  <c r="B13" i="47"/>
  <c r="J25" i="47" a="1"/>
  <c r="J25" i="47" s="1"/>
  <c r="O35" i="47" a="1"/>
  <c r="O35" i="47" s="1"/>
  <c r="M48" i="47" a="1"/>
  <c r="M48" i="47" s="1"/>
  <c r="J21" i="47" a="1"/>
  <c r="J21" i="47" s="1"/>
  <c r="D19" i="47"/>
  <c r="C41" i="47"/>
  <c r="B25" i="47"/>
  <c r="F15" i="47" a="1"/>
  <c r="F15" i="47" s="1"/>
  <c r="N28" i="47" a="1"/>
  <c r="N28" i="47" s="1"/>
  <c r="D40" i="47"/>
  <c r="C53" i="47"/>
  <c r="O5" i="47" a="1"/>
  <c r="O5" i="47" s="1"/>
  <c r="P48" i="47" a="1"/>
  <c r="P48" i="47" s="1"/>
  <c r="E26" i="47" a="1"/>
  <c r="E26" i="47" s="1"/>
  <c r="K6" i="47" a="1"/>
  <c r="K6" i="47" s="1"/>
  <c r="H36" i="47" a="1"/>
  <c r="H36" i="47" s="1"/>
  <c r="B50" i="47"/>
  <c r="I13" i="47" a="1"/>
  <c r="I13" i="47" s="1"/>
  <c r="P27" i="47" a="1"/>
  <c r="P27" i="47" s="1"/>
  <c r="E27" i="47" a="1"/>
  <c r="E27" i="47" s="1"/>
  <c r="S42" i="47" a="1"/>
  <c r="S42" i="47" s="1"/>
  <c r="I7" i="47" a="1"/>
  <c r="I7" i="47" s="1"/>
  <c r="I46" i="47" a="1"/>
  <c r="I46" i="47" s="1"/>
  <c r="G23" i="47" a="1"/>
  <c r="G23" i="47" s="1"/>
  <c r="F46" i="47" a="1"/>
  <c r="F46" i="47" s="1"/>
  <c r="S22" i="47" a="1"/>
  <c r="S22" i="47" s="1"/>
  <c r="E48" i="47" a="1"/>
  <c r="E48" i="47" s="1"/>
  <c r="O44" i="47" a="1"/>
  <c r="O44" i="47" s="1"/>
  <c r="Q51" i="47" a="1"/>
  <c r="Q51" i="47" s="1"/>
  <c r="O7" i="47" a="1"/>
  <c r="O7" i="47" s="1"/>
  <c r="E52" i="47" a="1"/>
  <c r="E52" i="47" s="1"/>
  <c r="L14" i="47" a="1"/>
  <c r="L14" i="47" s="1"/>
  <c r="J40" i="47" a="1"/>
  <c r="J40" i="47" s="1"/>
  <c r="R37" i="47" a="1"/>
  <c r="R37" i="47" s="1"/>
  <c r="C14" i="47"/>
  <c r="B53" i="47"/>
  <c r="I16" i="47" a="1"/>
  <c r="I16" i="47" s="1"/>
  <c r="D15" i="47"/>
  <c r="D7" i="47"/>
  <c r="G39" i="47" a="1"/>
  <c r="G39" i="47" s="1"/>
  <c r="B16" i="47"/>
  <c r="E42" i="47" a="1"/>
  <c r="E42" i="47" s="1"/>
  <c r="S32" i="47" a="1"/>
  <c r="S32" i="47" s="1"/>
  <c r="L26" i="47" a="1"/>
  <c r="L26" i="47" s="1"/>
  <c r="E22" i="47" a="1"/>
  <c r="E22" i="47" s="1"/>
  <c r="O36" i="47" a="1"/>
  <c r="O36" i="47" s="1"/>
  <c r="G17" i="47" a="1"/>
  <c r="G17" i="47" s="1"/>
  <c r="P47" i="47" a="1"/>
  <c r="P47" i="47" s="1"/>
  <c r="P43" i="47" a="1"/>
  <c r="P43" i="47" s="1"/>
  <c r="C6" i="47"/>
  <c r="Q41" i="47" a="1"/>
  <c r="Q41" i="47" s="1"/>
  <c r="R50" i="47" a="1"/>
  <c r="R50" i="47" s="1"/>
  <c r="F13" i="47" a="1"/>
  <c r="F13" i="47" s="1"/>
  <c r="C45" i="47"/>
  <c r="D43" i="47"/>
  <c r="I17" i="47" a="1"/>
  <c r="I17" i="47" s="1"/>
  <c r="B15" i="47"/>
  <c r="F28" i="47" a="1"/>
  <c r="F28" i="47" s="1"/>
  <c r="L44" i="47" a="1"/>
  <c r="L44" i="47" s="1"/>
  <c r="H29" i="47" a="1"/>
  <c r="H29" i="47" s="1"/>
  <c r="B40" i="47"/>
  <c r="I15" i="47" a="1"/>
  <c r="I15" i="47" s="1"/>
  <c r="H23" i="47" a="1"/>
  <c r="H23" i="47" s="1"/>
  <c r="M38" i="47" a="1"/>
  <c r="M38" i="47" s="1"/>
  <c r="F51" i="47" a="1"/>
  <c r="F51" i="47" s="1"/>
  <c r="G10" i="47" a="1"/>
  <c r="G10" i="47" s="1"/>
  <c r="K32" i="47" a="1"/>
  <c r="K32" i="47" s="1"/>
  <c r="E46" i="47" a="1"/>
  <c r="E46" i="47" s="1"/>
  <c r="K52" i="47" a="1"/>
  <c r="K52" i="47" s="1"/>
  <c r="R13" i="47" a="1"/>
  <c r="R13" i="47" s="1"/>
  <c r="J18" i="47" a="1"/>
  <c r="J18" i="47" s="1"/>
  <c r="G22" i="47" a="1"/>
  <c r="G22" i="47" s="1"/>
  <c r="F33" i="47" a="1"/>
  <c r="F33" i="47" s="1"/>
  <c r="K24" i="47" a="1"/>
  <c r="K24" i="47" s="1"/>
  <c r="K18" i="47" a="1"/>
  <c r="K18" i="47" s="1"/>
  <c r="L32" i="47" a="1"/>
  <c r="L32" i="47" s="1"/>
  <c r="Q10" i="47" a="1"/>
  <c r="Q10" i="47" s="1"/>
  <c r="D17" i="47"/>
  <c r="L47" i="47" a="1"/>
  <c r="L47" i="47" s="1"/>
  <c r="J11" i="47" a="1"/>
  <c r="J11" i="47" s="1"/>
  <c r="P25" i="47" a="1"/>
  <c r="P25" i="47" s="1"/>
  <c r="F8" i="47" a="1"/>
  <c r="F8" i="47" s="1"/>
  <c r="O48" i="47" a="1"/>
  <c r="O48" i="47" s="1"/>
  <c r="F36" i="47" a="1"/>
  <c r="F36" i="47" s="1"/>
  <c r="S53" i="47" a="1"/>
  <c r="S53" i="47" s="1"/>
  <c r="P31" i="47" a="1"/>
  <c r="P31" i="47" s="1"/>
  <c r="G28" i="47" a="1"/>
  <c r="G28" i="47" s="1"/>
  <c r="R45" i="47" a="1"/>
  <c r="R45" i="47" s="1"/>
  <c r="G35" i="47" a="1"/>
  <c r="G35" i="47" s="1"/>
  <c r="C29" i="47"/>
  <c r="J34" i="47" a="1"/>
  <c r="J34" i="47" s="1"/>
  <c r="M36" i="47" a="1"/>
  <c r="M36" i="47" s="1"/>
  <c r="M54" i="47" a="1"/>
  <c r="M54" i="47" s="1"/>
  <c r="F40" i="47" a="1"/>
  <c r="F40" i="47" s="1"/>
  <c r="S24" i="47" a="1"/>
  <c r="S24" i="47" s="1"/>
  <c r="L10" i="47" a="1"/>
  <c r="L10" i="47" s="1"/>
  <c r="O54" i="47" a="1"/>
  <c r="O54" i="47" s="1"/>
  <c r="J5" i="47" a="1"/>
  <c r="J5" i="47" s="1"/>
  <c r="L25" i="47" a="1"/>
  <c r="L25" i="47" s="1"/>
  <c r="M20" i="47" a="1"/>
  <c r="M20" i="47" s="1"/>
  <c r="E41" i="47" a="1"/>
  <c r="E41" i="47" s="1"/>
  <c r="C43" i="47"/>
  <c r="P33" i="47" a="1"/>
  <c r="P33" i="47" s="1"/>
  <c r="O22" i="47" a="1"/>
  <c r="O22" i="47" s="1"/>
  <c r="K19" i="47" a="1"/>
  <c r="K19" i="47" s="1"/>
  <c r="F54" i="47" a="1"/>
  <c r="F54" i="47" s="1"/>
  <c r="O8" i="47" a="1"/>
  <c r="O8" i="47" s="1"/>
  <c r="D49" i="47"/>
  <c r="K5" i="47" a="1"/>
  <c r="K5" i="47" s="1"/>
  <c r="O23" i="47" a="1"/>
  <c r="O23" i="47" s="1"/>
  <c r="H51" i="47" a="1"/>
  <c r="H51" i="47" s="1"/>
  <c r="I39" i="47" a="1"/>
  <c r="I39" i="47" s="1"/>
  <c r="I5" i="47" a="1"/>
  <c r="I5" i="47" s="1"/>
  <c r="C44" i="47"/>
  <c r="P32" i="47" a="1"/>
  <c r="P32" i="47" s="1"/>
  <c r="H47" i="47" a="1"/>
  <c r="H47" i="47" s="1"/>
  <c r="B20" i="47"/>
  <c r="D52" i="47"/>
  <c r="B12" i="47"/>
  <c r="Q54" i="47" a="1"/>
  <c r="Q54" i="47" s="1"/>
  <c r="N15" i="47" a="1"/>
  <c r="N15" i="47" s="1"/>
  <c r="S41" i="47" a="1"/>
  <c r="S41" i="47" s="1"/>
  <c r="H33" i="47" a="1"/>
  <c r="H33" i="47" s="1"/>
  <c r="Q18" i="47" a="1"/>
  <c r="Q18" i="47" s="1"/>
  <c r="R26" i="47" a="1"/>
  <c r="R26" i="47" s="1"/>
  <c r="H19" i="47" a="1"/>
  <c r="H19" i="47" s="1"/>
  <c r="D23" i="47"/>
  <c r="K39" i="47" a="1"/>
  <c r="K39" i="47" s="1"/>
  <c r="H50" i="47" a="1"/>
  <c r="H50" i="47" s="1"/>
  <c r="D28" i="47"/>
  <c r="Q14" i="47" a="1"/>
  <c r="Q14" i="47" s="1"/>
  <c r="C32" i="47"/>
  <c r="D26" i="47"/>
  <c r="S43" i="47" a="1"/>
  <c r="S43" i="47" s="1"/>
  <c r="D30" i="47"/>
  <c r="G46" i="47" a="1"/>
  <c r="G46" i="47" s="1"/>
  <c r="R48" i="47" a="1"/>
  <c r="R48" i="47" s="1"/>
  <c r="G14" i="47" a="1"/>
  <c r="G14" i="47" s="1"/>
  <c r="E44" i="47" a="1"/>
  <c r="E44" i="47" s="1"/>
  <c r="Q15" i="47" a="1"/>
  <c r="Q15" i="47" s="1"/>
  <c r="P22" i="47" a="1"/>
  <c r="P22" i="47" s="1"/>
  <c r="O17" i="47" a="1"/>
  <c r="O17" i="47" s="1"/>
  <c r="Q52" i="47" a="1"/>
  <c r="Q52" i="47" s="1"/>
  <c r="H24" i="47" a="1"/>
  <c r="H24" i="47" s="1"/>
  <c r="G31" i="47" a="1"/>
  <c r="G31" i="47" s="1"/>
  <c r="D9" i="47"/>
  <c r="P10" i="47" a="1"/>
  <c r="P10" i="47" s="1"/>
  <c r="O32" i="47" a="1"/>
  <c r="O32" i="47" s="1"/>
  <c r="H30" i="47" a="1"/>
  <c r="H30" i="47" s="1"/>
  <c r="R17" i="47" a="1"/>
  <c r="R17" i="47" s="1"/>
  <c r="B52" i="47"/>
  <c r="K21" i="47" a="1"/>
  <c r="K21" i="47" s="1"/>
  <c r="Q26" i="47" a="1"/>
  <c r="Q26" i="47" s="1"/>
  <c r="I52" i="47" a="1"/>
  <c r="I52" i="47" s="1"/>
  <c r="B46" i="47"/>
  <c r="H18" i="47" a="1"/>
  <c r="H18" i="47" s="1"/>
  <c r="E49" i="47" a="1"/>
  <c r="E49" i="47" s="1"/>
  <c r="I25" i="47" a="1"/>
  <c r="I25" i="47" s="1"/>
  <c r="I42" i="47" a="1"/>
  <c r="I42" i="47" s="1"/>
  <c r="E30" i="47" a="1"/>
  <c r="E30" i="47" s="1"/>
  <c r="M27" i="47" a="1"/>
  <c r="M27" i="47" s="1"/>
  <c r="G43" i="47" a="1"/>
  <c r="G43" i="47" s="1"/>
  <c r="F45" i="47" a="1"/>
  <c r="F45" i="47" s="1"/>
  <c r="L34" i="47" a="1"/>
  <c r="L34" i="47" s="1"/>
  <c r="C17" i="47"/>
  <c r="L29" i="47" a="1"/>
  <c r="L29" i="47" s="1"/>
  <c r="J43" i="47" a="1"/>
  <c r="J43" i="47" s="1"/>
  <c r="N46" i="47" a="1"/>
  <c r="N46" i="47" s="1"/>
  <c r="P6" i="47" a="1"/>
  <c r="P6" i="47" s="1"/>
  <c r="S11" i="47" a="1"/>
  <c r="S11" i="47" s="1"/>
  <c r="S12" i="47" a="1"/>
  <c r="S12" i="47" s="1"/>
  <c r="C26" i="47"/>
  <c r="O19" i="47" a="1"/>
  <c r="O19" i="47" s="1"/>
  <c r="F5" i="47" a="1"/>
  <c r="F5" i="47" s="1"/>
  <c r="D20" i="47"/>
  <c r="L11" i="47" a="1"/>
  <c r="L11" i="47" s="1"/>
  <c r="H14" i="47" a="1"/>
  <c r="H14" i="47" s="1"/>
  <c r="S39" i="47" a="1"/>
  <c r="S39" i="47" s="1"/>
  <c r="J37" i="47" a="1"/>
  <c r="J37" i="47" s="1"/>
  <c r="C31" i="47"/>
  <c r="E54" i="47" a="1"/>
  <c r="E54" i="47" s="1"/>
  <c r="S13" i="47" a="1"/>
  <c r="S13" i="47" s="1"/>
  <c r="P21" i="47" a="1"/>
  <c r="P21" i="47" s="1"/>
  <c r="F25" i="47" a="1"/>
  <c r="F25" i="47" s="1"/>
  <c r="O40" i="47" a="1"/>
  <c r="O40" i="47" s="1"/>
  <c r="M13" i="47" a="1"/>
  <c r="M13" i="47" s="1"/>
  <c r="N47" i="47" a="1"/>
  <c r="N47" i="47" s="1"/>
  <c r="E37" i="47" a="1"/>
  <c r="E37" i="47" s="1"/>
  <c r="P14" i="47" a="1"/>
  <c r="P14" i="47" s="1"/>
  <c r="J12" i="47" a="1"/>
  <c r="J12" i="47" s="1"/>
  <c r="E45" i="47" a="1"/>
  <c r="E45" i="47" s="1"/>
  <c r="B11" i="47"/>
  <c r="E50" i="47" a="1"/>
  <c r="E50" i="47" s="1"/>
  <c r="M52" i="47" a="1"/>
  <c r="M52" i="47" s="1"/>
  <c r="M41" i="47" a="1"/>
  <c r="M41" i="47" s="1"/>
  <c r="M44" i="47" a="1"/>
  <c r="M44" i="47" s="1"/>
  <c r="G25" i="47" a="1"/>
  <c r="G25" i="47" s="1"/>
  <c r="D46" i="47"/>
  <c r="S40" i="47" a="1"/>
  <c r="S40" i="47" s="1"/>
  <c r="O37" i="47" a="1"/>
  <c r="O37" i="47" s="1"/>
  <c r="F17" i="47" a="1"/>
  <c r="F17" i="47" s="1"/>
  <c r="B27" i="47"/>
  <c r="R11" i="47" a="1"/>
  <c r="R11" i="47" s="1"/>
  <c r="L19" i="47" a="1"/>
  <c r="L19" i="47" s="1"/>
  <c r="G37" i="47" a="1"/>
  <c r="G37" i="47" s="1"/>
  <c r="M34" i="47" a="1"/>
  <c r="M34" i="47" s="1"/>
  <c r="R34" i="47" a="1"/>
  <c r="R34" i="47" s="1"/>
  <c r="C20" i="47"/>
  <c r="Q11" i="47" a="1"/>
  <c r="Q11" i="47" s="1"/>
  <c r="G11" i="47" a="1"/>
  <c r="G11" i="47" s="1"/>
  <c r="I26" i="47" a="1"/>
  <c r="I26" i="47" s="1"/>
  <c r="B36" i="47"/>
  <c r="J13" i="47" a="1"/>
  <c r="J13" i="47" s="1"/>
  <c r="H40" i="47" a="1"/>
  <c r="H40" i="47" s="1"/>
  <c r="S18" i="47" a="1"/>
  <c r="S18" i="47" s="1"/>
  <c r="L22" i="47" a="1"/>
  <c r="L22" i="47" s="1"/>
  <c r="B47" i="47"/>
  <c r="I51" i="47" a="1"/>
  <c r="I51" i="47" s="1"/>
  <c r="C11" i="47"/>
  <c r="N11" i="47" a="1"/>
  <c r="N11" i="47" s="1"/>
  <c r="H10" i="47" a="1"/>
  <c r="H10" i="47" s="1"/>
  <c r="M43" i="47" a="1"/>
  <c r="M43" i="47" s="1"/>
  <c r="R8" i="47" a="1"/>
  <c r="R8" i="47" s="1"/>
  <c r="J33" i="47" a="1"/>
  <c r="J33" i="47" s="1"/>
  <c r="J8" i="47" a="1"/>
  <c r="J8" i="47" s="1"/>
  <c r="D16" i="47"/>
  <c r="M10" i="47" a="1"/>
  <c r="M10" i="47" s="1"/>
  <c r="Q31" i="47" a="1"/>
  <c r="Q31" i="47" s="1"/>
  <c r="J52" i="47" a="1"/>
  <c r="J52" i="47" s="1"/>
  <c r="J19" i="47" a="1"/>
  <c r="J19" i="47" s="1"/>
  <c r="C28" i="47"/>
  <c r="O24" i="47" a="1"/>
  <c r="O24" i="47" s="1"/>
  <c r="O11" i="47" a="1"/>
  <c r="O11" i="47" s="1"/>
  <c r="C47" i="47"/>
  <c r="Q13" i="47" a="1"/>
  <c r="Q13" i="47" s="1"/>
  <c r="L24" i="47" a="1"/>
  <c r="L24" i="47" s="1"/>
  <c r="C46" i="47"/>
  <c r="I22" i="47" a="1"/>
  <c r="I22" i="47" s="1"/>
  <c r="B35" i="47"/>
  <c r="L28" i="47" a="1"/>
  <c r="L28" i="47" s="1"/>
  <c r="J26" i="47" a="1"/>
  <c r="J26" i="47" s="1"/>
  <c r="E19" i="47" a="1"/>
  <c r="E19" i="47" s="1"/>
  <c r="Q49" i="47" a="1"/>
  <c r="Q49" i="47" s="1"/>
  <c r="D18" i="47"/>
  <c r="K43" i="47" a="1"/>
  <c r="K43" i="47" s="1"/>
  <c r="N25" i="47" a="1"/>
  <c r="N25" i="47" s="1"/>
  <c r="R7" i="47" a="1"/>
  <c r="R7" i="47" s="1"/>
  <c r="P23" i="47" a="1"/>
  <c r="P23" i="47" s="1"/>
  <c r="I32" i="47" a="1"/>
  <c r="I32" i="47" s="1"/>
  <c r="R24" i="47" a="1"/>
  <c r="R24" i="47" s="1"/>
  <c r="B31" i="47"/>
  <c r="M11" i="47" a="1"/>
  <c r="M11" i="47" s="1"/>
  <c r="E35" i="47" a="1"/>
  <c r="E35" i="47" s="1"/>
  <c r="K11" i="47" a="1"/>
  <c r="K11" i="47" s="1"/>
  <c r="L27" i="47" a="1"/>
  <c r="L27" i="47" s="1"/>
  <c r="L43" i="47" a="1"/>
  <c r="L43" i="47" s="1"/>
  <c r="N9" i="47" a="1"/>
  <c r="N9" i="47" s="1"/>
  <c r="F44" i="47" a="1"/>
  <c r="F44" i="47" s="1"/>
  <c r="F21" i="47" a="1"/>
  <c r="F21" i="47" s="1"/>
  <c r="M17" i="47" a="1"/>
  <c r="M17" i="47" s="1"/>
  <c r="N42" i="47" a="1"/>
  <c r="N42" i="47" s="1"/>
  <c r="L49" i="47" a="1"/>
  <c r="L49" i="47" s="1"/>
  <c r="M12" i="47" a="1"/>
  <c r="M12" i="47" s="1"/>
  <c r="H27" i="47" a="1"/>
  <c r="H27" i="47" s="1"/>
  <c r="F19" i="47" a="1"/>
  <c r="F19" i="47" s="1"/>
  <c r="N13" i="47" a="1"/>
  <c r="N13" i="47" s="1"/>
  <c r="B48" i="47"/>
  <c r="S29" i="47" a="1"/>
  <c r="S29" i="47" s="1"/>
  <c r="R38" i="47" a="1"/>
  <c r="R38" i="47" s="1"/>
  <c r="J53" i="47" a="1"/>
  <c r="J53" i="47" s="1"/>
  <c r="O10" i="47" a="1"/>
  <c r="O10" i="47" s="1"/>
  <c r="G5" i="47" a="1"/>
  <c r="G5" i="47" s="1"/>
  <c r="N53" i="47" a="1"/>
  <c r="N53" i="47" s="1"/>
  <c r="M14" i="47" a="1"/>
  <c r="M14" i="47" s="1"/>
  <c r="R27" i="47" a="1"/>
  <c r="R27" i="47" s="1"/>
  <c r="M25" i="47" a="1"/>
  <c r="M25" i="47" s="1"/>
  <c r="H16" i="47" a="1"/>
  <c r="H16" i="47" s="1"/>
  <c r="I40" i="47" a="1"/>
  <c r="I40" i="47" s="1"/>
  <c r="L12" i="47" a="1"/>
  <c r="L12" i="47" s="1"/>
  <c r="P46" i="47" a="1"/>
  <c r="P46" i="47" s="1"/>
  <c r="S21" i="47" a="1"/>
  <c r="S21" i="47" s="1"/>
  <c r="B42" i="47"/>
  <c r="S17" i="47" a="1"/>
  <c r="S17" i="47" s="1"/>
  <c r="G7" i="47" a="1"/>
  <c r="G7" i="47" s="1"/>
  <c r="S23" i="47" a="1"/>
  <c r="S23" i="47" s="1"/>
  <c r="Q9" i="47" a="1"/>
  <c r="Q9" i="47" s="1"/>
  <c r="P13" i="47" a="1"/>
  <c r="P13" i="47" s="1"/>
  <c r="R30" i="47" a="1"/>
  <c r="R30" i="47" s="1"/>
  <c r="C38" i="47"/>
  <c r="E36" i="47" a="1"/>
  <c r="E36" i="47" s="1"/>
  <c r="O49" i="47" a="1"/>
  <c r="O49" i="47" s="1"/>
  <c r="Q6" i="47" a="1"/>
  <c r="Q6" i="47" s="1"/>
  <c r="R47" i="47" a="1"/>
  <c r="R47" i="47" s="1"/>
  <c r="S35" i="47" a="1"/>
  <c r="S35" i="47" s="1"/>
  <c r="M30" i="47" a="1"/>
  <c r="M30" i="47" s="1"/>
  <c r="B44" i="47"/>
  <c r="P53" i="47" a="1"/>
  <c r="P53" i="47" s="1"/>
  <c r="L42" i="47" a="1"/>
  <c r="L42" i="47" s="1"/>
  <c r="K27" i="47" a="1"/>
  <c r="K27" i="47" s="1"/>
  <c r="Q32" i="47" a="1"/>
  <c r="Q32" i="47" s="1"/>
  <c r="K22" i="47" a="1"/>
  <c r="K22" i="47" s="1"/>
  <c r="R6" i="47" a="1"/>
  <c r="R6" i="47" s="1"/>
  <c r="E12" i="47" a="1"/>
  <c r="E12" i="47" s="1"/>
  <c r="I31" i="47" a="1"/>
  <c r="I31" i="47" s="1"/>
  <c r="F29" i="47" a="1"/>
  <c r="F29" i="47" s="1"/>
  <c r="E33" i="47" a="1"/>
  <c r="E33" i="47" s="1"/>
  <c r="J22" i="47" a="1"/>
  <c r="J22" i="47" s="1"/>
  <c r="L15" i="47" a="1"/>
  <c r="L15" i="47" s="1"/>
  <c r="Q40" i="47" a="1"/>
  <c r="Q40" i="47" s="1"/>
  <c r="L35" i="47" a="1"/>
  <c r="L35" i="47" s="1"/>
  <c r="N29" i="47" a="1"/>
  <c r="N29" i="47" s="1"/>
  <c r="D42" i="47"/>
  <c r="L7" i="47" a="1"/>
  <c r="L7" i="47" s="1"/>
  <c r="N43" i="47" a="1"/>
  <c r="N43" i="47" s="1"/>
  <c r="K13" i="47" a="1"/>
  <c r="K13" i="47" s="1"/>
  <c r="P7" i="47" a="1"/>
  <c r="P7" i="47" s="1"/>
  <c r="I11" i="47" a="1"/>
  <c r="I11" i="47" s="1"/>
  <c r="S27" i="47" a="1"/>
  <c r="S27" i="47" s="1"/>
  <c r="O46" i="47" a="1"/>
  <c r="O46" i="47" s="1"/>
  <c r="N5" i="47" a="1"/>
  <c r="N5" i="47" s="1"/>
  <c r="E15" i="47" a="1"/>
  <c r="E15" i="47" s="1"/>
  <c r="F27" i="47" a="1"/>
  <c r="F27" i="47" s="1"/>
  <c r="P29" i="47" a="1"/>
  <c r="P29" i="47" s="1"/>
  <c r="Q48" i="47" a="1"/>
  <c r="Q48" i="47" s="1"/>
  <c r="C22" i="47"/>
  <c r="C9" i="47"/>
  <c r="L46" i="47" a="1"/>
  <c r="L46" i="47" s="1"/>
  <c r="B18" i="47"/>
  <c r="J39" i="47" a="1"/>
  <c r="J39" i="47" s="1"/>
  <c r="O20" i="47" a="1"/>
  <c r="O20" i="47" s="1"/>
  <c r="O13" i="47" a="1"/>
  <c r="O13" i="47" s="1"/>
  <c r="H35" i="47" a="1"/>
  <c r="H35" i="47" s="1"/>
  <c r="B8" i="47"/>
  <c r="E13" i="47" a="1"/>
  <c r="E13" i="47" s="1"/>
  <c r="P19" i="47" a="1"/>
  <c r="P19" i="47" s="1"/>
  <c r="H22" i="47" a="1"/>
  <c r="H22" i="47" s="1"/>
  <c r="D24" i="47"/>
  <c r="N50" i="47" a="1"/>
  <c r="N50" i="47" s="1"/>
  <c r="H37" i="47" a="1"/>
  <c r="H37" i="47" s="1"/>
  <c r="D45" i="47"/>
  <c r="I44" i="47" a="1"/>
  <c r="I44" i="47" s="1"/>
  <c r="P49" i="47" a="1"/>
  <c r="P49" i="47" s="1"/>
  <c r="B43" i="47"/>
  <c r="F41" i="47" a="1"/>
  <c r="F41" i="47" s="1"/>
  <c r="S14" i="47" a="1"/>
  <c r="S14" i="47" s="1"/>
  <c r="H31" i="47" a="1"/>
  <c r="H31" i="47" s="1"/>
  <c r="J46" i="47" a="1"/>
  <c r="J46" i="47" s="1"/>
  <c r="I48" i="47" a="1"/>
  <c r="I48" i="47" s="1"/>
  <c r="R49" i="47" a="1"/>
  <c r="R49" i="47" s="1"/>
  <c r="C23" i="47"/>
  <c r="O39" i="47" a="1"/>
  <c r="O39" i="47" s="1"/>
  <c r="L53" i="47" a="1"/>
  <c r="L53" i="47" s="1"/>
  <c r="R25" i="47" a="1"/>
  <c r="R25" i="47" s="1"/>
  <c r="B37" i="47"/>
  <c r="H9" i="47" a="1"/>
  <c r="H9" i="47" s="1"/>
  <c r="G45" i="47" a="1"/>
  <c r="G45" i="47" s="1"/>
  <c r="D39" i="47"/>
  <c r="M39" i="47" a="1"/>
  <c r="M39" i="47" s="1"/>
  <c r="E24" i="47" a="1"/>
  <c r="E24" i="47" s="1"/>
  <c r="H26" i="47" a="1"/>
  <c r="H26" i="47" s="1"/>
  <c r="R21" i="47" a="1"/>
  <c r="R21" i="47" s="1"/>
  <c r="P5" i="47" a="1"/>
  <c r="P5" i="47" s="1"/>
  <c r="N17" i="47" a="1"/>
  <c r="N17" i="47" s="1"/>
  <c r="N16" i="47" a="1"/>
  <c r="N16" i="47" s="1"/>
  <c r="S44" i="47" a="1"/>
  <c r="S44" i="47" s="1"/>
  <c r="M42" i="47" a="1"/>
  <c r="M42" i="47" s="1"/>
  <c r="I54" i="47" a="1"/>
  <c r="I54" i="47" s="1"/>
  <c r="D21" i="47"/>
  <c r="S46" i="47" a="1"/>
  <c r="S46" i="47" s="1"/>
  <c r="B28" i="47"/>
  <c r="S54" i="47" a="1"/>
  <c r="S54" i="47" s="1"/>
  <c r="O12" i="47" a="1"/>
  <c r="O12" i="47" s="1"/>
  <c r="I19" i="47" a="1"/>
  <c r="I19" i="47" s="1"/>
  <c r="J54" i="47" a="1"/>
  <c r="J54" i="47" s="1"/>
  <c r="D32" i="47"/>
  <c r="S45" i="47" a="1"/>
  <c r="S45" i="47" s="1"/>
  <c r="R23" i="47" a="1"/>
  <c r="R23" i="47" s="1"/>
  <c r="L39" i="47" a="1"/>
  <c r="L39" i="47" s="1"/>
  <c r="I18" i="47" a="1"/>
  <c r="I18" i="47" s="1"/>
  <c r="B29" i="47"/>
  <c r="K53" i="47" a="1"/>
  <c r="K53" i="47" s="1"/>
  <c r="Q37" i="47" a="1"/>
  <c r="Q37" i="47" s="1"/>
  <c r="B32" i="47"/>
  <c r="F50" i="47" a="1"/>
  <c r="F50" i="47" s="1"/>
  <c r="S48" i="47" a="1"/>
  <c r="S48" i="47" s="1"/>
  <c r="G36" i="47" a="1"/>
  <c r="G36" i="47" s="1"/>
  <c r="K38" i="47" a="1"/>
  <c r="K38" i="47" s="1"/>
  <c r="L31" i="47" a="1"/>
  <c r="L31" i="47" s="1"/>
  <c r="D51" i="47"/>
  <c r="P50" i="47" a="1"/>
  <c r="P50" i="47" s="1"/>
  <c r="S6" i="47" a="1"/>
  <c r="S6" i="47" s="1"/>
  <c r="H44" i="47" a="1"/>
  <c r="H44" i="47" s="1"/>
  <c r="O51" i="47" a="1"/>
  <c r="O51" i="47" s="1"/>
  <c r="O43" i="47" a="1"/>
  <c r="O43" i="47" s="1"/>
  <c r="G16" i="47" a="1"/>
  <c r="G16" i="47" s="1"/>
  <c r="N45" i="47" a="1"/>
  <c r="N45" i="47" s="1"/>
  <c r="E23" i="47" a="1"/>
  <c r="E23" i="47" s="1"/>
  <c r="I29" i="47" a="1"/>
  <c r="I29" i="47" s="1"/>
  <c r="H38" i="47" a="1"/>
  <c r="H38" i="47" s="1"/>
  <c r="B10" i="47"/>
  <c r="I45" i="47" a="1"/>
  <c r="I45" i="47" s="1"/>
  <c r="M24" i="47" a="1"/>
  <c r="M24" i="47" s="1"/>
  <c r="P15" i="47" a="1"/>
  <c r="P15" i="47" s="1"/>
  <c r="O47" i="47" a="1"/>
  <c r="O47" i="47" s="1"/>
  <c r="I23" i="47" a="1"/>
  <c r="I23" i="47" s="1"/>
  <c r="N26" i="47" a="1"/>
  <c r="N26" i="47" s="1"/>
  <c r="H21" i="47" a="1"/>
  <c r="H21" i="47" s="1"/>
  <c r="C34" i="47"/>
  <c r="B17" i="47"/>
  <c r="L6" i="47" a="1"/>
  <c r="L6" i="47" s="1"/>
  <c r="B6" i="47"/>
  <c r="C10" i="47"/>
  <c r="O52" i="47" a="1"/>
  <c r="O52" i="47" s="1"/>
  <c r="M46" i="47" a="1"/>
  <c r="M46" i="47" s="1"/>
  <c r="R28" i="47" a="1"/>
  <c r="R28" i="47" s="1"/>
  <c r="P42" i="47" a="1"/>
  <c r="P42" i="47" s="1"/>
  <c r="H6" i="47" a="1"/>
  <c r="H6" i="47" s="1"/>
  <c r="D34" i="47"/>
  <c r="K8" i="47" a="1"/>
  <c r="K8" i="47" s="1"/>
  <c r="K10" i="47" a="1"/>
  <c r="K10" i="47" s="1"/>
  <c r="F7" i="47" a="1"/>
  <c r="F7" i="47" s="1"/>
  <c r="J42" i="47" a="1"/>
  <c r="J42" i="47" s="1"/>
  <c r="R10" i="47" a="1"/>
  <c r="R10" i="47" s="1"/>
  <c r="E9" i="47" a="1"/>
  <c r="E9" i="47" s="1"/>
  <c r="D10" i="47"/>
  <c r="N19" i="47" a="1"/>
  <c r="N19" i="47" s="1"/>
  <c r="H43" i="47" a="1"/>
  <c r="H43" i="47" s="1"/>
  <c r="C15" i="47"/>
  <c r="K26" i="47" a="1"/>
  <c r="K26" i="47" s="1"/>
  <c r="D25" i="47"/>
  <c r="L51" i="47" a="1"/>
  <c r="L51" i="47" s="1"/>
  <c r="E21" i="47" a="1"/>
  <c r="E21" i="47" s="1"/>
  <c r="R46" i="47" a="1"/>
  <c r="R46" i="47" s="1"/>
  <c r="C37" i="47"/>
  <c r="S52" i="47" a="1"/>
  <c r="S52" i="47" s="1"/>
  <c r="R35" i="47" a="1"/>
  <c r="R35" i="47" s="1"/>
  <c r="C49" i="47"/>
  <c r="H45" i="47" a="1"/>
  <c r="H45" i="47" s="1"/>
  <c r="N22" i="47" a="1"/>
  <c r="N22" i="47" s="1"/>
  <c r="I14" i="47" a="1"/>
  <c r="I14" i="47" s="1"/>
  <c r="P44" i="47" a="1"/>
  <c r="P44" i="47" s="1"/>
  <c r="S5" i="47" a="1"/>
  <c r="S5" i="47" s="1"/>
  <c r="F20" i="47" a="1"/>
  <c r="F20" i="47" s="1"/>
  <c r="P52" i="47" a="1"/>
  <c r="P52" i="47" s="1"/>
  <c r="D36" i="47"/>
  <c r="R42" i="47" a="1"/>
  <c r="R42" i="47" s="1"/>
  <c r="F48" i="47" a="1"/>
  <c r="F48" i="47" s="1"/>
  <c r="K20" i="47" a="1"/>
  <c r="K20" i="47" s="1"/>
  <c r="Q43" i="47" a="1"/>
  <c r="Q43" i="47" s="1"/>
  <c r="E10" i="47" a="1"/>
  <c r="E10" i="47" s="1"/>
  <c r="N32" i="47" a="1"/>
  <c r="N32" i="47" s="1"/>
  <c r="L9" i="47" a="1"/>
  <c r="L9" i="47" s="1"/>
  <c r="J48" i="47" a="1"/>
  <c r="J48" i="47" s="1"/>
  <c r="H49" i="47" a="1"/>
  <c r="H49" i="47" s="1"/>
  <c r="R22" i="47" a="1"/>
  <c r="R22" i="47" s="1"/>
  <c r="C13" i="4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<sst xmlns="http://schemas.openxmlformats.org/spreadsheetml/2006/main" count="16880" uniqueCount="2764">
  <si>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</si>
  <si>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</si>
  <si>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</si>
  <si>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</si>
  <si>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</si>
  <si>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</si>
  <si>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</si>
  <si>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</si>
  <si>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</si>
  <si>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</si>
  <si>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</si>
  <si>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</si>
  <si>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</si>
  <si>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</si>
  <si>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</si>
  <si>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</si>
  <si>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</si>
  <si>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</si>
  <si>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</si>
  <si>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</si>
  <si>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</si>
  <si>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</si>
  <si>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</si>
  <si>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</si>
  <si>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</si>
  <si>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</si>
  <si>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</si>
  <si>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</si>
  <si>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</si>
  <si>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</si>
  <si>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</si>
  <si>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</si>
  <si>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</si>
  <si>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</si>
  <si>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</si>
  <si>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</si>
  <si>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</si>
  <si>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</si>
  <si>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</si>
  <si>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</si>
  <si>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</si>
  <si>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</si>
  <si>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</si>
  <si>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</si>
  <si>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</si>
  <si>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</si>
  <si>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</si>
  <si>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</si>
  <si>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</si>
  <si>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</si>
  <si>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</si>
  <si>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</si>
  <si>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</si>
  <si>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</si>
  <si>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</si>
  <si>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</si>
  <si>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</si>
  <si>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</si>
  <si>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</si>
  <si>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</si>
  <si>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</si>
  <si>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</si>
  <si>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</si>
  <si>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</si>
  <si>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</si>
  <si>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</si>
  <si>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</si>
  <si>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</si>
  <si>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</si>
  <si>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</si>
  <si>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</si>
  <si>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</si>
  <si>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</si>
  <si>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</si>
  <si>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</si>
  <si>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</si>
  <si>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</si>
  <si>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</si>
  <si>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</si>
  <si>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</si>
  <si>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</si>
  <si>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</si>
  <si>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</si>
  <si>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</si>
  <si>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</si>
  <si>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</si>
  <si>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</si>
  <si>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</si>
  <si>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</si>
  <si>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</si>
  <si>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</si>
  <si>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</si>
  <si>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</si>
  <si>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</si>
  <si>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</si>
  <si>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</si>
  <si>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</si>
  <si>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</si>
  <si>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</si>
  <si>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</si>
  <si>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</si>
  <si>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</si>
  <si>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</si>
  <si>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</si>
  <si>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</si>
  <si>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</si>
  <si>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</si>
  <si>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</si>
  <si>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</si>
  <si>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</si>
  <si>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</si>
  <si>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</si>
  <si>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</si>
  <si>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</si>
  <si>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</si>
  <si>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</si>
  <si>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</si>
  <si>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</si>
  <si>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</si>
  <si>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</si>
  <si>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</si>
  <si>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</si>
  <si>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</si>
  <si>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</si>
  <si>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</si>
  <si>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</si>
  <si>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</si>
  <si>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</si>
  <si>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</si>
  <si>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</si>
  <si>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</si>
  <si>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</si>
  <si>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</si>
  <si>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</si>
  <si>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</si>
  <si>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</si>
  <si>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</si>
  <si>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</si>
  <si>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</si>
  <si>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</si>
  <si>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</si>
  <si>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</si>
  <si>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</si>
  <si>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</si>
  <si>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</si>
  <si>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</si>
  <si>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</si>
  <si>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</si>
  <si>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</si>
  <si>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</si>
  <si>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</si>
  <si>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</si>
  <si>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</si>
  <si>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</si>
  <si>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</si>
  <si>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</si>
  <si>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</si>
  <si>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</si>
  <si>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</si>
  <si>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</si>
  <si>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</si>
  <si>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</si>
  <si>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</si>
  <si>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</si>
  <si>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</si>
  <si>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</si>
  <si>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</si>
  <si>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</si>
  <si>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</si>
  <si>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</si>
  <si>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</si>
  <si>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</si>
  <si>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</si>
  <si>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</si>
  <si>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</si>
  <si>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</si>
  <si>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</si>
  <si>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</si>
  <si>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</si>
  <si>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</si>
  <si>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</si>
  <si>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</si>
  <si>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</si>
  <si>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</si>
  <si>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</si>
  <si>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</si>
  <si>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</si>
  <si>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</si>
  <si>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</si>
  <si>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</si>
  <si>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</si>
  <si>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</si>
  <si>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</si>
  <si>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</si>
  <si>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</si>
  <si>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</si>
  <si>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</si>
  <si>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</si>
  <si>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</si>
  <si>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</si>
  <si>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</si>
  <si>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</si>
  <si>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</si>
  <si>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</si>
  <si>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</si>
  <si>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</si>
  <si>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</si>
  <si>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</si>
  <si>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</si>
  <si>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</si>
  <si>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</si>
  <si>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</si>
  <si>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</si>
  <si>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</si>
  <si>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</si>
  <si>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</si>
  <si>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</si>
  <si>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</si>
  <si>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</si>
  <si>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</si>
  <si>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</si>
  <si>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</si>
  <si>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</si>
  <si>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</si>
  <si>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</si>
  <si>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</si>
  <si>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</si>
  <si>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</si>
  <si>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</si>
  <si>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</si>
  <si>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</si>
  <si>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</si>
  <si>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</si>
  <si>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</si>
  <si>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</si>
  <si>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</si>
  <si>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</si>
  <si>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</si>
  <si>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</si>
  <si>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</si>
  <si>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</si>
  <si>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</si>
  <si>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</si>
  <si>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</si>
  <si>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</si>
  <si>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</si>
  <si>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</si>
  <si>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</si>
  <si>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</si>
  <si>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</si>
  <si>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</si>
  <si>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</si>
  <si>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</si>
  <si>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</si>
  <si>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</si>
  <si>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</si>
  <si>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</si>
  <si>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</si>
  <si>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</si>
  <si>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</si>
  <si>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</si>
  <si>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</si>
  <si>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</si>
  <si>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</si>
  <si>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</si>
  <si>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</si>
  <si>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</si>
  <si>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</si>
  <si>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</si>
  <si>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</si>
  <si>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</si>
  <si>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</si>
  <si>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</si>
  <si>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</si>
  <si>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</si>
  <si>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</si>
  <si>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</si>
  <si>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</si>
  <si>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</si>
  <si>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</si>
  <si>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</si>
  <si>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</si>
  <si>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</si>
  <si>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</si>
  <si>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</si>
  <si>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</si>
  <si>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</si>
  <si>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</si>
  <si>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</si>
  <si>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</si>
  <si>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</si>
  <si>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</si>
  <si>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</si>
  <si>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</si>
  <si>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</si>
  <si>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</si>
  <si>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</si>
  <si>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</si>
  <si>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</si>
  <si>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</si>
  <si>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</si>
  <si>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</si>
  <si>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</si>
  <si>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</si>
  <si>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</si>
  <si>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</si>
  <si>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</si>
  <si>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</si>
  <si>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</si>
  <si>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</si>
  <si>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</si>
  <si>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</si>
  <si>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</si>
  <si>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</si>
  <si>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</si>
  <si>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</si>
  <si>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</si>
  <si>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</si>
  <si>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</si>
  <si>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</si>
  <si>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</si>
  <si>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</si>
  <si>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</si>
  <si>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</si>
  <si>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</si>
  <si>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</si>
  <si>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</si>
  <si>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</si>
  <si>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</si>
  <si>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</si>
  <si>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</si>
  <si>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</si>
  <si>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</si>
  <si>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</si>
  <si>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</si>
  <si>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</si>
  <si>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</si>
  <si>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</si>
  <si>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</si>
  <si>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</si>
  <si>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</si>
  <si>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</si>
  <si>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</si>
  <si>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</si>
  <si>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</si>
  <si>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</si>
  <si>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</si>
  <si>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</si>
  <si>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</si>
  <si>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</si>
  <si>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</si>
  <si>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</si>
  <si>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</si>
  <si>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</si>
  <si>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</si>
  <si>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</si>
  <si>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</si>
  <si>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</si>
  <si>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</si>
  <si>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</si>
  <si>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</si>
  <si>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</si>
  <si>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</si>
  <si>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</si>
  <si>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</si>
  <si>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</si>
  <si>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</si>
  <si>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</si>
  <si>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</si>
  <si>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</si>
  <si>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</si>
  <si>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</si>
  <si>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</si>
  <si>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</si>
  <si>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</si>
  <si>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</si>
  <si>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</si>
  <si>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</si>
  <si>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</si>
  <si>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</si>
  <si>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</si>
  <si>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</si>
  <si>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</si>
  <si>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</si>
  <si>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</si>
  <si>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</si>
  <si>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</si>
  <si>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</si>
  <si>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</si>
  <si>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</si>
  <si>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</si>
  <si>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</si>
  <si>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</si>
  <si>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</si>
  <si>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</si>
  <si>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</si>
  <si>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</si>
  <si>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</si>
  <si>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</si>
  <si>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</si>
  <si>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</si>
  <si>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</si>
  <si>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</si>
  <si>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</si>
  <si>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</si>
  <si>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</si>
  <si>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</si>
  <si>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</si>
  <si>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</si>
  <si>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</si>
  <si>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</si>
  <si>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</si>
  <si>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</si>
  <si>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</si>
  <si>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</si>
  <si>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</si>
  <si>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</si>
  <si>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</si>
  <si>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</si>
  <si>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</si>
  <si>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</si>
  <si>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</si>
  <si>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</si>
  <si>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</si>
  <si>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</si>
  <si>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</si>
  <si>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</si>
  <si>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</si>
  <si>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</si>
  <si>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</si>
  <si>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</si>
  <si>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</si>
  <si>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</si>
  <si>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</si>
  <si>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</si>
  <si>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</si>
  <si>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</si>
  <si>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</si>
  <si>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</si>
  <si>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</si>
  <si>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</si>
  <si>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</si>
  <si>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</si>
  <si>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</si>
  <si>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</si>
  <si>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</si>
  <si>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</si>
  <si>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</si>
  <si>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</si>
  <si>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</si>
  <si>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</si>
  <si>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</si>
  <si>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</si>
  <si>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</si>
  <si>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</si>
  <si>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</si>
  <si>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</si>
  <si>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</si>
  <si>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</si>
  <si>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</si>
  <si>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</si>
  <si>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</si>
  <si>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</si>
  <si>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</si>
  <si>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</si>
  <si>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</si>
  <si>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</si>
  <si>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</si>
  <si>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</si>
  <si>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</si>
  <si>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</si>
  <si>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</si>
  <si>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</si>
  <si>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</si>
  <si>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</si>
  <si>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</si>
  <si>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</si>
  <si>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</si>
  <si>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</si>
  <si>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</si>
  <si>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</si>
  <si>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</si>
  <si>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</si>
  <si>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</si>
  <si>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</si>
  <si>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</si>
  <si>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</si>
  <si>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</si>
  <si>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</si>
  <si>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</si>
  <si>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</si>
  <si>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</si>
  <si>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</si>
  <si>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</si>
  <si>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</si>
  <si>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</si>
  <si>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</si>
  <si>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</si>
  <si>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</si>
  <si>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</si>
  <si>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</si>
  <si>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</si>
  <si>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</si>
  <si>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</si>
  <si>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</si>
  <si>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</si>
  <si>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</si>
  <si>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</si>
  <si>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</si>
  <si>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</si>
  <si>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</si>
  <si>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</si>
  <si>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</si>
  <si>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</si>
  <si>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</si>
  <si>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</si>
  <si>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</si>
  <si>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</si>
  <si>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</si>
  <si>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</si>
  <si>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</si>
  <si>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</si>
  <si>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</si>
  <si>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</si>
  <si>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</si>
  <si>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</si>
  <si>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</si>
  <si>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</si>
  <si>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</si>
  <si>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</si>
  <si>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</si>
  <si>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</si>
  <si>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</si>
  <si>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</si>
  <si>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</si>
  <si>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</si>
  <si>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</si>
  <si>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</si>
  <si>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</si>
  <si>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</si>
  <si>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</si>
  <si>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</si>
  <si>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</si>
  <si>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</si>
  <si>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</si>
  <si>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</si>
  <si>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</si>
  <si>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</si>
  <si>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</si>
  <si>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</si>
  <si>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</si>
  <si>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</si>
  <si>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</si>
  <si>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</si>
  <si>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</si>
  <si>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</si>
  <si>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</si>
  <si>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</si>
  <si>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</si>
  <si>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</si>
  <si>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</si>
  <si>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</si>
  <si>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</si>
  <si>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</si>
  <si>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</si>
  <si>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</si>
  <si>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</si>
  <si>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</si>
  <si>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</si>
  <si>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</si>
  <si>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</si>
  <si>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</si>
  <si>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</si>
  <si>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</si>
  <si>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</si>
  <si>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</si>
  <si>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</si>
  <si>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</si>
  <si>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</si>
  <si>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</si>
  <si>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</si>
  <si>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</si>
  <si>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</si>
  <si>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</si>
  <si>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</si>
  <si>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</si>
  <si>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</si>
  <si>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</si>
  <si>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</si>
  <si>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</si>
  <si>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</si>
  <si>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</si>
  <si>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</si>
  <si>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</si>
  <si>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</si>
  <si>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</si>
  <si>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</si>
  <si>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</si>
  <si>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</si>
  <si>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</si>
  <si>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</si>
  <si>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</si>
  <si>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</si>
  <si>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</si>
  <si>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</si>
  <si>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</si>
  <si>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</si>
  <si>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</si>
  <si>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</si>
  <si>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</si>
  <si>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</si>
  <si>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</si>
  <si>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</si>
  <si>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</si>
  <si>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</si>
  <si>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</si>
  <si>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</si>
  <si>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</si>
  <si>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</si>
  <si>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</si>
  <si>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</si>
  <si>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</si>
  <si>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</si>
  <si>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</si>
  <si>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</si>
  <si>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</si>
  <si>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</si>
  <si>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</si>
  <si>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</si>
  <si>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</si>
  <si>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</si>
  <si>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</si>
  <si>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</si>
  <si>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</si>
  <si>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</si>
  <si>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</si>
  <si>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</si>
  <si>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</si>
  <si>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</si>
  <si>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</si>
  <si>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</si>
  <si>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</si>
  <si>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</si>
  <si>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</si>
  <si>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</si>
  <si>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</si>
  <si>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</si>
  <si>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</si>
  <si>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</si>
  <si>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</si>
  <si>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</si>
  <si>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</si>
  <si>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</si>
  <si>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</si>
  <si>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</si>
  <si>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</si>
  <si>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</si>
  <si>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</si>
  <si>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</si>
  <si>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</si>
  <si>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</si>
  <si>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</si>
  <si>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</si>
  <si>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</si>
  <si>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</si>
  <si>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</si>
  <si>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</si>
  <si>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</si>
  <si>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</si>
  <si>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</si>
  <si>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</si>
  <si>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</si>
  <si>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</si>
  <si>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</si>
  <si>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</si>
  <si>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</si>
  <si>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</si>
  <si>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</si>
  <si>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</si>
  <si>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</si>
  <si>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</si>
  <si>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</si>
  <si>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</si>
  <si>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</si>
  <si>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</si>
  <si>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</si>
  <si>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</si>
  <si>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</si>
  <si>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</si>
  <si>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</si>
  <si>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</si>
  <si>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</si>
  <si>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</si>
  <si>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</si>
  <si>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</si>
  <si>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</si>
  <si>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</si>
  <si>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</si>
  <si>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</si>
  <si>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</si>
  <si>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</si>
  <si>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</si>
  <si>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</si>
  <si>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</si>
  <si>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</si>
  <si>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</si>
  <si>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</si>
  <si>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</si>
  <si>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</si>
  <si>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</si>
  <si>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</si>
  <si>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</si>
  <si>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</si>
  <si>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</si>
  <si>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</si>
  <si>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</si>
  <si>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</si>
  <si>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</si>
  <si>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</si>
  <si>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</si>
  <si>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</si>
  <si>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</si>
  <si>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</si>
  <si>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</si>
  <si>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</si>
  <si>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</si>
  <si>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</si>
  <si>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</si>
  <si>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</si>
  <si>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</si>
  <si>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</si>
  <si>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</si>
  <si>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</si>
  <si>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</si>
  <si>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</si>
  <si>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</si>
  <si>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</si>
  <si>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</si>
  <si>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</si>
  <si>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</si>
  <si>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</si>
  <si>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</si>
  <si>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</si>
  <si>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</si>
  <si>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</si>
  <si>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</si>
  <si>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</si>
  <si>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</si>
  <si>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</si>
  <si>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</si>
  <si>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</si>
  <si>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</si>
  <si>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</si>
  <si>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</si>
  <si>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</si>
  <si>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</si>
  <si>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</si>
  <si>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</si>
  <si>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</si>
  <si>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</si>
  <si>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</si>
  <si>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</si>
  <si>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</si>
  <si>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</si>
  <si>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</si>
  <si>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</si>
  <si>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</si>
  <si>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</si>
  <si>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</si>
  <si>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</si>
  <si>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</si>
  <si>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</si>
  <si>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</si>
  <si>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</si>
  <si>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</si>
  <si>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</si>
  <si>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</si>
  <si>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</si>
  <si>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</si>
  <si>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</si>
  <si>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</si>
  <si>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</si>
  <si>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</si>
  <si>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</si>
  <si>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</si>
  <si>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</si>
  <si>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</si>
  <si>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</si>
  <si>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</si>
  <si>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</si>
  <si>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</si>
  <si>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</si>
  <si>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</si>
  <si>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</si>
  <si>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</si>
  <si>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</si>
  <si>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</si>
  <si>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</si>
  <si>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</si>
  <si>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</si>
  <si>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</si>
  <si>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</si>
  <si>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</si>
  <si>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</si>
  <si>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</si>
  <si>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</si>
  <si>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</si>
  <si>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</si>
  <si>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</si>
  <si>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</si>
  <si>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</si>
  <si>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</si>
  <si>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</si>
  <si>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</si>
  <si>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</si>
  <si>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</si>
  <si>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</si>
  <si>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</si>
  <si>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</si>
  <si>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</si>
  <si>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</si>
  <si>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</si>
  <si>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</si>
  <si>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</si>
  <si>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</si>
  <si>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</si>
  <si>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</si>
  <si>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</si>
  <si>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</si>
  <si>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</si>
  <si>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</si>
  <si>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</si>
  <si>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</si>
  <si>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</si>
  <si>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</si>
  <si>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</si>
  <si>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</si>
  <si>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</si>
  <si>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</si>
  <si>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</si>
  <si>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</si>
  <si>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</si>
  <si>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</si>
  <si>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</si>
  <si>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</si>
  <si>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</si>
  <si>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</si>
  <si>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</si>
  <si>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</si>
  <si>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</si>
  <si>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</si>
  <si>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</si>
  <si>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</si>
  <si>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</si>
  <si>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</si>
  <si>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</si>
  <si>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</si>
  <si>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</si>
  <si>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</si>
  <si>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</si>
  <si>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</si>
  <si>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</si>
  <si>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</si>
  <si>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</si>
  <si>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</si>
  <si>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</si>
  <si>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</si>
  <si>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</si>
  <si>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</si>
  <si>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</si>
  <si>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</si>
  <si>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</si>
  <si>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</si>
  <si>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</si>
  <si>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</si>
  <si>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</si>
  <si>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</si>
  <si>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</si>
  <si>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</si>
  <si>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</si>
  <si>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</si>
  <si>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</si>
  <si>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</si>
  <si>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</si>
  <si>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</si>
  <si>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</si>
  <si>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</si>
  <si>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</si>
  <si>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</si>
  <si>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</si>
  <si>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</si>
  <si>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</si>
  <si>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</si>
  <si>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</si>
  <si>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</si>
  <si>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</si>
  <si>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</si>
  <si>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</si>
  <si>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</si>
  <si>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</si>
  <si>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</si>
  <si>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</si>
  <si>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</si>
  <si>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</si>
  <si>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</si>
  <si>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</si>
  <si>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</si>
  <si>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</si>
  <si>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</si>
  <si>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</si>
  <si>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</si>
  <si>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</si>
  <si>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</si>
  <si>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</si>
  <si>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</si>
  <si>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</si>
  <si>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</si>
  <si>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</si>
  <si>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</si>
  <si>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</si>
  <si>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</si>
  <si>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</si>
  <si>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</si>
  <si>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</si>
  <si>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</si>
  <si>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</si>
  <si>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</si>
  <si>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</si>
  <si>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</si>
  <si>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</si>
  <si>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</si>
  <si>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</si>
  <si>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</si>
  <si>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</si>
  <si>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</si>
  <si>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</si>
  <si>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</si>
  <si>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</si>
  <si>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</si>
  <si>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</si>
  <si>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</si>
  <si>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</si>
  <si>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</si>
  <si>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</si>
  <si>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</si>
  <si>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</si>
  <si>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</si>
  <si>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</si>
  <si>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</si>
  <si>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</si>
  <si>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</si>
  <si>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</si>
  <si>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</si>
  <si>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</si>
  <si>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</si>
  <si>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</si>
  <si>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</si>
  <si>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</si>
  <si>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</si>
  <si>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</si>
  <si>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</si>
  <si>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</si>
  <si>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</si>
  <si>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</si>
  <si>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</si>
  <si>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</si>
  <si>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</si>
  <si>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</si>
  <si>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</si>
  <si>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</si>
  <si>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</si>
  <si>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</si>
  <si>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</si>
  <si>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</si>
  <si>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</si>
  <si>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</si>
  <si>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</si>
  <si>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</si>
  <si>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</si>
  <si>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</si>
  <si>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</si>
  <si>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</si>
  <si>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</si>
  <si>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</si>
  <si>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</si>
  <si>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</si>
  <si>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</si>
  <si>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</si>
  <si>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</si>
  <si>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</si>
  <si>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</si>
  <si>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</si>
  <si>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</si>
  <si>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</si>
  <si>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</si>
  <si>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</si>
  <si>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</si>
  <si>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</si>
  <si>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</si>
  <si>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</si>
  <si>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</si>
  <si>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</si>
  <si>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</si>
  <si>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</si>
  <si>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</si>
  <si>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</si>
  <si>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</si>
  <si>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</si>
  <si>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</si>
  <si>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</si>
  <si>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</si>
  <si>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</si>
  <si>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</si>
  <si>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</si>
  <si>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</si>
  <si>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</si>
  <si>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</si>
  <si>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</si>
  <si>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</si>
  <si>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</si>
  <si>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</si>
  <si>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</si>
  <si>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</si>
  <si>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</si>
  <si>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</si>
  <si>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</si>
  <si>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</si>
  <si>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</si>
  <si>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</si>
  <si>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</si>
  <si>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</si>
  <si>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</si>
  <si>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</si>
  <si>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</si>
  <si>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</si>
  <si>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</si>
  <si>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</si>
  <si>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</si>
  <si>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</si>
  <si>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</si>
  <si>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</si>
  <si>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</si>
  <si>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</si>
  <si>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</si>
  <si>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</si>
  <si>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</si>
  <si>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</si>
  <si>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</si>
  <si>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</si>
  <si>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</si>
  <si>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</si>
  <si>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</si>
  <si>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</si>
  <si>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</si>
  <si>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</si>
  <si>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</si>
  <si>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</si>
  <si>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</si>
  <si>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</si>
  <si>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</si>
  <si>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</si>
  <si>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</si>
  <si>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</si>
  <si>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</si>
  <si>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</si>
  <si>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</si>
  <si>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</si>
  <si>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</si>
  <si>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</si>
  <si>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</si>
  <si>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</si>
  <si>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</si>
  <si>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</si>
  <si>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</si>
  <si>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</si>
  <si>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</si>
  <si>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</si>
  <si>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</si>
  <si>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</si>
  <si>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</si>
  <si>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</si>
  <si>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</si>
  <si>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</si>
  <si>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</si>
  <si>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</si>
  <si>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</si>
  <si>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</si>
  <si>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</si>
  <si>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</si>
  <si>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</si>
  <si>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</si>
  <si>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</si>
  <si>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</si>
  <si>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</si>
  <si>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</si>
  <si>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</si>
  <si>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</si>
  <si>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</si>
  <si>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</si>
  <si>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</si>
  <si>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</si>
  <si>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</si>
  <si>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</si>
  <si>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</si>
  <si>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</si>
  <si>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</si>
  <si>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</si>
  <si>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</si>
  <si>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</si>
  <si>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</si>
  <si>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</si>
  <si>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</si>
  <si>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</si>
  <si>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</si>
  <si>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</si>
  <si>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</si>
  <si>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</si>
  <si>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</si>
  <si>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</si>
  <si>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</si>
  <si>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</si>
  <si>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</si>
  <si>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</si>
  <si>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</si>
  <si>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</si>
  <si>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</si>
  <si>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</si>
  <si>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</si>
  <si>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</si>
  <si>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</si>
  <si>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</si>
  <si>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</si>
  <si>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</si>
  <si>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</si>
  <si>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</si>
  <si>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</si>
  <si>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</si>
  <si>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</si>
  <si>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</si>
  <si>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</si>
  <si>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</si>
  <si>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</si>
  <si>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</si>
  <si>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</si>
  <si>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</si>
  <si>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</si>
  <si>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</si>
  <si>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</si>
  <si>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</si>
  <si>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</si>
  <si>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</si>
  <si>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</si>
  <si>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</si>
  <si>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</si>
  <si>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</si>
  <si>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</si>
  <si>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</si>
  <si>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</si>
  <si>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</si>
  <si>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</si>
  <si>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</si>
  <si>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</si>
  <si>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</si>
  <si>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</si>
  <si>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</si>
  <si>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</si>
  <si>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</si>
  <si>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</si>
  <si>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</si>
  <si>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</si>
  <si>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</si>
  <si>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</si>
  <si>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</si>
  <si>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</si>
  <si>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</si>
  <si>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</si>
  <si>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</si>
  <si>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</si>
  <si>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</si>
  <si>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</si>
  <si>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</si>
  <si>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</si>
  <si>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</si>
  <si>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</si>
  <si>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</si>
  <si>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</si>
  <si>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</si>
  <si>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</si>
  <si>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</si>
  <si>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</si>
  <si>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</si>
  <si>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</si>
  <si>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</si>
  <si>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</si>
  <si>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</si>
  <si>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</si>
  <si>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</si>
  <si>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</si>
  <si>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</si>
  <si>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</si>
  <si>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</si>
  <si>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</si>
  <si>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</si>
  <si>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</si>
  <si>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</si>
  <si>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</si>
  <si>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</si>
  <si>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</si>
  <si>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</si>
  <si>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</si>
  <si>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</si>
  <si>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</si>
  <si>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</si>
  <si>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</si>
  <si>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</si>
  <si>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</si>
  <si>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</si>
  <si>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</si>
  <si>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</si>
  <si>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</si>
  <si>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</si>
  <si>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</si>
  <si>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</si>
  <si>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</si>
  <si>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</si>
  <si>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</si>
  <si>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</si>
  <si>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</si>
  <si>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</si>
  <si>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</si>
  <si>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</si>
  <si>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</si>
  <si>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</si>
  <si>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</si>
  <si>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</si>
  <si>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</si>
  <si>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</si>
  <si>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</si>
  <si>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</si>
  <si>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</si>
  <si>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</si>
  <si>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</si>
  <si>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</si>
  <si>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</si>
  <si>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</si>
  <si>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</si>
  <si>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</si>
  <si>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</si>
  <si>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</si>
  <si>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</si>
  <si>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</si>
  <si>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</si>
  <si>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</si>
  <si>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</si>
  <si>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</si>
  <si>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</si>
  <si>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</si>
  <si>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</si>
  <si>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</si>
  <si>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</si>
  <si>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</si>
  <si>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</si>
  <si>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</si>
  <si>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</si>
  <si>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</si>
  <si>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</si>
  <si>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</si>
  <si>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</si>
  <si>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</si>
  <si>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</si>
  <si>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</si>
  <si>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</si>
  <si>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</si>
  <si>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</si>
  <si>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</si>
  <si>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</si>
  <si>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</si>
  <si>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</si>
  <si>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</si>
  <si>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</si>
  <si>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</si>
  <si>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</si>
  <si>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</si>
  <si>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</si>
  <si>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</si>
  <si>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</si>
  <si>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</si>
  <si>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</si>
  <si>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</si>
  <si>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</si>
  <si>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</si>
  <si>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</si>
  <si>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</si>
  <si>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</si>
  <si>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</si>
  <si>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</si>
  <si>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</si>
  <si>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</si>
  <si>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</si>
  <si>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</si>
  <si>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</si>
  <si>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</si>
  <si>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</si>
  <si>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</si>
  <si>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</si>
  <si>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</si>
  <si>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</si>
  <si>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</si>
  <si>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</si>
  <si>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</si>
  <si>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</si>
  <si>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</si>
  <si>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</si>
  <si>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</si>
  <si>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</si>
  <si>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</si>
  <si>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</si>
  <si>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</si>
  <si>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</si>
  <si>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</si>
  <si>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</si>
  <si>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</si>
  <si>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</si>
  <si>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</si>
  <si>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</si>
  <si>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</si>
  <si>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</si>
  <si>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</si>
  <si>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</si>
  <si>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</si>
  <si>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</si>
  <si>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</si>
  <si>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</si>
  <si>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</si>
  <si>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</si>
  <si>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</si>
  <si>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</si>
  <si>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</si>
  <si>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</si>
  <si>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</si>
  <si>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</si>
  <si>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</si>
  <si>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</si>
  <si>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</si>
  <si>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</si>
  <si>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</si>
  <si>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</si>
  <si>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</si>
  <si>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</si>
  <si>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</si>
  <si>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</si>
  <si>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</si>
  <si>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</si>
  <si>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</si>
  <si>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</si>
  <si>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</si>
  <si>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</si>
  <si>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</si>
  <si>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</si>
  <si>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</si>
  <si>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</si>
  <si>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</si>
  <si>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</si>
  <si>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</si>
  <si>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</si>
  <si>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</si>
  <si>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</si>
  <si>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</si>
  <si>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</si>
  <si>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</si>
  <si>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</si>
  <si>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</si>
  <si>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</si>
  <si>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</si>
  <si>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</si>
  <si>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</si>
  <si>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</si>
  <si>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</si>
  <si>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</si>
  <si>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</si>
  <si>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</si>
  <si>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</si>
  <si>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</si>
  <si>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</si>
  <si>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</si>
  <si>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</si>
  <si>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</si>
  <si>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</si>
  <si>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</si>
  <si>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</si>
  <si>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</si>
  <si>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</si>
  <si>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</si>
  <si>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</si>
  <si>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</si>
  <si>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</si>
  <si>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</si>
  <si>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</si>
  <si>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</si>
  <si>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</si>
  <si>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</si>
  <si>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</si>
  <si>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</si>
  <si>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</si>
  <si>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</si>
  <si>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</si>
  <si>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</si>
  <si>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</si>
  <si>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</si>
  <si>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</si>
  <si>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</si>
  <si>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</si>
  <si>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</si>
  <si>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</si>
  <si>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</si>
  <si>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</si>
  <si>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</si>
  <si>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</si>
  <si>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</si>
  <si>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</si>
  <si>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</si>
  <si>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</si>
  <si>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</si>
  <si>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</si>
  <si>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</si>
  <si>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</si>
  <si>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</si>
  <si>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</si>
  <si>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</si>
  <si>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</si>
  <si>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</si>
  <si>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</si>
  <si>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</si>
  <si>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</si>
  <si>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</si>
  <si>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</si>
  <si>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</si>
  <si>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</si>
  <si>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</si>
  <si>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</si>
  <si>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</si>
  <si>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</si>
  <si>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</si>
  <si>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</si>
  <si>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</si>
  <si>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</si>
  <si>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</si>
  <si>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</si>
  <si>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</si>
  <si>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</si>
  <si>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</si>
  <si>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</si>
  <si>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</si>
  <si>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</si>
  <si>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</si>
  <si>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</si>
  <si>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</si>
  <si>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</si>
  <si>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</si>
  <si>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</si>
  <si>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</si>
  <si>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</si>
  <si>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</si>
  <si>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</si>
  <si>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</si>
  <si>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</si>
  <si>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</si>
  <si>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</si>
  <si>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</si>
  <si>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</si>
  <si>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</si>
  <si>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</si>
  <si>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</si>
  <si>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</si>
  <si>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</si>
  <si>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</si>
  <si>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</si>
  <si>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</si>
  <si>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</si>
  <si>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</si>
  <si>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</si>
  <si>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</si>
  <si>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</si>
  <si>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</si>
  <si>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</si>
  <si>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</si>
  <si>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</si>
  <si>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</si>
  <si>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</si>
  <si>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</si>
  <si>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</si>
  <si>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</si>
  <si>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</si>
  <si>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</si>
  <si>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</si>
  <si>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</si>
  <si>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</si>
  <si>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</si>
  <si>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</si>
  <si>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</si>
  <si>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</si>
  <si>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</si>
  <si>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</si>
  <si>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</si>
  <si>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</si>
  <si>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</si>
  <si>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</si>
  <si>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</si>
  <si>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</si>
  <si>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</si>
  <si>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</si>
  <si>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</si>
  <si>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</si>
  <si>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</si>
  <si>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</si>
  <si>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</si>
  <si>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</si>
  <si>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</si>
  <si>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</si>
  <si>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</si>
  <si>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</si>
  <si>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</si>
  <si>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</si>
  <si>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</si>
  <si>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</si>
  <si>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</si>
  <si>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</si>
  <si>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</si>
  <si>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</si>
  <si>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</si>
  <si>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</si>
  <si>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</si>
  <si>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</si>
  <si>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</si>
  <si>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</si>
  <si>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</si>
  <si>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</si>
  <si>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</si>
  <si>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</si>
  <si>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</si>
  <si>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</si>
  <si>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</si>
  <si>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</si>
  <si>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</si>
  <si>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</si>
  <si>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</si>
  <si>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</si>
  <si>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</si>
  <si>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</si>
  <si>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</si>
  <si>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</si>
  <si>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</si>
  <si>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</si>
  <si>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</si>
  <si>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</si>
  <si>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</si>
  <si>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</si>
  <si>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</si>
  <si>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</si>
  <si>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</si>
  <si>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</si>
  <si>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</si>
  <si>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</si>
  <si>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</si>
  <si>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</si>
  <si>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</si>
  <si>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</si>
  <si>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</si>
  <si>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</si>
  <si>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</si>
  <si>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</si>
  <si>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</si>
  <si>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</si>
  <si>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</si>
  <si>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</si>
  <si>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</si>
  <si>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</si>
  <si>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</si>
  <si>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</si>
  <si>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</si>
  <si>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</si>
  <si>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</si>
  <si>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</si>
  <si>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</si>
  <si>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</si>
  <si>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</si>
  <si>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</si>
  <si>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</si>
  <si>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</si>
  <si>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</si>
  <si>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</si>
  <si>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</si>
  <si>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</si>
  <si>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</si>
  <si>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</si>
  <si>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</si>
  <si>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</si>
  <si>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</si>
  <si>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</si>
  <si>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</si>
  <si>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</si>
  <si>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</si>
  <si>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</si>
  <si>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</si>
  <si>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</si>
  <si>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</si>
  <si>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</si>
  <si>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</si>
  <si>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</si>
  <si>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</si>
  <si>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</si>
  <si>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</si>
  <si>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</si>
  <si>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</si>
  <si>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</si>
  <si>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</si>
  <si>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</si>
  <si>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</si>
  <si>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</si>
  <si>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</si>
  <si>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</si>
  <si>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</si>
  <si>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</si>
  <si>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</si>
  <si>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</si>
  <si>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</si>
  <si>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</si>
  <si>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</si>
  <si>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</si>
  <si>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</si>
  <si>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</si>
  <si>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</si>
  <si>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</si>
  <si>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</si>
  <si>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</si>
  <si>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</si>
  <si>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</si>
  <si>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</si>
  <si>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</si>
  <si>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</si>
  <si>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</si>
  <si>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</si>
  <si>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</si>
  <si>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</si>
  <si>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</si>
  <si>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</si>
  <si>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</si>
  <si>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</si>
  <si>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</si>
  <si>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</si>
  <si>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</si>
  <si>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</si>
  <si>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</si>
  <si>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</si>
  <si>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</si>
  <si>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</si>
  <si>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</si>
  <si>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</si>
  <si>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</si>
  <si>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</si>
  <si>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</si>
  <si>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</si>
  <si>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</si>
  <si>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</si>
  <si>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</si>
  <si>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</si>
  <si>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</si>
  <si>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</si>
  <si>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</si>
  <si>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</si>
  <si>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</si>
  <si>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</si>
  <si>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</si>
  <si>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</si>
  <si>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</si>
  <si>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</si>
  <si>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</si>
  <si>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</si>
  <si>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</si>
  <si>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</si>
  <si>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</si>
  <si>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</si>
  <si>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</si>
  <si>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</si>
  <si>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</si>
  <si>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</si>
  <si>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</si>
  <si>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</si>
  <si>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</si>
  <si>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</si>
  <si>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</si>
  <si>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</si>
  <si>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</si>
  <si>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</si>
  <si>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</si>
  <si>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</si>
  <si>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</si>
  <si>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</si>
  <si>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</si>
  <si>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</si>
  <si>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</si>
  <si>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</si>
  <si>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</si>
  <si>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</si>
  <si>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</si>
  <si>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</si>
  <si>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</si>
  <si>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</si>
  <si>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</si>
  <si>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</si>
  <si>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</si>
  <si>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</si>
  <si>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</si>
  <si>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</si>
  <si>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</si>
  <si>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</si>
  <si>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</si>
  <si>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</si>
  <si>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</si>
  <si>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</si>
  <si>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</si>
  <si>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</si>
  <si>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</si>
  <si>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</si>
  <si>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</si>
  <si>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</si>
  <si>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</si>
  <si>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</si>
  <si>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</si>
  <si>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</si>
  <si>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</si>
  <si>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</si>
  <si>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</si>
  <si>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</si>
  <si>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</si>
  <si>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</si>
  <si>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</si>
  <si>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</si>
  <si>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</si>
  <si>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</si>
  <si>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</si>
  <si>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</si>
  <si>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</si>
  <si>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</si>
  <si>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</si>
  <si>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</si>
  <si>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</si>
  <si>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</si>
  <si>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</si>
  <si>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</si>
  <si>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</si>
  <si>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</si>
  <si>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</si>
  <si>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</si>
  <si>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</si>
  <si>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</si>
  <si>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</si>
  <si>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</si>
  <si>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</si>
  <si>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</si>
  <si>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</si>
  <si>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</si>
  <si>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</si>
  <si>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</si>
  <si>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</si>
  <si>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</si>
  <si>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</si>
  <si>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</si>
  <si>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</si>
  <si>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</si>
  <si>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</si>
  <si>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</si>
  <si>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</si>
  <si>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</si>
  <si>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</si>
  <si>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</si>
  <si>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</si>
  <si>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</si>
  <si>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</si>
  <si>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</si>
  <si>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</si>
  <si>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</si>
  <si>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</si>
  <si>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</si>
  <si>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</si>
  <si>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</si>
  <si>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</si>
  <si>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</si>
  <si>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</si>
  <si>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</si>
  <si>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</si>
  <si>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</si>
  <si>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</si>
  <si>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</si>
  <si>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</si>
  <si>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</si>
  <si>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</si>
  <si>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</si>
  <si>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</si>
  <si>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</si>
  <si>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</si>
  <si>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</si>
  <si>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</si>
  <si>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</si>
  <si>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</si>
  <si>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</si>
  <si>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</si>
  <si>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</si>
  <si>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</si>
  <si>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</si>
  <si>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</si>
  <si>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</si>
  <si>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</si>
  <si>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</si>
  <si>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</si>
  <si>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</si>
  <si>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</si>
  <si>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</si>
  <si>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</si>
  <si>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</si>
  <si>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</si>
  <si>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</si>
  <si>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</si>
  <si>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</si>
  <si>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</si>
  <si>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</si>
  <si>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</si>
  <si>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</si>
  <si>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</si>
  <si>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</si>
  <si>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</si>
  <si>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</si>
  <si>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</si>
  <si>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</si>
  <si>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</si>
  <si>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</si>
  <si>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</si>
  <si>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</si>
  <si>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</si>
  <si>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</si>
  <si>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</si>
  <si>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</si>
  <si>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</si>
  <si>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</si>
  <si>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</si>
  <si>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</si>
  <si>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</si>
  <si>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</si>
  <si>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</si>
  <si>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</si>
  <si>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</si>
  <si>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</si>
  <si>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</si>
  <si>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</si>
  <si>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</si>
  <si>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</si>
  <si>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</si>
  <si>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</si>
  <si>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</si>
  <si>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</si>
  <si>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</si>
  <si>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</si>
  <si>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</si>
  <si>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</si>
  <si>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</si>
  <si>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</si>
  <si>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</si>
  <si>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</si>
  <si>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</si>
  <si>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</si>
  <si>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</si>
  <si>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</si>
  <si>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</si>
  <si>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</si>
  <si>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</si>
  <si>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</si>
  <si>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</si>
  <si>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</si>
  <si>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</si>
  <si>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</si>
  <si>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</si>
  <si>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</si>
  <si>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</si>
  <si>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</si>
  <si>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</si>
  <si>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</si>
  <si>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</si>
  <si>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</si>
  <si>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</si>
  <si>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</si>
  <si>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</si>
  <si>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</si>
  <si>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</si>
  <si>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</si>
  <si>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</si>
  <si>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</si>
  <si>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</si>
  <si>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</si>
  <si>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</si>
  <si>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</si>
  <si>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</si>
  <si>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</si>
  <si>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</si>
  <si>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</si>
  <si>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</si>
  <si>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</si>
  <si>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</si>
  <si>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</si>
  <si>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</si>
  <si>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</si>
  <si>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</si>
  <si>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</si>
  <si>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</si>
  <si>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</si>
  <si>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</si>
  <si>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</si>
  <si>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</si>
  <si>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</si>
  <si>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</si>
  <si>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</si>
  <si>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</si>
  <si>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</si>
  <si>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</si>
  <si>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</si>
  <si>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</si>
  <si>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</si>
  <si>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</si>
  <si>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</si>
  <si>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</si>
  <si>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</si>
  <si>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</si>
  <si>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</si>
  <si>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</si>
  <si>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</si>
  <si>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</si>
  <si>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</si>
  <si>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</si>
  <si>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</si>
  <si>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</si>
  <si>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</si>
  <si>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</si>
  <si>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</si>
  <si>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</si>
  <si>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</si>
  <si>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</si>
  <si>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</si>
  <si>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</si>
  <si>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</si>
  <si>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</si>
  <si>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</si>
  <si>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</si>
  <si>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</si>
  <si>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</si>
  <si>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</si>
  <si>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</si>
  <si>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</si>
  <si>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</si>
  <si>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</si>
  <si>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</si>
  <si>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</si>
  <si>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</si>
  <si>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</si>
  <si>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</si>
  <si>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</si>
  <si>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</si>
  <si>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</si>
  <si>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</si>
  <si>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</si>
  <si>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</si>
  <si>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</si>
  <si>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</si>
  <si>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</si>
  <si>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</si>
  <si>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</si>
  <si>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</si>
  <si>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</si>
  <si>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</si>
  <si>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</si>
  <si>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</si>
  <si>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</si>
  <si>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</si>
  <si>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</si>
  <si>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</si>
  <si>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</si>
  <si>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</si>
  <si>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</si>
  <si>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</si>
  <si>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</si>
  <si>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</si>
  <si>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</si>
  <si>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</si>
  <si>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</si>
  <si>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</si>
  <si>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</si>
  <si>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</si>
  <si>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</si>
  <si>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Havertz</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</si>
  <si>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</si>
  <si>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</si>
  <si>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</si>
  <si>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</si>
  <si>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</si>
  <si>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</si>
  <si>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</si>
  <si>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</si>
  <si>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</si>
  <si>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</si>
  <si>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</si>
  <si>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</si>
  <si>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</si>
  <si>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</si>
  <si>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</si>
  <si>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</si>
  <si>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</si>
  <si>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</si>
  <si>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</si>
  <si>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</si>
  <si>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</si>
  <si>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</si>
  <si>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</si>
  <si>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</si>
  <si>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</si>
  <si>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</si>
  <si>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</si>
  <si>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</si>
  <si>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</si>
  <si>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</si>
  <si>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</si>
  <si>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</si>
  <si>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</si>
  <si>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</si>
  <si>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</si>
  <si>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</si>
  <si>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</si>
  <si>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</si>
  <si>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</si>
  <si>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</si>
  <si>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</si>
  <si>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</si>
  <si>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</si>
  <si>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</si>
  <si>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</si>
  <si>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</si>
  <si>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</si>
  <si>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</si>
  <si>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</si>
  <si>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</si>
  <si>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</si>
  <si>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</si>
  <si>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</si>
  <si>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</si>
  <si>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</si>
  <si>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</si>
  <si>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</si>
  <si>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</si>
  <si>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</si>
  <si>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</si>
  <si>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</si>
  <si>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</si>
  <si>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</si>
  <si>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</si>
  <si>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</si>
  <si>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</si>
  <si>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</si>
  <si>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</si>
  <si>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</si>
  <si>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</si>
  <si>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</si>
  <si>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</si>
  <si>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</si>
  <si>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</si>
  <si>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</si>
  <si>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</si>
  <si>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</si>
  <si>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</si>
  <si>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</si>
  <si>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</si>
  <si>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</si>
  <si>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</si>
  <si>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</si>
  <si>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</si>
  <si>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</si>
  <si>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</si>
  <si>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</si>
  <si>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</si>
  <si>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</si>
  <si>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</si>
  <si>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</si>
  <si>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</si>
  <si>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</si>
  <si>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</si>
  <si>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</si>
  <si>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</si>
  <si>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</si>
  <si>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</si>
  <si>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</si>
  <si>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</si>
  <si>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</si>
  <si>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</si>
  <si>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</si>
  <si>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</si>
  <si>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</si>
  <si>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</si>
  <si>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</si>
  <si>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</si>
  <si>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</si>
  <si>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</si>
  <si>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</si>
  <si>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</si>
  <si>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</si>
  <si>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</si>
  <si>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</si>
  <si>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</si>
  <si>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</si>
  <si>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</si>
  <si>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</si>
  <si>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</si>
  <si>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</si>
  <si>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</si>
  <si>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</si>
  <si>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</si>
  <si>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</si>
  <si>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</si>
  <si>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</si>
  <si>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</si>
  <si>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</si>
  <si>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</si>
  <si>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</si>
  <si>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</si>
  <si>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</si>
  <si>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</si>
  <si>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</si>
  <si>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</si>
  <si>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</si>
  <si>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</si>
  <si>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</si>
  <si>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</si>
  <si>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</si>
  <si>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</si>
  <si>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</si>
  <si>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</si>
  <si>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</si>
  <si>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</si>
  <si>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</si>
  <si>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</si>
  <si>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</si>
  <si>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</si>
  <si>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</si>
  <si>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</si>
  <si>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</si>
  <si>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</si>
  <si>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</si>
  <si>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</si>
  <si>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</si>
  <si>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</si>
  <si>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</si>
  <si>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</si>
  <si>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</si>
  <si>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</si>
  <si>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</si>
  <si>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</si>
  <si>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</si>
  <si>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</si>
  <si>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</si>
  <si>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</si>
  <si>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</si>
  <si>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</si>
  <si>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</si>
  <si>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</si>
  <si>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</si>
  <si>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</si>
  <si>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</si>
  <si>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</si>
  <si>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</si>
  <si>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</si>
  <si>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</si>
  <si>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</si>
  <si>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</si>
  <si>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</si>
  <si>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</si>
  <si>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</si>
  <si>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</si>
  <si>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</si>
  <si>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</si>
  <si>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</si>
  <si>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</si>
  <si>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</si>
  <si>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</si>
  <si>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</si>
  <si>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</si>
  <si>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</si>
  <si>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</si>
  <si>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</si>
  <si>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</si>
  <si>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</si>
  <si>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</si>
  <si>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</si>
  <si>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</si>
  <si>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</si>
  <si>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</si>
  <si>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</si>
  <si>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</si>
  <si>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</si>
  <si>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</si>
  <si>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</si>
  <si>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</si>
  <si>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</si>
  <si>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</si>
  <si>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</si>
  <si>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</si>
  <si>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</si>
  <si>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</si>
  <si>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</si>
  <si>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</si>
  <si>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</si>
  <si>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</si>
  <si>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</si>
  <si>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</si>
  <si>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</si>
  <si>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</si>
  <si>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</si>
  <si>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</si>
  <si>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</si>
  <si>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</si>
  <si>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</si>
  <si>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</si>
  <si>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</si>
  <si>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</si>
  <si>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</si>
  <si>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</si>
  <si>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</si>
  <si>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</si>
  <si>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</si>
  <si>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</si>
  <si>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</si>
  <si>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</si>
  <si>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</si>
  <si>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</si>
  <si>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</si>
  <si>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</si>
  <si>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</si>
  <si>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</si>
  <si>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</si>
  <si>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</si>
  <si>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</si>
  <si>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</si>
  <si>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</si>
  <si>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</si>
  <si>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</si>
  <si>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</si>
  <si>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</si>
  <si>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</si>
  <si>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</si>
  <si>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</si>
  <si>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</si>
  <si>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</si>
  <si>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</si>
  <si>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</si>
  <si>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</si>
  <si>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</si>
  <si>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</si>
  <si>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</si>
  <si>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</si>
  <si>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</si>
  <si>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</si>
  <si>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</si>
  <si>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</si>
  <si>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</si>
  <si>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</si>
  <si>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</si>
  <si>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</si>
  <si>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</si>
  <si>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</si>
  <si>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</si>
  <si>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</si>
  <si>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</si>
  <si>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</si>
  <si>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</si>
  <si>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</si>
  <si>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</si>
  <si>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</si>
  <si>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</si>
  <si>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</si>
  <si>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</si>
  <si>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</si>
  <si>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</si>
  <si>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</si>
  <si>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</si>
  <si>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</si>
  <si>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</si>
  <si>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</si>
  <si>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</si>
  <si>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</si>
  <si>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</si>
  <si>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</si>
  <si>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</si>
  <si>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</si>
  <si>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</si>
  <si>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</si>
  <si>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</si>
  <si>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</si>
  <si>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</si>
  <si>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</si>
  <si>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</si>
  <si>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</si>
  <si>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</si>
  <si>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</si>
  <si>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</si>
  <si>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</si>
  <si>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</si>
  <si>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</si>
  <si>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</si>
  <si>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</si>
  <si>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</si>
  <si>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</si>
  <si>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</si>
  <si>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</si>
  <si>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</si>
  <si>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</si>
  <si>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</si>
  <si>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</si>
  <si>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</si>
  <si>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</si>
  <si>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</si>
  <si>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</si>
  <si>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</si>
  <si>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</si>
  <si>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</si>
  <si>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</si>
  <si>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</si>
  <si>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</si>
  <si>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</si>
  <si>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</si>
  <si>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</si>
  <si>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</si>
  <si>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</si>
  <si>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</si>
  <si>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</si>
  <si>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</si>
  <si>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</si>
  <si>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</si>
  <si>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</si>
  <si>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</si>
  <si>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</si>
  <si>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</si>
  <si>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</si>
  <si>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</si>
  <si>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</si>
  <si>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</si>
  <si>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</si>
  <si>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</si>
  <si>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</si>
  <si>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</si>
  <si>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</si>
  <si>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</si>
  <si>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</si>
  <si>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</si>
  <si>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</si>
  <si>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</si>
  <si>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</si>
  <si>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</si>
  <si>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</si>
  <si>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</si>
  <si>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</si>
  <si>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</si>
  <si>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</si>
  <si>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</si>
  <si>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</si>
  <si>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</si>
  <si>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</si>
  <si>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</si>
  <si>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</si>
  <si>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</si>
  <si>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</si>
  <si>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</si>
  <si>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</si>
  <si>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</si>
  <si>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</si>
  <si>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</si>
  <si>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</si>
  <si>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</si>
  <si>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</si>
  <si>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</si>
  <si>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</si>
  <si>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</si>
  <si>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</si>
  <si>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</si>
  <si>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</si>
  <si>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</si>
  <si>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</si>
  <si>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</si>
  <si>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</si>
  <si>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</si>
  <si>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</si>
  <si>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</si>
  <si>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</si>
  <si>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</si>
  <si>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</si>
  <si>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</si>
  <si>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</si>
  <si>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</si>
  <si>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</si>
  <si>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</si>
  <si>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</si>
  <si>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</si>
  <si>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</si>
  <si>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</si>
  <si>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</si>
  <si>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</si>
  <si>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</si>
  <si>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</si>
  <si>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</si>
  <si>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</si>
  <si>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</si>
  <si>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</si>
  <si>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</si>
  <si>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</si>
  <si>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</si>
  <si>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</si>
  <si>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</si>
  <si>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</si>
  <si>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</si>
  <si>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</si>
  <si>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</si>
  <si>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</si>
  <si>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</si>
  <si>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</si>
  <si>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</si>
  <si>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</si>
  <si>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</si>
  <si>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</si>
  <si>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</si>
  <si>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</si>
  <si>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</si>
  <si>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</si>
  <si>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</si>
  <si>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</si>
  <si>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</si>
  <si>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</si>
  <si>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</si>
  <si>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</si>
  <si>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</si>
  <si>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</si>
  <si>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</si>
  <si>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</si>
  <si>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</si>
  <si>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</si>
  <si>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</si>
  <si>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</si>
  <si>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</si>
  <si>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</si>
  <si>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</si>
  <si>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</si>
  <si>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</si>
  <si>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</si>
  <si>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</si>
  <si>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</si>
  <si>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</si>
  <si>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</si>
  <si>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</si>
  <si>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</si>
  <si>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</si>
  <si>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</si>
  <si>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</si>
  <si>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</si>
  <si>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</si>
  <si>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</si>
  <si>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</si>
  <si>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</si>
  <si>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</si>
  <si>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</si>
  <si>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</si>
  <si>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</si>
  <si>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</si>
  <si>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</si>
  <si>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</si>
  <si>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</si>
  <si>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</si>
  <si>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</si>
  <si>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</si>
  <si>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</si>
  <si>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</si>
  <si>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</si>
  <si>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</si>
  <si>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</si>
  <si>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</si>
  <si>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</si>
  <si>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</si>
  <si>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</si>
  <si>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</si>
  <si>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</si>
  <si>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</si>
  <si>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</si>
  <si>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</si>
  <si>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</si>
  <si>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</si>
  <si>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</si>
  <si>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</si>
  <si>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</si>
  <si>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</si>
  <si>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</si>
  <si>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</si>
  <si>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</si>
  <si>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</si>
  <si>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</si>
  <si>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</si>
  <si>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</si>
  <si>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</si>
  <si>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</si>
  <si>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</si>
  <si>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</si>
  <si>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</si>
  <si>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</si>
  <si>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</si>
  <si>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</si>
  <si>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</si>
  <si>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</si>
  <si>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</si>
  <si>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</si>
  <si>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</si>
  <si>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</si>
  <si>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</si>
  <si>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</si>
  <si>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</si>
  <si>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</si>
  <si>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</si>
  <si>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</si>
  <si>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</si>
  <si>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</si>
  <si>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</si>
  <si>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</si>
  <si>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</si>
  <si>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</si>
  <si>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</si>
  <si>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</si>
  <si>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</si>
  <si>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</si>
  <si>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</si>
  <si>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</si>
  <si>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</si>
  <si>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</si>
  <si>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</si>
  <si>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</si>
  <si>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</si>
  <si>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</si>
  <si>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</si>
  <si>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</si>
  <si>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</si>
  <si>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</si>
  <si>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</si>
  <si>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</si>
  <si>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</si>
  <si>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</si>
  <si>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</si>
  <si>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</si>
  <si>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</si>
  <si>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</si>
  <si>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</si>
  <si>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</si>
  <si>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</si>
  <si>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</si>
  <si>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</si>
  <si>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</si>
  <si>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</si>
  <si>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</si>
  <si>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</si>
  <si>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</si>
  <si>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</si>
  <si>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</si>
  <si>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</si>
  <si>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</si>
  <si>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</si>
  <si>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</si>
  <si>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</si>
  <si>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</si>
  <si>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</si>
  <si>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</si>
  <si>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</si>
  <si>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</si>
  <si>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</si>
  <si>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</si>
  <si>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</si>
  <si>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</si>
  <si>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</si>
  <si>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</si>
  <si>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</si>
  <si>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</si>
  <si>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</si>
  <si>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</si>
  <si>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</si>
  <si>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</si>
  <si>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</si>
  <si>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</si>
  <si>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</si>
  <si>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</si>
  <si>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</si>
  <si>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</si>
  <si>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</si>
  <si>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</si>
  <si>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</si>
  <si>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</si>
  <si>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</si>
  <si>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</si>
  <si>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</si>
  <si>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</si>
  <si>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</si>
  <si>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</si>
  <si>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</si>
  <si>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</si>
  <si>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</si>
  <si>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</si>
  <si>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</si>
  <si>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</si>
  <si>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</si>
  <si>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</si>
  <si>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</si>
  <si>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</si>
  <si>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</si>
  <si>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</si>
  <si>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</si>
  <si>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</si>
  <si>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</si>
  <si>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</si>
  <si>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</si>
  <si>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</si>
  <si>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</si>
  <si>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</si>
  <si>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</si>
  <si>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</si>
  <si>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</si>
  <si>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</si>
  <si>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</si>
  <si>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</si>
  <si>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</si>
  <si>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</si>
  <si>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</si>
  <si>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</si>
  <si>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</si>
  <si>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</si>
  <si>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</si>
  <si>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</si>
  <si>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</si>
  <si>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</si>
  <si>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</si>
  <si>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</si>
  <si>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</si>
  <si>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</si>
  <si>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</si>
  <si>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</si>
  <si>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</si>
  <si>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</si>
  <si>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</si>
  <si>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</si>
  <si>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</si>
  <si>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</si>
  <si>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</si>
  <si>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</si>
  <si>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</si>
  <si>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</si>
  <si>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</si>
  <si>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</si>
  <si>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</si>
  <si>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</si>
  <si>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</si>
  <si>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</si>
  <si>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</si>
  <si>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</si>
  <si>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</si>
  <si>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</si>
  <si>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</si>
  <si>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</si>
  <si>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</si>
  <si>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</si>
  <si>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</si>
  <si>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</si>
  <si>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</si>
  <si>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</si>
  <si>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</si>
  <si>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</si>
  <si>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</si>
  <si>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</si>
  <si>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</si>
  <si>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</si>
  <si>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</si>
  <si>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</si>
  <si>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</si>
  <si>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</si>
  <si>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</si>
  <si>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</si>
  <si>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</si>
  <si>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</si>
  <si>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</si>
  <si>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</si>
  <si>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</si>
  <si>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</si>
  <si>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</si>
  <si>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</si>
  <si>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</si>
  <si>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</si>
  <si>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</si>
  <si>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</si>
  <si>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</si>
  <si>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</si>
  <si>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</si>
  <si>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</si>
  <si>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</si>
  <si>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</si>
  <si>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</si>
  <si>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</si>
  <si>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</si>
  <si>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</si>
  <si>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</si>
  <si>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</si>
  <si>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</si>
  <si>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</si>
  <si>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</si>
  <si>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</si>
  <si>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</si>
  <si>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</si>
  <si>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</si>
  <si>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</si>
  <si>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</si>
  <si>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</si>
  <si>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</si>
  <si>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</si>
  <si>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</si>
  <si>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IGOR THIAGO</t>
  </si>
  <si>
    <t>PEDRI</t>
  </si>
  <si>
    <t xml:space="preserve">Ignacio Núñez </t>
  </si>
  <si>
    <t>Brasil-Túnez·1|3-0</t>
  </si>
  <si>
    <t>Alemania-Estados Unidos·1|2-1</t>
  </si>
  <si>
    <t>Ecuador-Senegal·1|2-1</t>
  </si>
  <si>
    <t>Turquía-Costa de Marfil·1|2-0</t>
  </si>
  <si>
    <t>Argentina-Paraguay·1|1-0</t>
  </si>
  <si>
    <t>Alemania-España·2|1-3</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</si>
  <si>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</si>
  <si>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</si>
  <si>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</si>
  <si>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</si>
  <si>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</si>
  <si>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</si>
  <si>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</si>
  <si>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</si>
  <si>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</si>
  <si>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</si>
  <si>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</si>
  <si>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</si>
  <si>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</si>
  <si>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</si>
  <si>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</si>
  <si>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</si>
  <si>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</si>
  <si>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</si>
  <si>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</si>
  <si>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</si>
  <si>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</si>
  <si>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</si>
  <si>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</si>
  <si>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</si>
  <si>
    <t>Bellingham</t>
  </si>
  <si>
    <t>Yamal</t>
  </si>
  <si>
    <t>Fernandes</t>
  </si>
  <si>
    <t>Gakpo</t>
  </si>
  <si>
    <t>Vinicius jr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</si>
</sst>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6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 xml:space="preserve">  </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 xml:space="preserve">  </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46223</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39" zoomScaleNormal="100" workbookViewId="0">
      <selection activeCell="AC147" sqref="AC147:AD147"/>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 ca="1">IF(AND(OR(AC132="",AD132="")),"W"&amp;AH132,IF(AC132&gt;AD132,AA132,IF(AC132&lt;AD132,AF132,IF(AND(AC132=AD132,AB132=AE132),"W"&amp;AH132,IF(AND(AC132=AD132,OR(AB132="",AE132="")),"W"&amp;AH132,IF(AND(AC132=AD132,AB132&gt;AE132),AA132,AF132))))))</f>
        <v>España</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20"/>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 ca="1">IF(AND(OR(AC133="",AD133="")),"W"&amp;AH133,IF(AC133&gt;AD133,AA133,IF(AC133&lt;AD133,AF133,IF(AND(AC133=AD133,AB133=AE133),"W"&amp;AH133,IF(AND(AC133=AD133,OR(AB133="",AE133="")),"W"&amp;AH133,IF(AND(AC133=AD133,AB133&gt;AE133),AA133,AF133))))))</f>
        <v>Inglaterra</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 ca="1">IF(AND(OR(AC134="",AD134="")),"W"&amp;AH134,IF(AC134&gt;AD134,AA134,IF(AC134&lt;AD134,AF134,IF(AND(AC134=AD134,AB134=AE134),"W"&amp;AH134,IF(AND(AC134=AD134,OR(AB134="",AE134="")),"W"&amp;AH134,IF(AND(AC134=AD134,AB134&gt;AE134),AA134,AF134))))))</f>
        <v>Argentina</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21"/>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 ca="1">IF(AND(OR(AC138="",AD138="")),"W"&amp;AH138,IF(AC138&gt;AD138,AA138,IF(AC138&lt;AD138,AF138,IF(AND(AC138=AD138,AB138=AE138),"W"&amp;AH138,IF(AND(AC138=AD138,OR(AB138="",AE138="")),"W"&amp;AH138,IF(AND(AC138=AD138,AB138&gt;AE138),AA138,AF138))))))</f>
        <v>España</v>
      </c>
      <c r="E138" s="744">
        <v>97</v>
      </c>
      <c r="F138" s="744">
        <v>98</v>
      </c>
      <c r="G138" s="744"/>
      <c r="H138" s="744" t="str">
        <f ca="1">IF(AND(OR(AC138="",AD138="")),"L101",IF(AC138&gt;AD138,AF138,IF(AC138&lt;AD138,AA138,IF(AND(AC138=AD138,AB138=AE138),"L101",IF(AND(AC138=AD138,OR(AB138="",AE138="")),"L101",IF(AND(AC138=AD138,AB138&gt;AE138),AF138,AA138))))))</f>
        <v>Francia</v>
      </c>
      <c r="I138" s="744"/>
      <c r="J138" s="738">
        <v>101</v>
      </c>
      <c r="K138" s="738">
        <v>46217.875</v>
      </c>
      <c r="L138" s="738" t="s">
        <v>713</v>
      </c>
      <c r="M138" s="738" t="str">
        <f ca="1">+INDEX($D$101:$D$147,MATCH(E138,$AH$101:$AH$147,0))</f>
        <v>Francia</v>
      </c>
      <c r="N138" s="738" t="str">
        <f ca="1">+INDEX($D$101:$D$147,MATCH(F138,$AH$101:$AH$147,0))</f>
        <v>España</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v>0</v>
      </c>
      <c r="AD138" s="323">
        <v>2</v>
      </c>
      <c r="AE138" s="278"/>
      <c r="AF138" s="312" t="str">
        <f ca="1">+INDEX($N$101:$N$147,MATCH(AH138,$J$101:$J$147,0))</f>
        <v>España</v>
      </c>
      <c r="AG138" s="417">
        <f ca="1">IF(D138="W"&amp;AH138,0,1)</f>
        <v>1</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Francia-España</v>
      </c>
      <c r="DU138" s="744"/>
      <c r="DV138" s="744"/>
      <c r="DW138" s="8"/>
    </row>
    <row r="139" spans="1:127" ht="16.2" customHeight="1" thickBot="1">
      <c r="A139" s="738" t="s">
        <v>756</v>
      </c>
      <c r="B139" s="738" t="s">
        <v>757</v>
      </c>
      <c r="C139" s="739"/>
      <c r="D139" s="747" t="str">
        <f ca="1">IF(AND(OR(AC139="",AD139="")),"W"&amp;AH139,IF(AC139&gt;AD139,AA139,IF(AC139&lt;AD139,AF139,IF(AND(AC139=AD139,AB139=AE139),"W"&amp;AH139,IF(AND(AC139=AD139,OR(AB139="",AE139="")),"W"&amp;AH139,IF(AND(AC139=AD139,AB139&gt;AE139),AA139,AF139))))))</f>
        <v>Argentina</v>
      </c>
      <c r="E139" s="744">
        <v>99</v>
      </c>
      <c r="F139" s="744">
        <v>100</v>
      </c>
      <c r="G139" s="744"/>
      <c r="H139" s="744" t="str">
        <f ca="1">IF(AND(OR(AC139="",AD139="")),"L102",IF(AC139&gt;AD139,AF139,IF(AC139&lt;AD139,AA139,IF(AND(AC139=AD139,AB139=AE139),"W102",IF(AND(AC139=AD139,OR(AB139="",AE139="")),"L102",IF(AND(AC139=AD139,AB139&gt;AE139),AF139,AA139))))))</f>
        <v>Inglaterra</v>
      </c>
      <c r="I139" s="744"/>
      <c r="J139" s="738">
        <v>102</v>
      </c>
      <c r="K139" s="738">
        <v>46218.875</v>
      </c>
      <c r="L139" s="738" t="s">
        <v>714</v>
      </c>
      <c r="M139" s="738" t="str">
        <f ca="1">+INDEX($D$101:$D$147,MATCH(E139,$AH$101:$AH$147,0))</f>
        <v>Inglaterra</v>
      </c>
      <c r="N139" s="738" t="str">
        <f ca="1">+INDEX($D$101:$D$147,MATCH(F139,$AH$101:$AH$147,0))</f>
        <v>Argentina</v>
      </c>
      <c r="O139" s="738"/>
      <c r="P139" s="738"/>
      <c r="Q139" s="738"/>
      <c r="R139" s="738"/>
      <c r="S139" s="738"/>
      <c r="T139" s="738"/>
      <c r="U139" s="738"/>
      <c r="V139" s="172"/>
      <c r="W139" s="823"/>
      <c r="X139" s="324">
        <f ca="1">Horarios!C139</f>
        <v>46218.875</v>
      </c>
      <c r="Y139" s="325">
        <f ca="1">Horarios!C139</f>
        <v>46218.875</v>
      </c>
      <c r="Z139" s="326">
        <f t="shared" si="339"/>
        <v>102</v>
      </c>
      <c r="AA139" s="327" t="str">
        <f t="shared" ca="1" si="340"/>
        <v>Inglaterra</v>
      </c>
      <c r="AB139" s="328"/>
      <c r="AC139" s="310">
        <v>1</v>
      </c>
      <c r="AD139" s="310">
        <v>2</v>
      </c>
      <c r="AE139" s="328"/>
      <c r="AF139" s="329" t="str">
        <f ca="1">+INDEX($N$101:$N$147,MATCH(AH139,$J$101:$J$147,0))</f>
        <v>Argentina</v>
      </c>
      <c r="AG139" s="417">
        <f ca="1">IF(D139="W"&amp;AH139,0,1)</f>
        <v>1</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Inglaterra-Argentina</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 ca="1">IF(AND(OR(AC143="",AD143="")),"W"&amp;AH143,IF(AC143&gt;AD143,AA143,IF(AC143&lt;AD143,AF143,IF(AND(AC143=AD143,AB143=AE143),"W"&amp;AH143,IF(AND(AC143=AD143,OR(AB143="",AE143="")),"W"&amp;AH143,IF(AND(AC143=AD143,AB143&gt;AE143),AA143,AF143))))))</f>
        <v>Inglaterra</v>
      </c>
      <c r="E143" s="744">
        <v>101</v>
      </c>
      <c r="F143" s="744">
        <v>102</v>
      </c>
      <c r="G143" s="744"/>
      <c r="H143" s="744"/>
      <c r="I143" s="744"/>
      <c r="J143" s="738">
        <v>103</v>
      </c>
      <c r="K143" s="738">
        <v>46221.875</v>
      </c>
      <c r="L143" s="738" t="s">
        <v>715</v>
      </c>
      <c r="M143" s="738" t="str">
        <f ca="1">+INDEX($D$101:$D$147,MATCH(E143,$AH$101:$AH$147,0))</f>
        <v>España</v>
      </c>
      <c r="N143" s="738" t="str">
        <f ca="1">+INDEX($D$101:$D$147,MATCH(F143,$AH$101:$AH$147,0))</f>
        <v>Argentina</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Francia</v>
      </c>
      <c r="AB143" s="334"/>
      <c r="AC143" s="335">
        <v>4</v>
      </c>
      <c r="AD143" s="335">
        <v>6</v>
      </c>
      <c r="AE143" s="334"/>
      <c r="AF143" s="336" t="str">
        <f ca="1">IF(AND(OR(AC139="",AD139="")),"L102",IF(AC139&gt;AD139,AF139,IF(AC139&lt;AD139,AA139,IF(AND(AC139=AD139,AB139=AE139),"L102",IF(AND(AC139=AD139,OR(AB139="",AE139="")),"L102",IF(AND(AC139=AD139,AB139&gt;AE139),AF139,AA139))))))</f>
        <v>Inglaterra</v>
      </c>
      <c r="AG143" s="417">
        <f ca="1">IF(D143="W"&amp;AH143,0,1)</f>
        <v>1</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Francia-Inglaterra</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 ca="1">IF(AND(OR(AC147="",AD147="")),"W"&amp;AH147,IF(AC147&gt;AD147,AA147,IF(AC147&lt;AD147,AF147,IF(AND(AC147=AD147,AB147=AE147),"W"&amp;AH147,IF(AND(AC147=AD147,OR(AB147="",AE147="")),"W"&amp;AH147,IF(AND(AC147=AD147,AB147&gt;AE147),AA147,AF147))))))</f>
        <v>España</v>
      </c>
      <c r="E147" s="744">
        <v>101</v>
      </c>
      <c r="F147" s="744">
        <v>102</v>
      </c>
      <c r="G147" s="744"/>
      <c r="H147" s="744" t="str">
        <f ca="1">IF(AND(OR(AC147="",AD147="")),"LF",IF(AC147&gt;AD147,AF147,IF(AC147&lt;AD147,AA147,IF(AND(AC147=AD147,AB147=AE147),"LF",IF(AND(AC147=AD147,OR(AB147="",AE147="")),"LF",IF(AND(AC147=AD147,AB147&gt;AE147),AF147,AA147))))))</f>
        <v>Argentina</v>
      </c>
      <c r="I147" s="744"/>
      <c r="J147" s="738">
        <v>104</v>
      </c>
      <c r="K147" s="738">
        <v>46222.875</v>
      </c>
      <c r="L147" s="738" t="s">
        <v>716</v>
      </c>
      <c r="M147" s="738" t="str">
        <f ca="1">+INDEX($D$101:$D$147,MATCH(E147,$AH$101:$AH$147,0))</f>
        <v>España</v>
      </c>
      <c r="N147" s="738" t="str">
        <f ca="1">+INDEX($D$101:$D$147,MATCH(F147,$AH$101:$AH$147,0))</f>
        <v>Argentina</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España</v>
      </c>
      <c r="AB147" s="334"/>
      <c r="AC147" s="335">
        <v>1</v>
      </c>
      <c r="AD147" s="335">
        <v>0</v>
      </c>
      <c r="AE147" s="334"/>
      <c r="AF147" s="336" t="str">
        <f ca="1">IF(AND(OR(AC139="",AD139="")),"W"&amp;AH139,IF(AC139&gt;AD139,AA139,IF(AC139&lt;AD139,AF139,IF(AND(AC139=AD139,AB139=AE139),"W"&amp;AH139,IF(AND(AC139=AD139,OR(AB139="",AE139="")),"W"&amp;AH139,IF(AND(AC139=AD139,AB139&gt;AE139),AA139,AF139))))))</f>
        <v>Argentina</v>
      </c>
      <c r="AG147" s="417">
        <f ca="1">IF(D147="W"&amp;AH147,0,1)</f>
        <v>1</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España-Argentina</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 ca="1">IF(AND(OR(AC147="",AD147="")),"WF",IF(AC147&gt;AD147,AA147,IF(AC147&lt;AD147,AF147,IF(AND(AC147=AD147,AB147=AE147),"WF",IF(AND(AC147=AD147,OR(AB147="",AE147="")),"WF",IF(AND(AC147=AD147,AB147&gt;AE147),AA147,AF147))))))</f>
        <v>España</v>
      </c>
      <c r="AB150" s="350"/>
      <c r="AC150" s="350"/>
      <c r="AD150" s="350"/>
      <c r="AE150" s="350"/>
      <c r="AF150" s="351"/>
      <c r="AG150" s="417">
        <f ca="1">IF(AA150="WF",0,1)</f>
        <v>1</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 ca="1">IF(AND(OR(AC147="",AD147="")),"LF",IF(AC147&gt;AD147,AF147,IF(AC147&lt;AD147,AA147,IF(AND(AC147=AD147,AB147=AE147),"LF",IF(AND(AC147=AD147,OR(AB147="",AE147="")),"LF",IF(AND(AC147=AD147,AB147&gt;AE147),AF147,AA147))))))</f>
        <v>Argentina</v>
      </c>
      <c r="AB151" s="353"/>
      <c r="AC151" s="353"/>
      <c r="AD151" s="353"/>
      <c r="AE151" s="353"/>
      <c r="AF151" s="354"/>
      <c r="AG151" s="417">
        <f ca="1">IF(AA151="LF",0,1)</f>
        <v>1</v>
      </c>
      <c r="AH151" s="345"/>
      <c r="AI151" s="345"/>
      <c r="AJ151" s="831" t="str">
        <f ca="1">IF(SUM(COUNTIF(AG4:AG97,0),COUNTIF(AG101:AG160,0)&gt;0),AL148,AL149)</f>
        <v>MUNDIAL FINALIZADO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 ca="1">IF(AND(OR(AC143="",AD143="")),"W34",IF(AC143&gt;AD143,AA143,IF(AC143&lt;AD143,AF143,IF(AND(AC143=AD143,AB143=AE143),"W34",IF(AND(AC143=AD143,OR(AB143="",AE143="")),"W34",IF(AND(AC143=AD143,AB143&gt;AE143),AA143,AF143))))))</f>
        <v>Inglaterra</v>
      </c>
      <c r="AB152" s="360"/>
      <c r="AC152" s="360"/>
      <c r="AD152" s="360"/>
      <c r="AE152" s="360"/>
      <c r="AF152" s="361"/>
      <c r="AG152" s="417">
        <f ca="1">IF(AA152="W34",0,1)</f>
        <v>1</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
        <v>2033</v>
      </c>
      <c r="AB154" s="366"/>
      <c r="AC154" s="366"/>
      <c r="AD154" s="366"/>
      <c r="AE154" s="366"/>
      <c r="AF154" s="367"/>
      <c r="AG154" s="417">
        <f>IF(AA154=AH154,0,IF(AA154="",0,1))</f>
        <v>1</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
        <v>2460</v>
      </c>
      <c r="AB155" s="371"/>
      <c r="AC155" s="371"/>
      <c r="AD155" s="371"/>
      <c r="AE155" s="371"/>
      <c r="AF155" s="372"/>
      <c r="AG155" s="417">
        <f t="shared" ref="AG155:AG156" si="341">IF(AA155=AH155,0,IF(AA155="",0,1))</f>
        <v>1</v>
      </c>
      <c r="AH155" s="345" t="str">
        <f>+Idiomas!D42</f>
        <v>Escribe el jugador Bota de Plata</v>
      </c>
      <c r="AI155" s="345"/>
      <c r="AJ155" s="798" t="str">
        <f ca="1">IF(SUM(COUNTIF(AG4:AG97,0),COUNTIF(AG101:AG160,0)&gt;0),AM148,AM149)</f>
        <v>¿Quién habrá ganado?</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
        <v>2759</v>
      </c>
      <c r="AB156" s="376"/>
      <c r="AC156" s="376"/>
      <c r="AD156" s="376"/>
      <c r="AE156" s="376"/>
      <c r="AF156" s="377"/>
      <c r="AG156" s="417">
        <f t="shared" si="341"/>
        <v>1</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
        <v>2461</v>
      </c>
      <c r="AB158" s="366"/>
      <c r="AC158" s="366"/>
      <c r="AD158" s="366"/>
      <c r="AE158" s="366"/>
      <c r="AF158" s="367"/>
      <c r="AG158" s="417">
        <f t="shared" ref="AG158:AG160" si="342">IF(AA158=AH158,0,IF(AA158="",0,1))</f>
        <v>1</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
        <v>2460</v>
      </c>
      <c r="AB159" s="371"/>
      <c r="AC159" s="371"/>
      <c r="AD159" s="371"/>
      <c r="AE159" s="371"/>
      <c r="AF159" s="372"/>
      <c r="AG159" s="417">
        <f t="shared" si="342"/>
        <v>1</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
        <v>2033</v>
      </c>
      <c r="AB160" s="376"/>
      <c r="AC160" s="376"/>
      <c r="AD160" s="376"/>
      <c r="AE160" s="376"/>
      <c r="AF160" s="377"/>
      <c r="AG160" s="417">
        <f t="shared" si="342"/>
        <v>1</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Y1" zoomScale="91" zoomScaleNormal="100" workbookViewId="0">
      <selection activeCell="EI250" sqref="EI250: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32</v>
      </c>
      <c r="T1" s="87"/>
      <c r="U1" s="65"/>
      <c r="V1" s="87">
        <f ca="1">+IFERROR(RANK(V2,OFFSET($S$2,0,0,1,$D$5*3),0),"-")</f>
        <v>13</v>
      </c>
      <c r="W1" s="87"/>
      <c r="X1" s="65"/>
      <c r="Y1" s="87">
        <f ca="1">+IFERROR(RANK(Y2,OFFSET($S$2,0,0,1,$D$5*3),0),"-")</f>
        <v>18</v>
      </c>
      <c r="Z1" s="87"/>
      <c r="AA1" s="65"/>
      <c r="AB1" s="87">
        <f ca="1">+IFERROR(RANK(AB2,OFFSET($S$2,0,0,1,$D$5*3),0),"-")</f>
        <v>20</v>
      </c>
      <c r="AC1" s="87"/>
      <c r="AD1" s="65"/>
      <c r="AE1" s="87">
        <f ca="1">+IFERROR(RANK(AE2,OFFSET($S$2,0,0,1,$D$5*3),0),"-")</f>
        <v>16</v>
      </c>
      <c r="AF1" s="87"/>
      <c r="AG1" s="65"/>
      <c r="AH1" s="87">
        <f ca="1">+IFERROR(RANK(AH2,OFFSET($S$2,0,0,1,$D$5*3),0),"-")</f>
        <v>7</v>
      </c>
      <c r="AI1" s="87"/>
      <c r="AJ1" s="65"/>
      <c r="AK1" s="87">
        <f ca="1">+IFERROR(RANK(AK2,OFFSET($S$2,0,0,1,$D$5*3),0),"-")</f>
        <v>30</v>
      </c>
      <c r="AL1" s="87"/>
      <c r="AM1" s="65"/>
      <c r="AN1" s="87">
        <f ca="1">+IFERROR(RANK(AN2,OFFSET($S$2,0,0,1,$D$5*3),0),"-")</f>
        <v>27</v>
      </c>
      <c r="AO1" s="87"/>
      <c r="AP1" s="65"/>
      <c r="AQ1" s="87">
        <f ca="1">+IFERROR(RANK(AQ2,OFFSET($S$2,0,0,1,$D$5*3),0),"-")</f>
        <v>2</v>
      </c>
      <c r="AR1" s="87"/>
      <c r="AS1" s="65"/>
      <c r="AT1" s="87">
        <f ca="1">+IFERROR(RANK(AT2,OFFSET($S$2,0,0,1,$D$5*3),0),"-")</f>
        <v>29</v>
      </c>
      <c r="AU1" s="87"/>
      <c r="AV1" s="65"/>
      <c r="AW1" s="87">
        <f ca="1">+IFERROR(RANK(AW2,OFFSET($S$2,0,0,1,$D$5*3),0),"-")</f>
        <v>33</v>
      </c>
      <c r="AX1" s="87"/>
      <c r="AY1" s="65"/>
      <c r="AZ1" s="87">
        <f ca="1">+IFERROR(RANK(AZ2,OFFSET($S$2,0,0,1,$D$5*3),0),"-")</f>
        <v>25</v>
      </c>
      <c r="BA1" s="87"/>
      <c r="BB1" s="65"/>
      <c r="BC1" s="87">
        <f ca="1">+IFERROR(RANK(BC2,OFFSET($S$2,0,0,1,$D$5*3),0),"-")</f>
        <v>28</v>
      </c>
      <c r="BD1" s="87"/>
      <c r="BE1" s="65"/>
      <c r="BF1" s="87">
        <f ca="1">+IFERROR(RANK(BF2,OFFSET($S$2,0,0,1,$D$5*3),0),"-")</f>
        <v>3</v>
      </c>
      <c r="BG1" s="87"/>
      <c r="BH1" s="65"/>
      <c r="BI1" s="87">
        <f ca="1">+IFERROR(RANK(BI2,OFFSET($S$2,0,0,1,$D$5*3),0),"-")</f>
        <v>21</v>
      </c>
      <c r="BJ1" s="87"/>
      <c r="BK1" s="65"/>
      <c r="BL1" s="87">
        <f ca="1">+IFERROR(RANK(BL2,OFFSET($S$2,0,0,1,$D$5*3),0),"-")</f>
        <v>1</v>
      </c>
      <c r="BM1" s="87"/>
      <c r="BN1" s="65"/>
      <c r="BO1" s="87">
        <f ca="1">+IFERROR(RANK(BO2,OFFSET($S$2,0,0,1,$D$5*3),0),"-")</f>
        <v>10</v>
      </c>
      <c r="BP1" s="87"/>
      <c r="BQ1" s="65"/>
      <c r="BR1" s="87">
        <f ca="1">+IFERROR(RANK(BR2,OFFSET($S$2,0,0,1,$D$5*3),0),"-")</f>
        <v>15</v>
      </c>
      <c r="BS1" s="87"/>
      <c r="BT1" s="65"/>
      <c r="BU1" s="87">
        <f ca="1">+IFERROR(RANK(BU2,OFFSET($S$2,0,0,1,$D$5*3),0),"-")</f>
        <v>23</v>
      </c>
      <c r="BV1" s="87"/>
      <c r="BW1" s="65"/>
      <c r="BX1" s="87">
        <f ca="1">+IFERROR(RANK(BX2,OFFSET($S$2,0,0,1,$D$5*3),0),"-")</f>
        <v>24</v>
      </c>
      <c r="BY1" s="87"/>
      <c r="BZ1" s="65"/>
      <c r="CA1" s="87">
        <f ca="1">+IFERROR(RANK(CA2,OFFSET($S$2,0,0,1,$D$5*3),0),"-")</f>
        <v>12</v>
      </c>
      <c r="CB1" s="87"/>
      <c r="CC1" s="65"/>
      <c r="CD1" s="87">
        <f ca="1">+IFERROR(RANK(CD2,OFFSET($S$2,0,0,1,$D$5*3),0),"-")</f>
        <v>39</v>
      </c>
      <c r="CE1" s="87"/>
      <c r="CF1" s="65"/>
      <c r="CG1" s="87">
        <f ca="1">+IFERROR(RANK(CG2,OFFSET($S$2,0,0,1,$D$5*3),0),"-")</f>
        <v>22</v>
      </c>
      <c r="CH1" s="87"/>
      <c r="CI1" s="65"/>
      <c r="CJ1" s="87">
        <f ca="1">+IFERROR(RANK(CJ2,OFFSET($S$2,0,0,1,$D$5*3),0),"-")</f>
        <v>9</v>
      </c>
      <c r="CK1" s="87"/>
      <c r="CL1" s="65"/>
      <c r="CM1" s="87">
        <f ca="1">+IFERROR(RANK(CM2,OFFSET($S$2,0,0,1,$D$5*3),0),"-")</f>
        <v>26</v>
      </c>
      <c r="CN1" s="87"/>
      <c r="CO1" s="65"/>
      <c r="CP1" s="87">
        <f ca="1">+IFERROR(RANK(CP2,OFFSET($S$2,0,0,1,$D$5*3),0),"-")</f>
        <v>14</v>
      </c>
      <c r="CQ1" s="87"/>
      <c r="CR1" s="65"/>
      <c r="CS1" s="87">
        <f ca="1">+IFERROR(RANK(CS2,OFFSET($S$2,0,0,1,$D$5*3),0),"-")</f>
        <v>5</v>
      </c>
      <c r="CT1" s="87"/>
      <c r="CU1" s="65"/>
      <c r="CV1" s="87">
        <f ca="1">+IFERROR(RANK(CV2,OFFSET($S$2,0,0,1,$D$5*3),0),"-")</f>
        <v>11</v>
      </c>
      <c r="CW1" s="87"/>
      <c r="CX1" s="65"/>
      <c r="CY1" s="87">
        <f ca="1">+IFERROR(RANK(CY2,OFFSET($S$2,0,0,1,$D$5*3),0),"-")</f>
        <v>31</v>
      </c>
      <c r="CZ1" s="87"/>
      <c r="DA1" s="65"/>
      <c r="DB1" s="87">
        <f ca="1">+IFERROR(RANK(DB2,OFFSET($S$2,0,0,1,$D$5*3),0),"-")</f>
        <v>4</v>
      </c>
      <c r="DC1" s="87"/>
      <c r="DD1" s="65"/>
      <c r="DE1" s="87">
        <f ca="1">+IFERROR(RANK(DE2,OFFSET($S$2,0,0,1,$D$5*3),0),"-")</f>
        <v>40</v>
      </c>
      <c r="DF1" s="87"/>
      <c r="DG1" s="65"/>
      <c r="DH1" s="87">
        <f ca="1">+IFERROR(RANK(DH2,OFFSET($S$2,0,0,1,$D$5*3),0),"-")</f>
        <v>34</v>
      </c>
      <c r="DI1" s="87"/>
      <c r="DJ1" s="65"/>
      <c r="DK1" s="87">
        <f ca="1">+IFERROR(RANK(DK2,OFFSET($S$2,0,0,1,$D$5*3),0),"-")</f>
        <v>38</v>
      </c>
      <c r="DL1" s="87"/>
      <c r="DM1" s="65"/>
      <c r="DN1" s="87">
        <f ca="1">+IFERROR(RANK(DN2,OFFSET($S$2,0,0,1,$D$5*3),0),"-")</f>
        <v>17</v>
      </c>
      <c r="DO1" s="87"/>
      <c r="DP1" s="65"/>
      <c r="DQ1" s="87">
        <f ca="1">+IFERROR(RANK(DQ2,OFFSET($S$2,0,0,1,$D$5*3),0),"-")</f>
        <v>41</v>
      </c>
      <c r="DR1" s="87"/>
      <c r="DS1" s="65"/>
      <c r="DT1" s="87">
        <f ca="1">+IFERROR(RANK(DT2,OFFSET($S$2,0,0,1,$D$5*3),0),"-")</f>
        <v>35</v>
      </c>
      <c r="DU1" s="87"/>
      <c r="DV1" s="65"/>
      <c r="DW1" s="87">
        <f ca="1">+IFERROR(RANK(DW2,OFFSET($S$2,0,0,1,$D$5*3),0),"-")</f>
        <v>8</v>
      </c>
      <c r="DX1" s="87"/>
      <c r="DY1" s="65"/>
      <c r="DZ1" s="87">
        <f ca="1">+IFERROR(RANK(DZ2,OFFSET($S$2,0,0,1,$D$5*3),0),"-")</f>
        <v>19</v>
      </c>
      <c r="EA1" s="87"/>
      <c r="EB1" s="65"/>
      <c r="EC1" s="87">
        <f ca="1">+IFERROR(RANK(EC2,OFFSET($S$2,0,0,1,$D$5*3),0),"-")</f>
        <v>37</v>
      </c>
      <c r="ED1" s="87"/>
      <c r="EE1" s="65"/>
      <c r="EF1" s="87">
        <f ca="1">+IFERROR(RANK(EF2,OFFSET($S$2,0,0,1,$D$5*3),0),"-")</f>
        <v>36</v>
      </c>
      <c r="EG1" s="87"/>
      <c r="EH1" s="65"/>
      <c r="EI1" s="87">
        <f ca="1">+IFERROR(RANK(EI2,OFFSET($S$2,0,0,1,$D$5*3),0),"-")</f>
        <v>6</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294.99810000000002</v>
      </c>
      <c r="T2" s="87"/>
      <c r="U2" s="65"/>
      <c r="V2" s="87">
        <f t="shared" ref="V2" ca="1" si="0">V4-(COLUMN()/10000)</f>
        <v>351.99779999999998</v>
      </c>
      <c r="W2" s="87"/>
      <c r="X2" s="65"/>
      <c r="Y2" s="87">
        <f t="shared" ref="Y2" ca="1" si="1">Y4-(COLUMN()/10000)</f>
        <v>336.9975</v>
      </c>
      <c r="Z2" s="87"/>
      <c r="AA2" s="65"/>
      <c r="AB2" s="87">
        <f t="shared" ref="AB2" ca="1" si="2">AB4-(COLUMN()/10000)</f>
        <v>335.99720000000002</v>
      </c>
      <c r="AC2" s="87"/>
      <c r="AD2" s="65"/>
      <c r="AE2" s="87">
        <f t="shared" ref="AE2" ca="1" si="3">AE4-(COLUMN()/10000)</f>
        <v>340.99689999999998</v>
      </c>
      <c r="AF2" s="87"/>
      <c r="AG2" s="65"/>
      <c r="AH2" s="87">
        <f t="shared" ref="AH2" ca="1" si="4">AH4-(COLUMN()/10000)</f>
        <v>372.9966</v>
      </c>
      <c r="AI2" s="87"/>
      <c r="AJ2" s="65"/>
      <c r="AK2" s="87">
        <f t="shared" ref="AK2" ca="1" si="5">AK4-(COLUMN()/10000)</f>
        <v>301.99630000000002</v>
      </c>
      <c r="AL2" s="87"/>
      <c r="AM2" s="65"/>
      <c r="AN2" s="87">
        <f t="shared" ref="AN2" ca="1" si="6">AN4-(COLUMN()/10000)</f>
        <v>306.99599999999998</v>
      </c>
      <c r="AO2" s="87"/>
      <c r="AP2" s="65"/>
      <c r="AQ2" s="87">
        <f t="shared" ref="AQ2" ca="1" si="7">AQ4-(COLUMN()/10000)</f>
        <v>426.9957</v>
      </c>
      <c r="AR2" s="87"/>
      <c r="AS2" s="65"/>
      <c r="AT2" s="87">
        <f t="shared" ref="AT2" ca="1" si="8">AT4-(COLUMN()/10000)</f>
        <v>302.99540000000002</v>
      </c>
      <c r="AU2" s="87"/>
      <c r="AV2" s="65"/>
      <c r="AW2" s="87">
        <f t="shared" ref="AW2" ca="1" si="9">AW4-(COLUMN()/10000)</f>
        <v>294.99509999999998</v>
      </c>
      <c r="AX2" s="87"/>
      <c r="AY2" s="65"/>
      <c r="AZ2" s="87">
        <f t="shared" ref="AZ2" ca="1" si="10">AZ4-(COLUMN()/10000)</f>
        <v>315.9948</v>
      </c>
      <c r="BA2" s="87"/>
      <c r="BB2" s="65"/>
      <c r="BC2" s="87">
        <f t="shared" ref="BC2" ca="1" si="11">BC4-(COLUMN()/10000)</f>
        <v>304.99450000000002</v>
      </c>
      <c r="BD2" s="87"/>
      <c r="BE2" s="65"/>
      <c r="BF2" s="87">
        <f t="shared" ref="BF2" ca="1" si="12">BF4-(COLUMN()/10000)</f>
        <v>415.99419999999998</v>
      </c>
      <c r="BG2" s="87"/>
      <c r="BH2" s="65"/>
      <c r="BI2" s="87">
        <f t="shared" ref="BI2" ca="1" si="13">BI4-(COLUMN()/10000)</f>
        <v>331.9939</v>
      </c>
      <c r="BJ2" s="87"/>
      <c r="BK2" s="65"/>
      <c r="BL2" s="87">
        <f t="shared" ref="BL2" ca="1" si="14">BL4-(COLUMN()/10000)</f>
        <v>439.99360000000001</v>
      </c>
      <c r="BM2" s="87"/>
      <c r="BN2" s="65"/>
      <c r="BO2" s="87">
        <f t="shared" ref="BO2" ca="1" si="15">BO4-(COLUMN()/10000)</f>
        <v>362.99329999999998</v>
      </c>
      <c r="BP2" s="87"/>
      <c r="BQ2" s="65"/>
      <c r="BR2" s="87">
        <f t="shared" ref="BR2" ca="1" si="16">BR4-(COLUMN()/10000)</f>
        <v>344.99299999999999</v>
      </c>
      <c r="BS2" s="87"/>
      <c r="BT2" s="65"/>
      <c r="BU2" s="87">
        <f t="shared" ref="BU2" ca="1" si="17">BU4-(COLUMN()/10000)</f>
        <v>319.99270000000001</v>
      </c>
      <c r="BV2" s="87"/>
      <c r="BW2" s="65"/>
      <c r="BX2" s="87">
        <f t="shared" ref="BX2" ca="1" si="18">BX4-(COLUMN()/10000)</f>
        <v>318.99239999999998</v>
      </c>
      <c r="BY2" s="87"/>
      <c r="BZ2" s="65"/>
      <c r="CA2" s="87">
        <f t="shared" ref="CA2" ca="1" si="19">CA4-(COLUMN()/10000)</f>
        <v>353.99209999999999</v>
      </c>
      <c r="CB2" s="87"/>
      <c r="CC2" s="65"/>
      <c r="CD2" s="87">
        <f t="shared" ref="CD2" ca="1" si="20">CD4-(COLUMN()/10000)</f>
        <v>271.99180000000001</v>
      </c>
      <c r="CE2" s="87"/>
      <c r="CF2" s="65"/>
      <c r="CG2" s="87">
        <f t="shared" ref="CG2" ca="1" si="21">CG4-(COLUMN()/10000)</f>
        <v>325.99149999999997</v>
      </c>
      <c r="CH2" s="87"/>
      <c r="CI2" s="65"/>
      <c r="CJ2" s="87">
        <f t="shared" ref="CJ2" ca="1" si="22">CJ4-(COLUMN()/10000)</f>
        <v>369.99119999999999</v>
      </c>
      <c r="CK2" s="87"/>
      <c r="CL2" s="65"/>
      <c r="CM2" s="87">
        <f t="shared" ref="CM2" ca="1" si="23">CM4-(COLUMN()/10000)</f>
        <v>314.99090000000001</v>
      </c>
      <c r="CN2" s="87"/>
      <c r="CO2" s="65"/>
      <c r="CP2" s="87">
        <f t="shared" ref="CP2" ca="1" si="24">CP4-(COLUMN()/10000)</f>
        <v>348.99059999999997</v>
      </c>
      <c r="CQ2" s="87"/>
      <c r="CR2" s="65"/>
      <c r="CS2" s="87">
        <f t="shared" ref="CS2" ca="1" si="25">CS4-(COLUMN()/10000)</f>
        <v>396.99029999999999</v>
      </c>
      <c r="CT2" s="87"/>
      <c r="CU2" s="65"/>
      <c r="CV2" s="87">
        <f t="shared" ref="CV2" ca="1" si="26">CV4-(COLUMN()/10000)</f>
        <v>357.99</v>
      </c>
      <c r="CW2" s="87"/>
      <c r="CX2" s="65"/>
      <c r="CY2" s="87">
        <f t="shared" ref="CY2" ca="1" si="27">CY4-(COLUMN()/10000)</f>
        <v>301.98970000000003</v>
      </c>
      <c r="CZ2" s="87"/>
      <c r="DA2" s="65"/>
      <c r="DB2" s="87">
        <f t="shared" ref="DB2" ca="1" si="28">DB4-(COLUMN()/10000)</f>
        <v>404.98939999999999</v>
      </c>
      <c r="DC2" s="87"/>
      <c r="DD2" s="65"/>
      <c r="DE2" s="87">
        <f t="shared" ref="DE2" ca="1" si="29">DE4-(COLUMN()/10000)</f>
        <v>268.98910000000001</v>
      </c>
      <c r="DF2" s="87"/>
      <c r="DG2" s="65"/>
      <c r="DH2" s="87">
        <f t="shared" ref="DH2" ca="1" si="30">DH4-(COLUMN()/10000)</f>
        <v>294.98880000000003</v>
      </c>
      <c r="DI2" s="87"/>
      <c r="DJ2" s="65"/>
      <c r="DK2" s="87">
        <f t="shared" ref="DK2" ca="1" si="31">DK4-(COLUMN()/10000)</f>
        <v>272.98849999999999</v>
      </c>
      <c r="DL2" s="87"/>
      <c r="DM2" s="65"/>
      <c r="DN2" s="87">
        <f t="shared" ref="DN2" ca="1" si="32">DN4-(COLUMN()/10000)</f>
        <v>338.98820000000001</v>
      </c>
      <c r="DO2" s="87"/>
      <c r="DP2" s="65"/>
      <c r="DQ2" s="87">
        <f t="shared" ref="DQ2" ca="1" si="33">DQ4-(COLUMN()/10000)</f>
        <v>255.9879</v>
      </c>
      <c r="DR2" s="87"/>
      <c r="DS2" s="65"/>
      <c r="DT2" s="87">
        <f t="shared" ref="DT2" ca="1" si="34">DT4-(COLUMN()/10000)</f>
        <v>292.98759999999999</v>
      </c>
      <c r="DU2" s="87"/>
      <c r="DV2" s="65"/>
      <c r="DW2" s="87">
        <f t="shared" ref="DW2" ca="1" si="35">DW4-(COLUMN()/10000)</f>
        <v>372.9873</v>
      </c>
      <c r="DX2" s="87"/>
      <c r="DY2" s="65"/>
      <c r="DZ2" s="87">
        <f t="shared" ref="DZ2" ca="1" si="36">DZ4-(COLUMN()/10000)</f>
        <v>336.98700000000002</v>
      </c>
      <c r="EA2" s="87"/>
      <c r="EB2" s="65"/>
      <c r="EC2" s="87">
        <f t="shared" ref="EC2" ca="1" si="37">EC4-(COLUMN()/10000)</f>
        <v>291.98669999999998</v>
      </c>
      <c r="ED2" s="87"/>
      <c r="EE2" s="65"/>
      <c r="EF2" s="87">
        <f t="shared" ref="EF2" ca="1" si="38">EF4-(COLUMN()/10000)</f>
        <v>292.9864</v>
      </c>
      <c r="EG2" s="87"/>
      <c r="EH2" s="65"/>
      <c r="EI2" s="87">
        <f t="shared" ref="EI2" ca="1" si="39">EI4-(COLUMN()/10000)</f>
        <v>373.98610000000002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32</v>
      </c>
      <c r="T3" s="87"/>
      <c r="U3" s="65"/>
      <c r="V3" s="87">
        <f ca="1">RANK(V4,OFFSET($S$4,0,0,1,$D$5*3),0)</f>
        <v>13</v>
      </c>
      <c r="W3" s="87"/>
      <c r="X3" s="65"/>
      <c r="Y3" s="87">
        <f ca="1">RANK(Y4,OFFSET($S$4,0,0,1,$D$5*3),0)</f>
        <v>18</v>
      </c>
      <c r="Z3" s="87"/>
      <c r="AA3" s="65"/>
      <c r="AB3" s="87">
        <f ca="1">RANK(AB4,OFFSET($S$4,0,0,1,$D$5*3),0)</f>
        <v>20</v>
      </c>
      <c r="AC3" s="87"/>
      <c r="AD3" s="65"/>
      <c r="AE3" s="87">
        <f ca="1">RANK(AE4,OFFSET($S$4,0,0,1,$D$5*3),0)</f>
        <v>16</v>
      </c>
      <c r="AF3" s="87"/>
      <c r="AG3" s="65"/>
      <c r="AH3" s="87">
        <f ca="1">RANK(AH4,OFFSET($S$4,0,0,1,$D$5*3),0)</f>
        <v>7</v>
      </c>
      <c r="AI3" s="87"/>
      <c r="AJ3" s="65"/>
      <c r="AK3" s="87">
        <f ca="1">RANK(AK4,OFFSET($S$4,0,0,1,$D$5*3),0)</f>
        <v>30</v>
      </c>
      <c r="AL3" s="87"/>
      <c r="AM3" s="65"/>
      <c r="AN3" s="87">
        <f ca="1">RANK(AN4,OFFSET($S$4,0,0,1,$D$5*3),0)</f>
        <v>27</v>
      </c>
      <c r="AO3" s="87"/>
      <c r="AP3" s="65"/>
      <c r="AQ3" s="87">
        <f ca="1">RANK(AQ4,OFFSET($S$4,0,0,1,$D$5*3),0)</f>
        <v>2</v>
      </c>
      <c r="AR3" s="87"/>
      <c r="AS3" s="65"/>
      <c r="AT3" s="87">
        <f ca="1">RANK(AT4,OFFSET($S$4,0,0,1,$D$5*3),0)</f>
        <v>29</v>
      </c>
      <c r="AU3" s="87"/>
      <c r="AV3" s="65"/>
      <c r="AW3" s="87">
        <f ca="1">RANK(AW4,OFFSET($S$4,0,0,1,$D$5*3),0)</f>
        <v>32</v>
      </c>
      <c r="AX3" s="87"/>
      <c r="AY3" s="65"/>
      <c r="AZ3" s="87">
        <f ca="1">RANK(AZ4,OFFSET($S$4,0,0,1,$D$5*3),0)</f>
        <v>25</v>
      </c>
      <c r="BA3" s="87"/>
      <c r="BB3" s="65"/>
      <c r="BC3" s="87">
        <f ca="1">RANK(BC4,OFFSET($S$4,0,0,1,$D$5*3),0)</f>
        <v>28</v>
      </c>
      <c r="BD3" s="87"/>
      <c r="BE3" s="65"/>
      <c r="BF3" s="87">
        <f ca="1">RANK(BF4,OFFSET($S$4,0,0,1,$D$5*3),0)</f>
        <v>3</v>
      </c>
      <c r="BG3" s="87"/>
      <c r="BH3" s="65"/>
      <c r="BI3" s="87">
        <f ca="1">RANK(BI4,OFFSET($S$4,0,0,1,$D$5*3),0)</f>
        <v>21</v>
      </c>
      <c r="BJ3" s="87"/>
      <c r="BK3" s="65"/>
      <c r="BL3" s="87">
        <f ca="1">RANK(BL4,OFFSET($S$4,0,0,1,$D$5*3),0)</f>
        <v>1</v>
      </c>
      <c r="BM3" s="87"/>
      <c r="BN3" s="65"/>
      <c r="BO3" s="87">
        <f ca="1">RANK(BO4,OFFSET($S$4,0,0,1,$D$5*3),0)</f>
        <v>10</v>
      </c>
      <c r="BP3" s="87"/>
      <c r="BQ3" s="65"/>
      <c r="BR3" s="87">
        <f ca="1">RANK(BR4,OFFSET($S$4,0,0,1,$D$5*3),0)</f>
        <v>15</v>
      </c>
      <c r="BS3" s="87"/>
      <c r="BT3" s="65"/>
      <c r="BU3" s="87">
        <f ca="1">RANK(BU4,OFFSET($S$4,0,0,1,$D$5*3),0)</f>
        <v>23</v>
      </c>
      <c r="BV3" s="87"/>
      <c r="BW3" s="65"/>
      <c r="BX3" s="87">
        <f ca="1">RANK(BX4,OFFSET($S$4,0,0,1,$D$5*3),0)</f>
        <v>24</v>
      </c>
      <c r="BY3" s="87"/>
      <c r="BZ3" s="65"/>
      <c r="CA3" s="87">
        <f ca="1">RANK(CA4,OFFSET($S$4,0,0,1,$D$5*3),0)</f>
        <v>12</v>
      </c>
      <c r="CB3" s="87"/>
      <c r="CC3" s="65"/>
      <c r="CD3" s="87">
        <f ca="1">RANK(CD4,OFFSET($S$4,0,0,1,$D$5*3),0)</f>
        <v>39</v>
      </c>
      <c r="CE3" s="87"/>
      <c r="CF3" s="65"/>
      <c r="CG3" s="87">
        <f ca="1">RANK(CG4,OFFSET($S$4,0,0,1,$D$5*3),0)</f>
        <v>22</v>
      </c>
      <c r="CH3" s="87"/>
      <c r="CI3" s="65"/>
      <c r="CJ3" s="87">
        <f ca="1">RANK(CJ4,OFFSET($S$4,0,0,1,$D$5*3),0)</f>
        <v>9</v>
      </c>
      <c r="CK3" s="87"/>
      <c r="CL3" s="65"/>
      <c r="CM3" s="87">
        <f ca="1">RANK(CM4,OFFSET($S$4,0,0,1,$D$5*3),0)</f>
        <v>26</v>
      </c>
      <c r="CN3" s="87"/>
      <c r="CO3" s="65"/>
      <c r="CP3" s="87">
        <f ca="1">RANK(CP4,OFFSET($S$4,0,0,1,$D$5*3),0)</f>
        <v>14</v>
      </c>
      <c r="CQ3" s="87"/>
      <c r="CR3" s="65"/>
      <c r="CS3" s="87">
        <f ca="1">RANK(CS4,OFFSET($S$4,0,0,1,$D$5*3),0)</f>
        <v>5</v>
      </c>
      <c r="CT3" s="87"/>
      <c r="CU3" s="65"/>
      <c r="CV3" s="87">
        <f ca="1">RANK(CV4,OFFSET($S$4,0,0,1,$D$5*3),0)</f>
        <v>11</v>
      </c>
      <c r="CW3" s="87"/>
      <c r="CX3" s="65"/>
      <c r="CY3" s="87">
        <f ca="1">RANK(CY4,OFFSET($S$4,0,0,1,$D$5*3),0)</f>
        <v>30</v>
      </c>
      <c r="CZ3" s="87"/>
      <c r="DA3" s="65"/>
      <c r="DB3" s="87">
        <f ca="1">RANK(DB4,OFFSET($S$4,0,0,1,$D$5*3),0)</f>
        <v>4</v>
      </c>
      <c r="DC3" s="87"/>
      <c r="DD3" s="65"/>
      <c r="DE3" s="87">
        <f ca="1">RANK(DE4,OFFSET($S$4,0,0,1,$D$5*3),0)</f>
        <v>40</v>
      </c>
      <c r="DF3" s="87"/>
      <c r="DG3" s="65"/>
      <c r="DH3" s="87">
        <f ca="1">RANK(DH4,OFFSET($S$4,0,0,1,$D$5*3),0)</f>
        <v>32</v>
      </c>
      <c r="DI3" s="87"/>
      <c r="DJ3" s="65"/>
      <c r="DK3" s="87">
        <f ca="1">RANK(DK4,OFFSET($S$4,0,0,1,$D$5*3),0)</f>
        <v>38</v>
      </c>
      <c r="DL3" s="87"/>
      <c r="DM3" s="65"/>
      <c r="DN3" s="87">
        <f ca="1">RANK(DN4,OFFSET($S$4,0,0,1,$D$5*3),0)</f>
        <v>17</v>
      </c>
      <c r="DO3" s="87"/>
      <c r="DP3" s="65"/>
      <c r="DQ3" s="87">
        <f ca="1">RANK(DQ4,OFFSET($S$4,0,0,1,$D$5*3),0)</f>
        <v>41</v>
      </c>
      <c r="DR3" s="87"/>
      <c r="DS3" s="65"/>
      <c r="DT3" s="87">
        <f ca="1">RANK(DT4,OFFSET($S$4,0,0,1,$D$5*3),0)</f>
        <v>35</v>
      </c>
      <c r="DU3" s="87"/>
      <c r="DV3" s="65"/>
      <c r="DW3" s="87">
        <f ca="1">RANK(DW4,OFFSET($S$4,0,0,1,$D$5*3),0)</f>
        <v>7</v>
      </c>
      <c r="DX3" s="87"/>
      <c r="DY3" s="65"/>
      <c r="DZ3" s="87">
        <f ca="1">RANK(DZ4,OFFSET($S$4,0,0,1,$D$5*3),0)</f>
        <v>18</v>
      </c>
      <c r="EA3" s="87"/>
      <c r="EB3" s="65"/>
      <c r="EC3" s="87">
        <f ca="1">RANK(EC4,OFFSET($S$4,0,0,1,$D$5*3),0)</f>
        <v>37</v>
      </c>
      <c r="ED3" s="87"/>
      <c r="EE3" s="65"/>
      <c r="EF3" s="87">
        <f ca="1">RANK(EF4,OFFSET($S$4,0,0,1,$D$5*3),0)</f>
        <v>35</v>
      </c>
      <c r="EG3" s="87"/>
      <c r="EH3" s="65"/>
      <c r="EI3" s="87">
        <f ca="1">RANK(EI4,OFFSET($S$4,0,0,1,$D$5*3),0)</f>
        <v>6</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295</v>
      </c>
      <c r="T4" s="68"/>
      <c r="U4" s="65"/>
      <c r="V4" s="67">
        <f ca="1">SUM(W6:W259)/2</f>
        <v>352</v>
      </c>
      <c r="W4" s="68"/>
      <c r="X4" s="65"/>
      <c r="Y4" s="67">
        <f ca="1">SUM(Z6:Z259)/2</f>
        <v>337</v>
      </c>
      <c r="Z4" s="68"/>
      <c r="AA4" s="65"/>
      <c r="AB4" s="67">
        <f ca="1">SUM(AC6:AC259)/2</f>
        <v>336</v>
      </c>
      <c r="AC4" s="68"/>
      <c r="AD4" s="65"/>
      <c r="AE4" s="67">
        <f ca="1">SUM(AF6:AF259)/2</f>
        <v>341</v>
      </c>
      <c r="AF4" s="68"/>
      <c r="AG4" s="65"/>
      <c r="AH4" s="67">
        <f ca="1">SUM(AI6:AI259)/2</f>
        <v>373</v>
      </c>
      <c r="AI4" s="68"/>
      <c r="AJ4" s="65"/>
      <c r="AK4" s="67">
        <f ca="1">SUM(AL6:AL259)/2</f>
        <v>302</v>
      </c>
      <c r="AL4" s="68"/>
      <c r="AM4" s="65"/>
      <c r="AN4" s="67">
        <f ca="1">SUM(AO6:AO259)/2</f>
        <v>307</v>
      </c>
      <c r="AO4" s="68"/>
      <c r="AP4" s="65"/>
      <c r="AQ4" s="67">
        <f ca="1">SUM(AR6:AR259)/2</f>
        <v>427</v>
      </c>
      <c r="AR4" s="68"/>
      <c r="AS4" s="65"/>
      <c r="AT4" s="67">
        <f ca="1">SUM(AU6:AU259)/2</f>
        <v>303</v>
      </c>
      <c r="AU4" s="68"/>
      <c r="AV4" s="65"/>
      <c r="AW4" s="67">
        <f ca="1">SUM(AX6:AX259)/2</f>
        <v>295</v>
      </c>
      <c r="AX4" s="68"/>
      <c r="AY4" s="65"/>
      <c r="AZ4" s="67">
        <f ca="1">SUM(BA6:BA259)/2</f>
        <v>316</v>
      </c>
      <c r="BA4" s="68"/>
      <c r="BB4" s="65"/>
      <c r="BC4" s="67">
        <f ca="1">SUM(BD6:BD259)/2</f>
        <v>305</v>
      </c>
      <c r="BD4" s="68"/>
      <c r="BE4" s="65"/>
      <c r="BF4" s="67">
        <f ca="1">SUM(BG6:BG259)/2</f>
        <v>416</v>
      </c>
      <c r="BG4" s="68"/>
      <c r="BH4" s="65"/>
      <c r="BI4" s="67">
        <f ca="1">SUM(BJ6:BJ259)/2</f>
        <v>332</v>
      </c>
      <c r="BJ4" s="68"/>
      <c r="BK4" s="65"/>
      <c r="BL4" s="67">
        <f ca="1">SUM(BM6:BM259)/2</f>
        <v>440</v>
      </c>
      <c r="BM4" s="68"/>
      <c r="BN4" s="65"/>
      <c r="BO4" s="67">
        <f ca="1">SUM(BP6:BP259)/2</f>
        <v>363</v>
      </c>
      <c r="BP4" s="68"/>
      <c r="BQ4" s="65"/>
      <c r="BR4" s="67">
        <f ca="1">SUM(BS6:BS259)/2</f>
        <v>345</v>
      </c>
      <c r="BS4" s="68"/>
      <c r="BT4" s="65"/>
      <c r="BU4" s="67">
        <f ca="1">SUM(BV6:BV259)/2</f>
        <v>320</v>
      </c>
      <c r="BV4" s="68"/>
      <c r="BW4" s="65"/>
      <c r="BX4" s="67">
        <f ca="1">SUM(BY6:BY259)/2</f>
        <v>319</v>
      </c>
      <c r="BY4" s="68"/>
      <c r="BZ4" s="65"/>
      <c r="CA4" s="67">
        <f ca="1">SUM(CB6:CB259)/2</f>
        <v>354</v>
      </c>
      <c r="CB4" s="68"/>
      <c r="CC4" s="65"/>
      <c r="CD4" s="67">
        <f ca="1">SUM(CE6:CE259)/2</f>
        <v>272</v>
      </c>
      <c r="CE4" s="68"/>
      <c r="CF4" s="65"/>
      <c r="CG4" s="67">
        <f ca="1">SUM(CH6:CH259)/2</f>
        <v>326</v>
      </c>
      <c r="CH4" s="68"/>
      <c r="CI4" s="65"/>
      <c r="CJ4" s="67">
        <f ca="1">SUM(CK6:CK259)/2</f>
        <v>370</v>
      </c>
      <c r="CK4" s="68"/>
      <c r="CL4" s="65"/>
      <c r="CM4" s="67">
        <f ca="1">SUM(CN6:CN259)/2</f>
        <v>315</v>
      </c>
      <c r="CN4" s="68"/>
      <c r="CO4" s="65"/>
      <c r="CP4" s="67">
        <f ca="1">SUM(CQ6:CQ259)/2</f>
        <v>349</v>
      </c>
      <c r="CQ4" s="68"/>
      <c r="CR4" s="65"/>
      <c r="CS4" s="67">
        <f ca="1">SUM(CT6:CT259)/2</f>
        <v>397</v>
      </c>
      <c r="CT4" s="68"/>
      <c r="CU4" s="65"/>
      <c r="CV4" s="67">
        <f ca="1">SUM(CW6:CW259)/2</f>
        <v>358</v>
      </c>
      <c r="CW4" s="68"/>
      <c r="CX4" s="65"/>
      <c r="CY4" s="67">
        <f ca="1">SUM(CZ6:CZ259)/2</f>
        <v>302</v>
      </c>
      <c r="CZ4" s="68"/>
      <c r="DA4" s="65"/>
      <c r="DB4" s="67">
        <f ca="1">SUM(DC6:DC259)/2</f>
        <v>405</v>
      </c>
      <c r="DC4" s="68"/>
      <c r="DD4" s="65"/>
      <c r="DE4" s="67">
        <f ca="1">SUM(DF6:DF259)/2</f>
        <v>269</v>
      </c>
      <c r="DF4" s="68"/>
      <c r="DG4" s="65"/>
      <c r="DH4" s="67">
        <f ca="1">SUM(DI6:DI259)/2</f>
        <v>295</v>
      </c>
      <c r="DI4" s="68"/>
      <c r="DJ4" s="65"/>
      <c r="DK4" s="67">
        <f ca="1">SUM(DL6:DL259)/2</f>
        <v>273</v>
      </c>
      <c r="DL4" s="68"/>
      <c r="DM4" s="65"/>
      <c r="DN4" s="67">
        <f ca="1">SUM(DO6:DO259)/2</f>
        <v>339</v>
      </c>
      <c r="DO4" s="68"/>
      <c r="DP4" s="65"/>
      <c r="DQ4" s="67">
        <f ca="1">SUM(DR6:DR259)/2</f>
        <v>256</v>
      </c>
      <c r="DR4" s="68"/>
      <c r="DS4" s="65"/>
      <c r="DT4" s="67">
        <f ca="1">SUM(DU6:DU259)/2</f>
        <v>293</v>
      </c>
      <c r="DU4" s="68"/>
      <c r="DV4" s="65"/>
      <c r="DW4" s="67">
        <f ca="1">SUM(DX6:DX259)/2</f>
        <v>373</v>
      </c>
      <c r="DX4" s="68"/>
      <c r="DY4" s="65"/>
      <c r="DZ4" s="67">
        <f ca="1">SUM(EA6:EA259)/2</f>
        <v>337</v>
      </c>
      <c r="EA4" s="68"/>
      <c r="EB4" s="65"/>
      <c r="EC4" s="67">
        <f ca="1">SUM(ED6:ED259)/2</f>
        <v>292</v>
      </c>
      <c r="ED4" s="68"/>
      <c r="EE4" s="65"/>
      <c r="EF4" s="67">
        <f ca="1">SUM(EG6:EG259)/2</f>
        <v>293</v>
      </c>
      <c r="EG4" s="68"/>
      <c r="EH4" s="65"/>
      <c r="EI4" s="67">
        <f ca="1">SUM(EJ6:EJ259)/2</f>
        <v>374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1998</v>
      </c>
      <c r="W5" s="70"/>
      <c r="X5" s="65">
        <v>2</v>
      </c>
      <c r="Y5" s="69" t="s">
        <v>2036</v>
      </c>
      <c r="Z5" s="70"/>
      <c r="AA5" s="65">
        <v>3</v>
      </c>
      <c r="AB5" s="69" t="s">
        <v>2068</v>
      </c>
      <c r="AC5" s="70"/>
      <c r="AD5" s="65">
        <v>4</v>
      </c>
      <c r="AE5" s="69" t="s">
        <v>2091</v>
      </c>
      <c r="AF5" s="70"/>
      <c r="AG5" s="65">
        <v>5</v>
      </c>
      <c r="AH5" s="69" t="s">
        <v>2120</v>
      </c>
      <c r="AI5" s="70"/>
      <c r="AJ5" s="65">
        <v>6</v>
      </c>
      <c r="AK5" s="69" t="s">
        <v>2146</v>
      </c>
      <c r="AL5" s="70"/>
      <c r="AM5" s="65">
        <v>7</v>
      </c>
      <c r="AN5" s="69" t="s">
        <v>2174</v>
      </c>
      <c r="AO5" s="70"/>
      <c r="AP5" s="65">
        <v>8</v>
      </c>
      <c r="AQ5" s="69" t="s">
        <v>2204</v>
      </c>
      <c r="AR5" s="70"/>
      <c r="AS5" s="65">
        <v>9</v>
      </c>
      <c r="AT5" s="69" t="s">
        <v>2251</v>
      </c>
      <c r="AU5" s="70"/>
      <c r="AV5" s="65">
        <v>10</v>
      </c>
      <c r="AW5" s="69" t="s">
        <v>2252</v>
      </c>
      <c r="AX5" s="70"/>
      <c r="AY5" s="65">
        <v>11</v>
      </c>
      <c r="AZ5" s="69" t="s">
        <v>2276</v>
      </c>
      <c r="BA5" s="70"/>
      <c r="BB5" s="65">
        <v>12</v>
      </c>
      <c r="BC5" s="69" t="s">
        <v>2229</v>
      </c>
      <c r="BD5" s="70"/>
      <c r="BE5" s="65">
        <v>13</v>
      </c>
      <c r="BF5" s="69" t="s">
        <v>2324</v>
      </c>
      <c r="BG5" s="70"/>
      <c r="BH5" s="65">
        <v>14</v>
      </c>
      <c r="BI5" s="69" t="s">
        <v>2342</v>
      </c>
      <c r="BJ5" s="70"/>
      <c r="BK5" s="65">
        <v>15</v>
      </c>
      <c r="BL5" s="69" t="s">
        <v>2362</v>
      </c>
      <c r="BM5" s="70"/>
      <c r="BN5" s="65">
        <v>16</v>
      </c>
      <c r="BO5" s="69" t="s">
        <v>2378</v>
      </c>
      <c r="BP5" s="70"/>
      <c r="BQ5" s="65">
        <v>17</v>
      </c>
      <c r="BR5" s="69" t="s">
        <v>2388</v>
      </c>
      <c r="BS5" s="70"/>
      <c r="BT5" s="65">
        <v>18</v>
      </c>
      <c r="BU5" s="69" t="s">
        <v>2400</v>
      </c>
      <c r="BV5" s="70"/>
      <c r="BW5" s="65">
        <v>19</v>
      </c>
      <c r="BX5" s="69" t="s">
        <v>2422</v>
      </c>
      <c r="BY5" s="70"/>
      <c r="BZ5" s="65">
        <v>20</v>
      </c>
      <c r="CA5" s="69" t="s">
        <v>2440</v>
      </c>
      <c r="CB5" s="70"/>
      <c r="CC5" s="65">
        <v>21</v>
      </c>
      <c r="CD5" s="69" t="s">
        <v>2462</v>
      </c>
      <c r="CE5" s="70"/>
      <c r="CF5" s="65">
        <v>22</v>
      </c>
      <c r="CG5" s="69" t="s">
        <v>2477</v>
      </c>
      <c r="CH5" s="70"/>
      <c r="CI5" s="65">
        <v>23</v>
      </c>
      <c r="CJ5" s="69" t="s">
        <v>2495</v>
      </c>
      <c r="CK5" s="70"/>
      <c r="CL5" s="65">
        <v>24</v>
      </c>
      <c r="CM5" s="69" t="s">
        <v>2508</v>
      </c>
      <c r="CN5" s="70"/>
      <c r="CO5" s="65">
        <v>25</v>
      </c>
      <c r="CP5" s="69" t="s">
        <v>2525</v>
      </c>
      <c r="CQ5" s="70"/>
      <c r="CR5" s="65">
        <v>26</v>
      </c>
      <c r="CS5" s="69" t="s">
        <v>2537</v>
      </c>
      <c r="CT5" s="70"/>
      <c r="CU5" s="65">
        <v>27</v>
      </c>
      <c r="CV5" s="69" t="s">
        <v>2543</v>
      </c>
      <c r="CW5" s="70"/>
      <c r="CX5" s="65">
        <v>28</v>
      </c>
      <c r="CY5" s="69" t="s">
        <v>2554</v>
      </c>
      <c r="CZ5" s="70"/>
      <c r="DA5" s="65">
        <v>29</v>
      </c>
      <c r="DB5" s="69" t="s">
        <v>2590</v>
      </c>
      <c r="DC5" s="70"/>
      <c r="DD5" s="65">
        <v>30</v>
      </c>
      <c r="DE5" s="69" t="s">
        <v>2591</v>
      </c>
      <c r="DF5" s="70"/>
      <c r="DG5" s="65">
        <v>31</v>
      </c>
      <c r="DH5" s="69" t="s">
        <v>2608</v>
      </c>
      <c r="DI5" s="70"/>
      <c r="DJ5" s="65">
        <v>32</v>
      </c>
      <c r="DK5" s="69" t="s">
        <v>2621</v>
      </c>
      <c r="DL5" s="70"/>
      <c r="DM5" s="65">
        <v>33</v>
      </c>
      <c r="DN5" s="792" t="s">
        <v>2635</v>
      </c>
      <c r="DO5" s="70"/>
      <c r="DP5" s="65">
        <v>34</v>
      </c>
      <c r="DQ5" s="792" t="s">
        <v>2646</v>
      </c>
      <c r="DR5" s="70"/>
      <c r="DS5" s="65">
        <v>35</v>
      </c>
      <c r="DT5" s="69" t="s">
        <v>2674</v>
      </c>
      <c r="DU5" s="70"/>
      <c r="DV5" s="65">
        <v>36</v>
      </c>
      <c r="DW5" s="69" t="s">
        <v>2698</v>
      </c>
      <c r="DX5" s="70"/>
      <c r="DY5" s="65">
        <v>37</v>
      </c>
      <c r="DZ5" s="69" t="s">
        <v>2712</v>
      </c>
      <c r="EA5" s="70"/>
      <c r="EB5" s="65">
        <v>38</v>
      </c>
      <c r="EC5" s="69" t="s">
        <v>2728</v>
      </c>
      <c r="ED5" s="70"/>
      <c r="EE5" s="65">
        <v>39</v>
      </c>
      <c r="EF5" s="69" t="s">
        <v>2735</v>
      </c>
      <c r="EG5" s="70"/>
      <c r="EH5" s="65">
        <v>40</v>
      </c>
      <c r="EI5" s="69" t="s">
        <v>2753</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2295</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1999</v>
      </c>
      <c r="W14" s="73">
        <f t="shared" si="99"/>
        <v>1</v>
      </c>
      <c r="X14" s="65"/>
      <c r="Y14" s="74" t="s">
        <v>1999</v>
      </c>
      <c r="Z14" s="73">
        <f t="shared" si="100"/>
        <v>1</v>
      </c>
      <c r="AA14" s="65"/>
      <c r="AB14" s="74" t="s">
        <v>1943</v>
      </c>
      <c r="AC14" s="73">
        <f t="shared" si="100"/>
        <v>1</v>
      </c>
      <c r="AD14" s="65"/>
      <c r="AE14" s="74" t="s">
        <v>1951</v>
      </c>
      <c r="AF14" s="73">
        <f t="shared" si="100"/>
        <v>1</v>
      </c>
      <c r="AG14" s="65"/>
      <c r="AH14" s="74" t="s">
        <v>1999</v>
      </c>
      <c r="AI14" s="73">
        <f t="shared" si="100"/>
        <v>1</v>
      </c>
      <c r="AJ14" s="65"/>
      <c r="AK14" s="74" t="s">
        <v>1951</v>
      </c>
      <c r="AL14" s="73">
        <f t="shared" si="100"/>
        <v>1</v>
      </c>
      <c r="AM14" s="65"/>
      <c r="AN14" s="74" t="s">
        <v>1999</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1999</v>
      </c>
      <c r="BJ14" s="73">
        <f t="shared" si="100"/>
        <v>1</v>
      </c>
      <c r="BK14" s="65"/>
      <c r="BL14" s="74" t="s">
        <v>1999</v>
      </c>
      <c r="BM14" s="73">
        <f t="shared" si="100"/>
        <v>1</v>
      </c>
      <c r="BN14" s="65"/>
      <c r="BO14" s="74" t="s">
        <v>1999</v>
      </c>
      <c r="BP14" s="73">
        <f t="shared" si="100"/>
        <v>1</v>
      </c>
      <c r="BQ14" s="65"/>
      <c r="BR14" s="74" t="s">
        <v>1958</v>
      </c>
      <c r="BS14" s="73">
        <f t="shared" si="100"/>
        <v>1</v>
      </c>
      <c r="BT14" s="65"/>
      <c r="BU14" s="74" t="s">
        <v>1999</v>
      </c>
      <c r="BV14" s="73">
        <f t="shared" si="100"/>
        <v>1</v>
      </c>
      <c r="BW14" s="65"/>
      <c r="BX14" s="74" t="s">
        <v>1958</v>
      </c>
      <c r="BY14" s="73">
        <f t="shared" si="100"/>
        <v>1</v>
      </c>
      <c r="BZ14" s="65"/>
      <c r="CA14" s="74" t="s">
        <v>1999</v>
      </c>
      <c r="CB14" s="73">
        <f t="shared" si="100"/>
        <v>1</v>
      </c>
      <c r="CC14" s="65"/>
      <c r="CD14" s="74" t="s">
        <v>1954</v>
      </c>
      <c r="CE14" s="73">
        <f t="shared" si="100"/>
        <v>1</v>
      </c>
      <c r="CF14" s="65"/>
      <c r="CG14" s="74" t="s">
        <v>1958</v>
      </c>
      <c r="CH14" s="73">
        <f t="shared" si="100"/>
        <v>1</v>
      </c>
      <c r="CI14" s="65"/>
      <c r="CJ14" s="74" t="s">
        <v>1999</v>
      </c>
      <c r="CK14" s="73">
        <f t="shared" si="70"/>
        <v>1</v>
      </c>
      <c r="CL14" s="65"/>
      <c r="CM14" s="74" t="s">
        <v>1951</v>
      </c>
      <c r="CN14" s="73">
        <f t="shared" si="70"/>
        <v>1</v>
      </c>
      <c r="CO14" s="65"/>
      <c r="CP14" s="74" t="s">
        <v>1951</v>
      </c>
      <c r="CQ14" s="73">
        <f t="shared" si="70"/>
        <v>1</v>
      </c>
      <c r="CR14" s="65"/>
      <c r="CS14" s="74" t="s">
        <v>1958</v>
      </c>
      <c r="CT14" s="73">
        <f t="shared" si="70"/>
        <v>1</v>
      </c>
      <c r="CU14" s="65"/>
      <c r="CV14" s="74" t="s">
        <v>1999</v>
      </c>
      <c r="CW14" s="73">
        <f t="shared" si="70"/>
        <v>1</v>
      </c>
      <c r="CX14" s="65"/>
      <c r="CY14" s="74" t="s">
        <v>1950</v>
      </c>
      <c r="CZ14" s="73">
        <f t="shared" si="70"/>
        <v>2</v>
      </c>
      <c r="DA14" s="65"/>
      <c r="DB14" s="74" t="s">
        <v>1958</v>
      </c>
      <c r="DC14" s="73">
        <f t="shared" si="70"/>
        <v>1</v>
      </c>
      <c r="DD14" s="65"/>
      <c r="DE14" s="74" t="s">
        <v>1999</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2000</v>
      </c>
      <c r="DU14" s="73">
        <f t="shared" si="70"/>
        <v>1</v>
      </c>
      <c r="DV14" s="65"/>
      <c r="DW14" s="74" t="s">
        <v>1950</v>
      </c>
      <c r="DX14" s="73">
        <f t="shared" si="70"/>
        <v>2</v>
      </c>
      <c r="DY14" s="65"/>
      <c r="DZ14" s="74" t="s">
        <v>1999</v>
      </c>
      <c r="EA14" s="73">
        <f t="shared" si="70"/>
        <v>1</v>
      </c>
      <c r="EB14" s="65"/>
      <c r="EC14" s="74" t="s">
        <v>1958</v>
      </c>
      <c r="ED14" s="73">
        <f t="shared" si="70"/>
        <v>1</v>
      </c>
      <c r="EE14" s="65"/>
      <c r="EF14" s="74" t="s">
        <v>1951</v>
      </c>
      <c r="EG14" s="73">
        <f t="shared" si="70"/>
        <v>1</v>
      </c>
      <c r="EH14" s="65"/>
      <c r="EI14" s="74" t="s">
        <v>1999</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1999</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1999</v>
      </c>
      <c r="BV20" s="73">
        <f t="shared" si="103"/>
        <v>0</v>
      </c>
      <c r="BW20" s="65"/>
      <c r="BX20" s="74" t="s">
        <v>1958</v>
      </c>
      <c r="BY20" s="73">
        <f t="shared" si="103"/>
        <v>0</v>
      </c>
      <c r="BZ20" s="65"/>
      <c r="CA20" s="74" t="s">
        <v>1959</v>
      </c>
      <c r="CB20" s="73">
        <f t="shared" si="103"/>
        <v>0</v>
      </c>
      <c r="CC20" s="65"/>
      <c r="CD20" s="74" t="s">
        <v>1954</v>
      </c>
      <c r="CE20" s="73">
        <f t="shared" si="103"/>
        <v>0</v>
      </c>
      <c r="CF20" s="65"/>
      <c r="CG20" s="74" t="s">
        <v>1999</v>
      </c>
      <c r="CH20" s="73">
        <f t="shared" si="103"/>
        <v>0</v>
      </c>
      <c r="CI20" s="65"/>
      <c r="CJ20" s="74" t="s">
        <v>1951</v>
      </c>
      <c r="CK20" s="73">
        <f t="shared" si="102"/>
        <v>0</v>
      </c>
      <c r="CL20" s="65"/>
      <c r="CM20" s="74" t="s">
        <v>1951</v>
      </c>
      <c r="CN20" s="73">
        <f t="shared" si="102"/>
        <v>0</v>
      </c>
      <c r="CO20" s="65"/>
      <c r="CP20" s="74" t="s">
        <v>1950</v>
      </c>
      <c r="CQ20" s="73">
        <f t="shared" si="102"/>
        <v>0</v>
      </c>
      <c r="CR20" s="65"/>
      <c r="CS20" s="74" t="s">
        <v>1999</v>
      </c>
      <c r="CT20" s="73">
        <f t="shared" si="102"/>
        <v>0</v>
      </c>
      <c r="CU20" s="65"/>
      <c r="CV20" s="74" t="s">
        <v>1999</v>
      </c>
      <c r="CW20" s="73">
        <f t="shared" si="102"/>
        <v>0</v>
      </c>
      <c r="CX20" s="65"/>
      <c r="CY20" s="74" t="s">
        <v>2555</v>
      </c>
      <c r="CZ20" s="73">
        <f t="shared" si="102"/>
        <v>0</v>
      </c>
      <c r="DA20" s="65"/>
      <c r="DB20" s="74" t="s">
        <v>1999</v>
      </c>
      <c r="DC20" s="73">
        <f t="shared" si="102"/>
        <v>0</v>
      </c>
      <c r="DD20" s="65"/>
      <c r="DE20" s="74" t="s">
        <v>1951</v>
      </c>
      <c r="DF20" s="73">
        <f t="shared" si="102"/>
        <v>0</v>
      </c>
      <c r="DG20" s="65"/>
      <c r="DH20" s="74" t="s">
        <v>1958</v>
      </c>
      <c r="DI20" s="73">
        <f t="shared" si="102"/>
        <v>0</v>
      </c>
      <c r="DJ20" s="65"/>
      <c r="DK20" s="74" t="s">
        <v>1999</v>
      </c>
      <c r="DL20" s="73">
        <f t="shared" si="102"/>
        <v>0</v>
      </c>
      <c r="DM20" s="65"/>
      <c r="DN20" s="795" t="s">
        <v>2000</v>
      </c>
      <c r="DO20" s="73">
        <f t="shared" si="102"/>
        <v>0</v>
      </c>
      <c r="DP20" s="65"/>
      <c r="DQ20" s="795" t="s">
        <v>1943</v>
      </c>
      <c r="DR20" s="73">
        <f t="shared" si="102"/>
        <v>0</v>
      </c>
      <c r="DS20" s="65"/>
      <c r="DT20" s="74" t="s">
        <v>1999</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1999</v>
      </c>
      <c r="EA20" s="73">
        <f t="shared" si="105"/>
        <v>0</v>
      </c>
      <c r="EB20" s="65"/>
      <c r="EC20" s="74" t="s">
        <v>1999</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2713</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1999</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1999</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1999</v>
      </c>
      <c r="CQ26" s="73">
        <f t="shared" si="102"/>
        <v>0</v>
      </c>
      <c r="CR26" s="65"/>
      <c r="CS26" s="74" t="s">
        <v>1999</v>
      </c>
      <c r="CT26" s="73">
        <f t="shared" si="102"/>
        <v>0</v>
      </c>
      <c r="CU26" s="65"/>
      <c r="CV26" s="74" t="s">
        <v>1999</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2000</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1999</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2000</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1999</v>
      </c>
      <c r="AL35" s="73">
        <f t="shared" si="108"/>
        <v>1</v>
      </c>
      <c r="AM35" s="65"/>
      <c r="AN35" s="74" t="s">
        <v>2175</v>
      </c>
      <c r="AO35" s="73">
        <f t="shared" si="108"/>
        <v>1</v>
      </c>
      <c r="AP35" s="65"/>
      <c r="AQ35" s="74" t="s">
        <v>1951</v>
      </c>
      <c r="AR35" s="73">
        <f t="shared" si="108"/>
        <v>1</v>
      </c>
      <c r="AS35" s="65"/>
      <c r="AT35" s="74" t="s">
        <v>1999</v>
      </c>
      <c r="AU35" s="73">
        <f t="shared" si="108"/>
        <v>1</v>
      </c>
      <c r="AV35" s="65"/>
      <c r="AW35" s="74" t="s">
        <v>1950</v>
      </c>
      <c r="AX35" s="73">
        <f t="shared" si="108"/>
        <v>1</v>
      </c>
      <c r="AY35" s="65"/>
      <c r="AZ35" s="74" t="s">
        <v>1999</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1999</v>
      </c>
      <c r="BV35" s="73">
        <f t="shared" si="108"/>
        <v>1</v>
      </c>
      <c r="BW35" s="65"/>
      <c r="BX35" s="74" t="s">
        <v>1958</v>
      </c>
      <c r="BY35" s="73">
        <f t="shared" si="108"/>
        <v>4</v>
      </c>
      <c r="BZ35" s="65"/>
      <c r="CA35" s="74" t="s">
        <v>1954</v>
      </c>
      <c r="CB35" s="73">
        <f t="shared" si="108"/>
        <v>1</v>
      </c>
      <c r="CC35" s="65"/>
      <c r="CD35" s="74" t="s">
        <v>1999</v>
      </c>
      <c r="CE35" s="73">
        <f t="shared" si="108"/>
        <v>1</v>
      </c>
      <c r="CF35" s="65"/>
      <c r="CG35" s="74" t="s">
        <v>1954</v>
      </c>
      <c r="CH35" s="73">
        <f t="shared" si="108"/>
        <v>1</v>
      </c>
      <c r="CI35" s="65"/>
      <c r="CJ35" s="74" t="s">
        <v>1951</v>
      </c>
      <c r="CK35" s="73">
        <f t="shared" si="107"/>
        <v>1</v>
      </c>
      <c r="CL35" s="65"/>
      <c r="CM35" s="74" t="s">
        <v>1999</v>
      </c>
      <c r="CN35" s="73">
        <f t="shared" si="107"/>
        <v>1</v>
      </c>
      <c r="CO35" s="65"/>
      <c r="CP35" s="74" t="s">
        <v>1950</v>
      </c>
      <c r="CQ35" s="73">
        <f t="shared" si="107"/>
        <v>1</v>
      </c>
      <c r="CR35" s="65"/>
      <c r="CS35" s="74" t="s">
        <v>1999</v>
      </c>
      <c r="CT35" s="73">
        <f t="shared" si="107"/>
        <v>1</v>
      </c>
      <c r="CU35" s="65"/>
      <c r="CV35" s="74" t="s">
        <v>1999</v>
      </c>
      <c r="CW35" s="73">
        <f t="shared" si="107"/>
        <v>1</v>
      </c>
      <c r="CX35" s="65"/>
      <c r="CY35" s="74" t="s">
        <v>1999</v>
      </c>
      <c r="CZ35" s="73">
        <f t="shared" si="107"/>
        <v>1</v>
      </c>
      <c r="DA35" s="65"/>
      <c r="DB35" s="74" t="s">
        <v>1999</v>
      </c>
      <c r="DC35" s="73">
        <f t="shared" si="107"/>
        <v>1</v>
      </c>
      <c r="DD35" s="65"/>
      <c r="DE35" s="74" t="s">
        <v>1950</v>
      </c>
      <c r="DF35" s="73">
        <f t="shared" si="107"/>
        <v>1</v>
      </c>
      <c r="DG35" s="65"/>
      <c r="DH35" s="74" t="s">
        <v>1958</v>
      </c>
      <c r="DI35" s="73">
        <f t="shared" si="107"/>
        <v>4</v>
      </c>
      <c r="DJ35" s="65"/>
      <c r="DK35" s="74" t="s">
        <v>1999</v>
      </c>
      <c r="DL35" s="73">
        <f t="shared" si="107"/>
        <v>1</v>
      </c>
      <c r="DM35" s="65"/>
      <c r="DN35" s="795" t="s">
        <v>1950</v>
      </c>
      <c r="DO35" s="73">
        <f t="shared" si="107"/>
        <v>1</v>
      </c>
      <c r="DP35" s="65"/>
      <c r="DQ35" s="795" t="s">
        <v>1958</v>
      </c>
      <c r="DR35" s="73">
        <f t="shared" si="107"/>
        <v>4</v>
      </c>
      <c r="DS35" s="65"/>
      <c r="DT35" s="74" t="s">
        <v>1958</v>
      </c>
      <c r="DU35" s="73">
        <f t="shared" si="107"/>
        <v>4</v>
      </c>
      <c r="DV35" s="65"/>
      <c r="DW35" s="74" t="s">
        <v>1999</v>
      </c>
      <c r="DX35" s="73">
        <f t="shared" si="109"/>
        <v>1</v>
      </c>
      <c r="DY35" s="65"/>
      <c r="DZ35" s="74" t="s">
        <v>1999</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2295</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1999</v>
      </c>
      <c r="AL39" s="73">
        <f t="shared" si="108"/>
        <v>0</v>
      </c>
      <c r="AM39" s="65"/>
      <c r="AN39" s="74" t="s">
        <v>1954</v>
      </c>
      <c r="AO39" s="73">
        <f t="shared" si="108"/>
        <v>0</v>
      </c>
      <c r="AP39" s="65"/>
      <c r="AQ39" s="74" t="s">
        <v>1958</v>
      </c>
      <c r="AR39" s="73">
        <f t="shared" si="108"/>
        <v>0</v>
      </c>
      <c r="AS39" s="65"/>
      <c r="AT39" s="74" t="s">
        <v>1958</v>
      </c>
      <c r="AU39" s="73">
        <f t="shared" si="108"/>
        <v>0</v>
      </c>
      <c r="AV39" s="65"/>
      <c r="AW39" s="74" t="s">
        <v>1999</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1999</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1999</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1999</v>
      </c>
      <c r="AL45" s="73">
        <f t="shared" si="112"/>
        <v>0</v>
      </c>
      <c r="AM45" s="65"/>
      <c r="AN45" s="74" t="s">
        <v>1999</v>
      </c>
      <c r="AO45" s="73">
        <f t="shared" si="112"/>
        <v>0</v>
      </c>
      <c r="AP45" s="65"/>
      <c r="AQ45" s="74" t="s">
        <v>1958</v>
      </c>
      <c r="AR45" s="73">
        <f t="shared" si="112"/>
        <v>0</v>
      </c>
      <c r="AS45" s="65"/>
      <c r="AT45" s="74" t="s">
        <v>1958</v>
      </c>
      <c r="AU45" s="73">
        <f t="shared" si="112"/>
        <v>0</v>
      </c>
      <c r="AV45" s="65"/>
      <c r="AW45" s="74" t="s">
        <v>1954</v>
      </c>
      <c r="AX45" s="73">
        <f t="shared" si="112"/>
        <v>0</v>
      </c>
      <c r="AY45" s="65"/>
      <c r="AZ45" s="74" t="s">
        <v>1999</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1999</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1999</v>
      </c>
      <c r="AR46" s="73">
        <f t="shared" si="112"/>
        <v>1</v>
      </c>
      <c r="AS46" s="65"/>
      <c r="AT46" s="74" t="s">
        <v>1999</v>
      </c>
      <c r="AU46" s="73">
        <f t="shared" si="112"/>
        <v>1</v>
      </c>
      <c r="AV46" s="65"/>
      <c r="AW46" s="74" t="s">
        <v>1951</v>
      </c>
      <c r="AX46" s="73">
        <f t="shared" si="112"/>
        <v>1</v>
      </c>
      <c r="AY46" s="65"/>
      <c r="AZ46" s="74" t="s">
        <v>1999</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1999</v>
      </c>
      <c r="BV46" s="73">
        <f t="shared" si="112"/>
        <v>1</v>
      </c>
      <c r="BW46" s="65"/>
      <c r="BX46" s="74" t="s">
        <v>1958</v>
      </c>
      <c r="BY46" s="73">
        <f t="shared" si="112"/>
        <v>4</v>
      </c>
      <c r="BZ46" s="65"/>
      <c r="CA46" s="74" t="s">
        <v>1999</v>
      </c>
      <c r="CB46" s="73">
        <f t="shared" si="112"/>
        <v>1</v>
      </c>
      <c r="CC46" s="65"/>
      <c r="CD46" s="74" t="s">
        <v>1942</v>
      </c>
      <c r="CE46" s="73">
        <f t="shared" si="112"/>
        <v>1</v>
      </c>
      <c r="CF46" s="65"/>
      <c r="CG46" s="74" t="s">
        <v>1958</v>
      </c>
      <c r="CH46" s="73">
        <f t="shared" si="112"/>
        <v>4</v>
      </c>
      <c r="CI46" s="65"/>
      <c r="CJ46" s="74" t="s">
        <v>1943</v>
      </c>
      <c r="CK46" s="73">
        <f t="shared" si="110"/>
        <v>1</v>
      </c>
      <c r="CL46" s="65"/>
      <c r="CM46" s="74" t="s">
        <v>1999</v>
      </c>
      <c r="CN46" s="73">
        <f t="shared" si="110"/>
        <v>1</v>
      </c>
      <c r="CO46" s="65"/>
      <c r="CP46" s="74" t="s">
        <v>1999</v>
      </c>
      <c r="CQ46" s="73">
        <f t="shared" si="110"/>
        <v>1</v>
      </c>
      <c r="CR46" s="65"/>
      <c r="CS46" s="74" t="s">
        <v>1999</v>
      </c>
      <c r="CT46" s="73">
        <f t="shared" si="110"/>
        <v>1</v>
      </c>
      <c r="CU46" s="65"/>
      <c r="CV46" s="74" t="s">
        <v>1999</v>
      </c>
      <c r="CW46" s="73">
        <f t="shared" si="110"/>
        <v>1</v>
      </c>
      <c r="CX46" s="65"/>
      <c r="CY46" s="74" t="s">
        <v>1999</v>
      </c>
      <c r="CZ46" s="73">
        <f t="shared" si="110"/>
        <v>1</v>
      </c>
      <c r="DA46" s="65"/>
      <c r="DB46" s="74" t="s">
        <v>1958</v>
      </c>
      <c r="DC46" s="73">
        <f t="shared" si="110"/>
        <v>4</v>
      </c>
      <c r="DD46" s="65"/>
      <c r="DE46" s="74" t="s">
        <v>1999</v>
      </c>
      <c r="DF46" s="73">
        <f t="shared" si="110"/>
        <v>1</v>
      </c>
      <c r="DG46" s="65"/>
      <c r="DH46" s="74" t="s">
        <v>1943</v>
      </c>
      <c r="DI46" s="73">
        <f t="shared" si="110"/>
        <v>1</v>
      </c>
      <c r="DJ46" s="65"/>
      <c r="DK46" s="74" t="s">
        <v>1999</v>
      </c>
      <c r="DL46" s="73">
        <f t="shared" si="110"/>
        <v>1</v>
      </c>
      <c r="DM46" s="65"/>
      <c r="DN46" s="795" t="s">
        <v>2175</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1999</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1999</v>
      </c>
      <c r="AR50" s="73">
        <f t="shared" si="112"/>
        <v>1</v>
      </c>
      <c r="AS50" s="65"/>
      <c r="AT50" s="74" t="s">
        <v>1943</v>
      </c>
      <c r="AU50" s="73">
        <f t="shared" si="112"/>
        <v>1</v>
      </c>
      <c r="AV50" s="65"/>
      <c r="AW50" s="74" t="s">
        <v>1999</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1999</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1999</v>
      </c>
      <c r="DO50" s="73">
        <f t="shared" si="110"/>
        <v>1</v>
      </c>
      <c r="DP50" s="65"/>
      <c r="DQ50" s="795" t="s">
        <v>1942</v>
      </c>
      <c r="DR50" s="73">
        <f t="shared" si="110"/>
        <v>1</v>
      </c>
      <c r="DS50" s="65"/>
      <c r="DT50" s="74" t="s">
        <v>1943</v>
      </c>
      <c r="DU50" s="73">
        <f t="shared" si="110"/>
        <v>1</v>
      </c>
      <c r="DV50" s="65"/>
      <c r="DW50" s="74" t="s">
        <v>1999</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1999</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1999</v>
      </c>
      <c r="AR59" s="73">
        <f t="shared" si="116"/>
        <v>1</v>
      </c>
      <c r="AS59" s="65"/>
      <c r="AT59" s="74" t="s">
        <v>1958</v>
      </c>
      <c r="AU59" s="73">
        <f t="shared" si="116"/>
        <v>1</v>
      </c>
      <c r="AV59" s="65"/>
      <c r="AW59" s="74" t="s">
        <v>1999</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1999</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1999</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2253</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2253</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2205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2253</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2205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2253</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2176</v>
      </c>
      <c r="AO76" s="73">
        <f t="shared" si="120"/>
        <v>1</v>
      </c>
      <c r="AP76" s="65"/>
      <c r="AQ76" s="74" t="s">
        <v>2205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2001</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2037</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2069</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2092</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2092</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2037</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2177</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2206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2254</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2177</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2296</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2325</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2037</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2363</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2379</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2389</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2401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2379</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2441</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2379</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2478</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2496</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2509</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2526</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2325</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2069</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2556</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2363</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2592</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2609</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2622</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2636</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2037</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2325</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2379</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2714</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2001</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2736</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2069</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2002</v>
      </c>
      <c r="W165" s="77">
        <f t="shared" ca="1" si="740"/>
        <v>2</v>
      </c>
      <c r="X165" s="110"/>
      <c r="Y165" s="74" t="s">
        <v>2038</v>
      </c>
      <c r="Z165" s="77">
        <f t="shared" ca="1" si="740"/>
        <v>1</v>
      </c>
      <c r="AA165" s="110"/>
      <c r="AB165" s="80" t="s">
        <v>2070</v>
      </c>
      <c r="AC165" s="77">
        <f t="shared" ca="1" si="740"/>
        <v>1</v>
      </c>
      <c r="AD165" s="110"/>
      <c r="AE165" s="74" t="s">
        <v>2093</v>
      </c>
      <c r="AF165" s="77">
        <f t="shared" ca="1" si="740"/>
        <v>0</v>
      </c>
      <c r="AG165" s="110"/>
      <c r="AH165" s="74" t="s">
        <v>2121</v>
      </c>
      <c r="AI165" s="77">
        <f t="shared" ca="1" si="740"/>
        <v>0</v>
      </c>
      <c r="AJ165" s="110"/>
      <c r="AK165" s="74" t="s">
        <v>2070</v>
      </c>
      <c r="AL165" s="77">
        <f t="shared" ca="1" si="740"/>
        <v>1</v>
      </c>
      <c r="AM165" s="110"/>
      <c r="AN165" s="74" t="s">
        <v>2178</v>
      </c>
      <c r="AO165" s="77">
        <f t="shared" ca="1" si="740"/>
        <v>4</v>
      </c>
      <c r="AP165" s="110"/>
      <c r="AQ165" s="74" t="s">
        <v>2207</v>
      </c>
      <c r="AR165" s="77">
        <f t="shared" ca="1" si="740"/>
        <v>0</v>
      </c>
      <c r="AS165" s="110"/>
      <c r="AT165" s="74" t="s">
        <v>2070</v>
      </c>
      <c r="AU165" s="77">
        <f t="shared" ca="1" si="740"/>
        <v>1</v>
      </c>
      <c r="AV165" s="110"/>
      <c r="AW165" s="74" t="s">
        <v>2178</v>
      </c>
      <c r="AX165" s="77">
        <f t="shared" ca="1" si="740"/>
        <v>4</v>
      </c>
      <c r="AY165" s="110"/>
      <c r="AZ165" s="74" t="s">
        <v>2038</v>
      </c>
      <c r="BA165" s="77">
        <f t="shared" ca="1" si="740"/>
        <v>1</v>
      </c>
      <c r="BB165" s="110"/>
      <c r="BC165" s="74" t="s">
        <v>2297</v>
      </c>
      <c r="BD165" s="77">
        <f t="shared" ca="1" si="740"/>
        <v>0</v>
      </c>
      <c r="BE165" s="110"/>
      <c r="BF165" s="74" t="s">
        <v>2070</v>
      </c>
      <c r="BG165" s="77">
        <f t="shared" ca="1" si="740"/>
        <v>1</v>
      </c>
      <c r="BH165" s="110"/>
      <c r="BI165" s="74" t="s">
        <v>2038</v>
      </c>
      <c r="BJ165" s="77">
        <f t="shared" ca="1" si="740"/>
        <v>1</v>
      </c>
      <c r="BK165" s="110"/>
      <c r="BL165" s="708" t="s">
        <v>2178</v>
      </c>
      <c r="BM165" s="77">
        <f t="shared" ca="1" si="740"/>
        <v>4</v>
      </c>
      <c r="BN165" s="110"/>
      <c r="BO165" s="74" t="s">
        <v>2038</v>
      </c>
      <c r="BP165" s="77">
        <f t="shared" ca="1" si="740"/>
        <v>1</v>
      </c>
      <c r="BQ165" s="110"/>
      <c r="BR165" s="74" t="s">
        <v>2070</v>
      </c>
      <c r="BS165" s="77">
        <f t="shared" ca="1" si="740"/>
        <v>1</v>
      </c>
      <c r="BT165" s="110"/>
      <c r="BU165" s="74" t="s">
        <v>2402</v>
      </c>
      <c r="BV165" s="77">
        <f t="shared" ca="1" si="740"/>
        <v>0</v>
      </c>
      <c r="BW165" s="110"/>
      <c r="BX165" s="74" t="s">
        <v>2070</v>
      </c>
      <c r="BY165" s="77">
        <f t="shared" ca="1" si="740"/>
        <v>1</v>
      </c>
      <c r="BZ165" s="110"/>
      <c r="CA165" s="74" t="s">
        <v>2442</v>
      </c>
      <c r="CB165" s="77">
        <f t="shared" ca="1" si="740"/>
        <v>0</v>
      </c>
      <c r="CC165" s="110"/>
      <c r="CD165" s="74" t="s">
        <v>2463</v>
      </c>
      <c r="CE165" s="77">
        <f t="shared" ca="1" si="740"/>
        <v>0</v>
      </c>
      <c r="CF165" s="110"/>
      <c r="CG165" s="74" t="s">
        <v>2178</v>
      </c>
      <c r="CH165" s="77">
        <f t="shared" ca="1" si="740"/>
        <v>4</v>
      </c>
      <c r="CI165" s="110"/>
      <c r="CJ165" s="74" t="s">
        <v>2178</v>
      </c>
      <c r="CK165" s="77">
        <f t="shared" ca="1" si="762"/>
        <v>4</v>
      </c>
      <c r="CL165" s="110"/>
      <c r="CM165" s="74" t="s">
        <v>2510</v>
      </c>
      <c r="CN165" s="77">
        <f t="shared" ca="1" si="762"/>
        <v>0</v>
      </c>
      <c r="CO165" s="110"/>
      <c r="CP165" s="74" t="s">
        <v>2527</v>
      </c>
      <c r="CQ165" s="77">
        <f t="shared" ca="1" si="762"/>
        <v>0</v>
      </c>
      <c r="CR165" s="110"/>
      <c r="CS165" s="74" t="s">
        <v>2538</v>
      </c>
      <c r="CT165" s="77">
        <f t="shared" ca="1" si="762"/>
        <v>1</v>
      </c>
      <c r="CU165" s="110"/>
      <c r="CV165" s="74" t="s">
        <v>2538</v>
      </c>
      <c r="CW165" s="77">
        <f t="shared" ca="1" si="762"/>
        <v>1</v>
      </c>
      <c r="CX165" s="110"/>
      <c r="CY165" s="74" t="s">
        <v>2557</v>
      </c>
      <c r="CZ165" s="77">
        <f t="shared" ca="1" si="762"/>
        <v>0</v>
      </c>
      <c r="DA165" s="110"/>
      <c r="DB165" s="74" t="s">
        <v>2178</v>
      </c>
      <c r="DC165" s="77">
        <f t="shared" ca="1" si="762"/>
        <v>4</v>
      </c>
      <c r="DD165" s="110"/>
      <c r="DE165" s="74" t="s">
        <v>2038</v>
      </c>
      <c r="DF165" s="77">
        <f t="shared" ca="1" si="762"/>
        <v>1</v>
      </c>
      <c r="DG165" s="110"/>
      <c r="DH165" s="74" t="s">
        <v>2070</v>
      </c>
      <c r="DI165" s="77">
        <f t="shared" ca="1" si="762"/>
        <v>1</v>
      </c>
      <c r="DJ165" s="110"/>
      <c r="DK165" s="74" t="s">
        <v>2623</v>
      </c>
      <c r="DL165" s="77">
        <f t="shared" ca="1" si="762"/>
        <v>0</v>
      </c>
      <c r="DM165" s="110"/>
      <c r="DN165" s="795" t="s">
        <v>2070</v>
      </c>
      <c r="DO165" s="77">
        <f t="shared" ca="1" si="762"/>
        <v>1</v>
      </c>
      <c r="DP165" s="110"/>
      <c r="DQ165" s="795" t="s">
        <v>2647</v>
      </c>
      <c r="DR165" s="77">
        <f t="shared" ca="1" si="762"/>
        <v>0</v>
      </c>
      <c r="DS165" s="110"/>
      <c r="DT165" s="74" t="s">
        <v>2675</v>
      </c>
      <c r="DU165" s="77">
        <f t="shared" ca="1" si="762"/>
        <v>0</v>
      </c>
      <c r="DV165" s="110"/>
      <c r="DW165" s="74" t="s">
        <v>2002</v>
      </c>
      <c r="DX165" s="77">
        <f t="shared" ca="1" si="762"/>
        <v>2</v>
      </c>
      <c r="DY165" s="110"/>
      <c r="DZ165" s="74" t="s">
        <v>2715</v>
      </c>
      <c r="EA165" s="77">
        <f t="shared" ca="1" si="762"/>
        <v>0</v>
      </c>
      <c r="EB165" s="110"/>
      <c r="EC165" s="74" t="s">
        <v>2729</v>
      </c>
      <c r="ED165" s="77">
        <f t="shared" ca="1" si="762"/>
        <v>0</v>
      </c>
      <c r="EE165" s="110"/>
      <c r="EF165" s="74" t="s">
        <v>2737</v>
      </c>
      <c r="EG165" s="77">
        <f t="shared" ca="1" si="762"/>
        <v>1</v>
      </c>
      <c r="EH165" s="110"/>
      <c r="EI165" s="74" t="s">
        <v>2178</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2003</v>
      </c>
      <c r="W166" s="77">
        <f t="shared" ca="1" si="740"/>
        <v>0</v>
      </c>
      <c r="X166" s="110"/>
      <c r="Y166" s="74" t="s">
        <v>2039</v>
      </c>
      <c r="Z166" s="77">
        <f t="shared" ca="1" si="740"/>
        <v>0</v>
      </c>
      <c r="AA166" s="110"/>
      <c r="AB166" s="80" t="s">
        <v>2071</v>
      </c>
      <c r="AC166" s="77">
        <f t="shared" ca="1" si="740"/>
        <v>0</v>
      </c>
      <c r="AD166" s="110"/>
      <c r="AE166" s="74" t="s">
        <v>2094</v>
      </c>
      <c r="AF166" s="77">
        <f t="shared" ca="1" si="740"/>
        <v>0</v>
      </c>
      <c r="AG166" s="110"/>
      <c r="AH166" s="74" t="s">
        <v>2122</v>
      </c>
      <c r="AI166" s="77">
        <f t="shared" ca="1" si="740"/>
        <v>2</v>
      </c>
      <c r="AJ166" s="110"/>
      <c r="AK166" s="74" t="s">
        <v>2147</v>
      </c>
      <c r="AL166" s="77">
        <f t="shared" ca="1" si="740"/>
        <v>0</v>
      </c>
      <c r="AM166" s="110"/>
      <c r="AN166" s="74" t="s">
        <v>2003</v>
      </c>
      <c r="AO166" s="77">
        <f t="shared" ca="1" si="740"/>
        <v>0</v>
      </c>
      <c r="AP166" s="110"/>
      <c r="AQ166" s="74" t="s">
        <v>2208</v>
      </c>
      <c r="AR166" s="77">
        <f t="shared" ca="1" si="740"/>
        <v>0</v>
      </c>
      <c r="AS166" s="110"/>
      <c r="AT166" s="74" t="s">
        <v>2231</v>
      </c>
      <c r="AU166" s="77">
        <f t="shared" ca="1" si="740"/>
        <v>0</v>
      </c>
      <c r="AV166" s="110"/>
      <c r="AW166" s="74" t="s">
        <v>2255</v>
      </c>
      <c r="AX166" s="77">
        <f t="shared" ca="1" si="740"/>
        <v>0</v>
      </c>
      <c r="AY166" s="110"/>
      <c r="AZ166" s="74" t="s">
        <v>2277</v>
      </c>
      <c r="BA166" s="77">
        <f t="shared" ca="1" si="740"/>
        <v>0</v>
      </c>
      <c r="BB166" s="110"/>
      <c r="BC166" s="74" t="s">
        <v>2298</v>
      </c>
      <c r="BD166" s="77">
        <f t="shared" ca="1" si="740"/>
        <v>0</v>
      </c>
      <c r="BE166" s="110"/>
      <c r="BF166" s="74" t="s">
        <v>2326</v>
      </c>
      <c r="BG166" s="77">
        <f t="shared" ca="1" si="740"/>
        <v>0</v>
      </c>
      <c r="BH166" s="110"/>
      <c r="BI166" s="74" t="s">
        <v>2039</v>
      </c>
      <c r="BJ166" s="77">
        <f t="shared" ca="1" si="740"/>
        <v>0</v>
      </c>
      <c r="BK166" s="110"/>
      <c r="BL166" s="74" t="s">
        <v>2298</v>
      </c>
      <c r="BM166" s="77">
        <f t="shared" ca="1" si="740"/>
        <v>0</v>
      </c>
      <c r="BN166" s="110"/>
      <c r="BO166" s="74" t="s">
        <v>2003</v>
      </c>
      <c r="BP166" s="77">
        <f t="shared" ca="1" si="740"/>
        <v>0</v>
      </c>
      <c r="BQ166" s="110"/>
      <c r="BR166" s="74" t="s">
        <v>2326</v>
      </c>
      <c r="BS166" s="77">
        <f t="shared" ca="1" si="740"/>
        <v>0</v>
      </c>
      <c r="BT166" s="110"/>
      <c r="BU166" s="74" t="s">
        <v>2403</v>
      </c>
      <c r="BV166" s="77">
        <f t="shared" ca="1" si="740"/>
        <v>0</v>
      </c>
      <c r="BW166" s="110"/>
      <c r="BX166" s="74" t="s">
        <v>2003</v>
      </c>
      <c r="BY166" s="77">
        <f t="shared" ca="1" si="740"/>
        <v>0</v>
      </c>
      <c r="BZ166" s="110"/>
      <c r="CA166" s="74" t="s">
        <v>2298</v>
      </c>
      <c r="CB166" s="77">
        <f t="shared" ca="1" si="740"/>
        <v>0</v>
      </c>
      <c r="CC166" s="110"/>
      <c r="CD166" s="74" t="s">
        <v>2464</v>
      </c>
      <c r="CE166" s="77">
        <f t="shared" ca="1" si="740"/>
        <v>0</v>
      </c>
      <c r="CF166" s="110"/>
      <c r="CG166" s="74" t="s">
        <v>2479</v>
      </c>
      <c r="CH166" s="77">
        <f t="shared" ca="1" si="740"/>
        <v>0</v>
      </c>
      <c r="CI166" s="110"/>
      <c r="CJ166" s="74" t="s">
        <v>2039</v>
      </c>
      <c r="CK166" s="77">
        <f t="shared" ca="1" si="762"/>
        <v>0</v>
      </c>
      <c r="CL166" s="110"/>
      <c r="CM166" s="74" t="s">
        <v>2326</v>
      </c>
      <c r="CN166" s="77">
        <f t="shared" ca="1" si="762"/>
        <v>0</v>
      </c>
      <c r="CO166" s="110"/>
      <c r="CP166" s="74" t="s">
        <v>2039</v>
      </c>
      <c r="CQ166" s="77">
        <f t="shared" ca="1" si="762"/>
        <v>0</v>
      </c>
      <c r="CR166" s="110"/>
      <c r="CS166" s="74" t="s">
        <v>2298</v>
      </c>
      <c r="CT166" s="77">
        <f t="shared" ca="1" si="762"/>
        <v>0</v>
      </c>
      <c r="CU166" s="110"/>
      <c r="CV166" s="74" t="s">
        <v>1966</v>
      </c>
      <c r="CW166" s="77">
        <f t="shared" ca="1" si="762"/>
        <v>0</v>
      </c>
      <c r="CX166" s="110"/>
      <c r="CY166" s="74" t="s">
        <v>2558</v>
      </c>
      <c r="CZ166" s="77">
        <f t="shared" ca="1" si="762"/>
        <v>0</v>
      </c>
      <c r="DA166" s="110"/>
      <c r="DB166" s="74" t="s">
        <v>2577</v>
      </c>
      <c r="DC166" s="77">
        <f t="shared" ca="1" si="762"/>
        <v>0</v>
      </c>
      <c r="DD166" s="110"/>
      <c r="DE166" s="74" t="s">
        <v>2003</v>
      </c>
      <c r="DF166" s="77">
        <f t="shared" ca="1" si="762"/>
        <v>0</v>
      </c>
      <c r="DG166" s="110"/>
      <c r="DH166" s="74" t="s">
        <v>2298</v>
      </c>
      <c r="DI166" s="77">
        <f t="shared" ca="1" si="762"/>
        <v>0</v>
      </c>
      <c r="DJ166" s="110"/>
      <c r="DK166" s="74" t="s">
        <v>2624</v>
      </c>
      <c r="DL166" s="77">
        <f t="shared" ca="1" si="762"/>
        <v>0</v>
      </c>
      <c r="DM166" s="110"/>
      <c r="DN166" s="795" t="s">
        <v>2637</v>
      </c>
      <c r="DO166" s="77">
        <f t="shared" ca="1" si="762"/>
        <v>0</v>
      </c>
      <c r="DP166" s="110"/>
      <c r="DQ166" s="795" t="s">
        <v>2648</v>
      </c>
      <c r="DR166" s="77">
        <f t="shared" ca="1" si="762"/>
        <v>0</v>
      </c>
      <c r="DS166" s="110"/>
      <c r="DT166" s="74" t="s">
        <v>2298</v>
      </c>
      <c r="DU166" s="77">
        <f t="shared" ca="1" si="762"/>
        <v>0</v>
      </c>
      <c r="DV166" s="110"/>
      <c r="DW166" s="74" t="s">
        <v>2071</v>
      </c>
      <c r="DX166" s="77">
        <f t="shared" ca="1" si="762"/>
        <v>0</v>
      </c>
      <c r="DY166" s="110"/>
      <c r="DZ166" s="74" t="s">
        <v>2255</v>
      </c>
      <c r="EA166" s="77">
        <f t="shared" ca="1" si="762"/>
        <v>0</v>
      </c>
      <c r="EB166" s="110"/>
      <c r="EC166" s="74" t="s">
        <v>2730</v>
      </c>
      <c r="ED166" s="77">
        <f t="shared" ca="1" si="762"/>
        <v>0</v>
      </c>
      <c r="EE166" s="110"/>
      <c r="EF166" s="74" t="s">
        <v>2003</v>
      </c>
      <c r="EG166" s="77">
        <f t="shared" ca="1" si="762"/>
        <v>0</v>
      </c>
      <c r="EH166" s="110"/>
      <c r="EI166" s="74" t="s">
        <v>2637</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2004</v>
      </c>
      <c r="W167" s="77">
        <f t="shared" ca="1" si="740"/>
        <v>0</v>
      </c>
      <c r="X167" s="110"/>
      <c r="Y167" s="74" t="s">
        <v>2040</v>
      </c>
      <c r="Z167" s="77">
        <f t="shared" ca="1" si="740"/>
        <v>0</v>
      </c>
      <c r="AA167" s="110"/>
      <c r="AB167" s="80" t="s">
        <v>2004</v>
      </c>
      <c r="AC167" s="77">
        <f t="shared" ca="1" si="740"/>
        <v>0</v>
      </c>
      <c r="AD167" s="110"/>
      <c r="AE167" s="74" t="s">
        <v>2095</v>
      </c>
      <c r="AF167" s="77">
        <f t="shared" ca="1" si="740"/>
        <v>0</v>
      </c>
      <c r="AG167" s="110"/>
      <c r="AH167" s="74" t="s">
        <v>2123</v>
      </c>
      <c r="AI167" s="77">
        <f t="shared" ca="1" si="740"/>
        <v>0</v>
      </c>
      <c r="AJ167" s="110"/>
      <c r="AK167" s="74" t="s">
        <v>2148</v>
      </c>
      <c r="AL167" s="77">
        <f t="shared" ca="1" si="740"/>
        <v>2</v>
      </c>
      <c r="AM167" s="110"/>
      <c r="AN167" s="74" t="s">
        <v>2179</v>
      </c>
      <c r="AO167" s="77">
        <f t="shared" ca="1" si="740"/>
        <v>4</v>
      </c>
      <c r="AP167" s="110"/>
      <c r="AQ167" s="74" t="s">
        <v>2179</v>
      </c>
      <c r="AR167" s="77">
        <f t="shared" ca="1" si="740"/>
        <v>4</v>
      </c>
      <c r="AS167" s="110"/>
      <c r="AT167" s="74" t="s">
        <v>2040</v>
      </c>
      <c r="AU167" s="77">
        <f t="shared" ca="1" si="740"/>
        <v>0</v>
      </c>
      <c r="AV167" s="110"/>
      <c r="AW167" s="74" t="s">
        <v>2179</v>
      </c>
      <c r="AX167" s="77">
        <f t="shared" ca="1" si="740"/>
        <v>4</v>
      </c>
      <c r="AY167" s="110"/>
      <c r="AZ167" s="74" t="s">
        <v>2179</v>
      </c>
      <c r="BA167" s="77">
        <f t="shared" ca="1" si="740"/>
        <v>4</v>
      </c>
      <c r="BB167" s="110"/>
      <c r="BC167" s="74" t="s">
        <v>2299</v>
      </c>
      <c r="BD167" s="77">
        <f t="shared" ca="1" si="740"/>
        <v>0</v>
      </c>
      <c r="BE167" s="110"/>
      <c r="BF167" s="74" t="s">
        <v>2040</v>
      </c>
      <c r="BG167" s="77">
        <f t="shared" ca="1" si="740"/>
        <v>0</v>
      </c>
      <c r="BH167" s="110"/>
      <c r="BI167" s="74" t="s">
        <v>2040</v>
      </c>
      <c r="BJ167" s="77">
        <f t="shared" ca="1" si="740"/>
        <v>0</v>
      </c>
      <c r="BK167" s="110"/>
      <c r="BL167" s="74" t="s">
        <v>2179</v>
      </c>
      <c r="BM167" s="77">
        <f t="shared" ca="1" si="740"/>
        <v>4</v>
      </c>
      <c r="BN167" s="110"/>
      <c r="BO167" s="74" t="s">
        <v>2299</v>
      </c>
      <c r="BP167" s="77">
        <f t="shared" ca="1" si="740"/>
        <v>0</v>
      </c>
      <c r="BQ167" s="110"/>
      <c r="BR167" s="74" t="s">
        <v>2179</v>
      </c>
      <c r="BS167" s="77">
        <f t="shared" ca="1" si="740"/>
        <v>4</v>
      </c>
      <c r="BT167" s="110"/>
      <c r="BU167" s="74" t="s">
        <v>2404</v>
      </c>
      <c r="BV167" s="77">
        <f t="shared" ca="1" si="740"/>
        <v>0</v>
      </c>
      <c r="BW167" s="110"/>
      <c r="BX167" s="74" t="s">
        <v>2423</v>
      </c>
      <c r="BY167" s="77">
        <f t="shared" ca="1" si="740"/>
        <v>0</v>
      </c>
      <c r="BZ167" s="110"/>
      <c r="CA167" s="74" t="s">
        <v>2443</v>
      </c>
      <c r="CB167" s="77">
        <f t="shared" ca="1" si="740"/>
        <v>0</v>
      </c>
      <c r="CC167" s="110"/>
      <c r="CD167" s="74" t="s">
        <v>2095</v>
      </c>
      <c r="CE167" s="77">
        <f t="shared" ca="1" si="740"/>
        <v>0</v>
      </c>
      <c r="CF167" s="110"/>
      <c r="CG167" s="74" t="s">
        <v>2480</v>
      </c>
      <c r="CH167" s="77">
        <f t="shared" ca="1" si="740"/>
        <v>0</v>
      </c>
      <c r="CI167" s="110"/>
      <c r="CJ167" s="74" t="s">
        <v>2179</v>
      </c>
      <c r="CK167" s="77">
        <f t="shared" ca="1" si="762"/>
        <v>4</v>
      </c>
      <c r="CL167" s="110"/>
      <c r="CM167" s="74" t="s">
        <v>2511</v>
      </c>
      <c r="CN167" s="77">
        <f t="shared" ca="1" si="762"/>
        <v>0</v>
      </c>
      <c r="CO167" s="110"/>
      <c r="CP167" s="74" t="s">
        <v>2528</v>
      </c>
      <c r="CQ167" s="77">
        <f t="shared" ca="1" si="762"/>
        <v>0</v>
      </c>
      <c r="CR167" s="110"/>
      <c r="CS167" s="74" t="s">
        <v>2299</v>
      </c>
      <c r="CT167" s="77">
        <f t="shared" ca="1" si="762"/>
        <v>0</v>
      </c>
      <c r="CU167" s="110"/>
      <c r="CV167" s="74" t="s">
        <v>2179</v>
      </c>
      <c r="CW167" s="77">
        <f t="shared" ca="1" si="762"/>
        <v>4</v>
      </c>
      <c r="CX167" s="110"/>
      <c r="CY167" s="74" t="s">
        <v>2559</v>
      </c>
      <c r="CZ167" s="77">
        <f t="shared" ca="1" si="762"/>
        <v>0</v>
      </c>
      <c r="DA167" s="110"/>
      <c r="DB167" s="74" t="s">
        <v>2148</v>
      </c>
      <c r="DC167" s="77">
        <f t="shared" ca="1" si="762"/>
        <v>2</v>
      </c>
      <c r="DD167" s="110"/>
      <c r="DE167" s="74" t="s">
        <v>2179</v>
      </c>
      <c r="DF167" s="77">
        <f t="shared" ca="1" si="762"/>
        <v>4</v>
      </c>
      <c r="DG167" s="110"/>
      <c r="DH167" s="74" t="s">
        <v>2148</v>
      </c>
      <c r="DI167" s="77">
        <f t="shared" ca="1" si="762"/>
        <v>2</v>
      </c>
      <c r="DJ167" s="110"/>
      <c r="DK167" s="74" t="s">
        <v>2123</v>
      </c>
      <c r="DL167" s="77">
        <f t="shared" ca="1" si="762"/>
        <v>0</v>
      </c>
      <c r="DM167" s="110"/>
      <c r="DN167" s="795" t="s">
        <v>2040</v>
      </c>
      <c r="DO167" s="77">
        <f t="shared" ca="1" si="762"/>
        <v>0</v>
      </c>
      <c r="DP167" s="110"/>
      <c r="DQ167" s="795" t="s">
        <v>2649</v>
      </c>
      <c r="DR167" s="77">
        <f t="shared" ca="1" si="762"/>
        <v>0</v>
      </c>
      <c r="DS167" s="110"/>
      <c r="DT167" s="74" t="s">
        <v>2676</v>
      </c>
      <c r="DU167" s="77">
        <f t="shared" ca="1" si="762"/>
        <v>0</v>
      </c>
      <c r="DV167" s="110"/>
      <c r="DW167" s="74" t="s">
        <v>2699</v>
      </c>
      <c r="DX167" s="77">
        <f t="shared" ca="1" si="762"/>
        <v>2</v>
      </c>
      <c r="DY167" s="110"/>
      <c r="DZ167" s="74" t="s">
        <v>2716</v>
      </c>
      <c r="EA167" s="77">
        <f t="shared" ca="1" si="762"/>
        <v>0</v>
      </c>
      <c r="EB167" s="110"/>
      <c r="EC167" s="74" t="s">
        <v>2148</v>
      </c>
      <c r="ED167" s="77">
        <f t="shared" ca="1" si="762"/>
        <v>2</v>
      </c>
      <c r="EE167" s="110"/>
      <c r="EF167" s="74" t="s">
        <v>2699</v>
      </c>
      <c r="EG167" s="77">
        <f t="shared" ca="1" si="762"/>
        <v>2</v>
      </c>
      <c r="EH167" s="110"/>
      <c r="EI167" s="74" t="s">
        <v>2299</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2005</v>
      </c>
      <c r="W168" s="77">
        <f t="shared" ca="1" si="740"/>
        <v>0</v>
      </c>
      <c r="X168" s="110"/>
      <c r="Y168" s="74" t="s">
        <v>2041</v>
      </c>
      <c r="Z168" s="77">
        <f t="shared" ca="1" si="740"/>
        <v>0</v>
      </c>
      <c r="AA168" s="110"/>
      <c r="AB168" s="80" t="s">
        <v>2072</v>
      </c>
      <c r="AC168" s="77">
        <f t="shared" ca="1" si="740"/>
        <v>0</v>
      </c>
      <c r="AD168" s="110"/>
      <c r="AE168" s="74" t="s">
        <v>2096</v>
      </c>
      <c r="AF168" s="77">
        <f t="shared" ca="1" si="740"/>
        <v>0</v>
      </c>
      <c r="AG168" s="110"/>
      <c r="AH168" s="74" t="s">
        <v>2072</v>
      </c>
      <c r="AI168" s="77">
        <f t="shared" ca="1" si="740"/>
        <v>0</v>
      </c>
      <c r="AJ168" s="110"/>
      <c r="AK168" s="74" t="s">
        <v>2149</v>
      </c>
      <c r="AL168" s="77">
        <f t="shared" ca="1" si="740"/>
        <v>0</v>
      </c>
      <c r="AM168" s="110"/>
      <c r="AN168" s="74" t="s">
        <v>2180</v>
      </c>
      <c r="AO168" s="77">
        <f t="shared" ca="1" si="740"/>
        <v>2</v>
      </c>
      <c r="AP168" s="110"/>
      <c r="AQ168" s="74" t="s">
        <v>2209</v>
      </c>
      <c r="AR168" s="77">
        <f t="shared" ca="1" si="740"/>
        <v>0</v>
      </c>
      <c r="AS168" s="110"/>
      <c r="AT168" s="74" t="s">
        <v>2232</v>
      </c>
      <c r="AU168" s="77">
        <f t="shared" ca="1" si="740"/>
        <v>0</v>
      </c>
      <c r="AV168" s="110"/>
      <c r="AW168" s="74" t="s">
        <v>2256</v>
      </c>
      <c r="AX168" s="77">
        <f t="shared" ca="1" si="740"/>
        <v>0</v>
      </c>
      <c r="AY168" s="110"/>
      <c r="AZ168" s="74" t="s">
        <v>2096</v>
      </c>
      <c r="BA168" s="77">
        <f t="shared" ca="1" si="740"/>
        <v>0</v>
      </c>
      <c r="BB168" s="110"/>
      <c r="BC168" s="74" t="s">
        <v>2300</v>
      </c>
      <c r="BD168" s="77">
        <f t="shared" ca="1" si="740"/>
        <v>0</v>
      </c>
      <c r="BE168" s="110"/>
      <c r="BF168" s="74" t="s">
        <v>2327</v>
      </c>
      <c r="BG168" s="77">
        <f t="shared" ca="1" si="740"/>
        <v>0</v>
      </c>
      <c r="BH168" s="110"/>
      <c r="BI168" s="74" t="s">
        <v>2041</v>
      </c>
      <c r="BJ168" s="77">
        <f t="shared" ca="1" si="740"/>
        <v>0</v>
      </c>
      <c r="BK168" s="110"/>
      <c r="BL168" s="74" t="s">
        <v>2364</v>
      </c>
      <c r="BM168" s="77">
        <f t="shared" ca="1" si="740"/>
        <v>0</v>
      </c>
      <c r="BN168" s="110"/>
      <c r="BO168" s="74" t="s">
        <v>2380</v>
      </c>
      <c r="BP168" s="77">
        <f t="shared" ca="1" si="740"/>
        <v>0</v>
      </c>
      <c r="BQ168" s="110"/>
      <c r="BR168" s="74" t="s">
        <v>2390</v>
      </c>
      <c r="BS168" s="77">
        <f t="shared" ca="1" si="740"/>
        <v>0</v>
      </c>
      <c r="BT168" s="110"/>
      <c r="BU168" s="74" t="s">
        <v>2405</v>
      </c>
      <c r="BV168" s="77">
        <f t="shared" ca="1" si="740"/>
        <v>0</v>
      </c>
      <c r="BW168" s="110"/>
      <c r="BX168" s="74" t="s">
        <v>2424</v>
      </c>
      <c r="BY168" s="77">
        <f t="shared" ca="1" si="740"/>
        <v>0</v>
      </c>
      <c r="BZ168" s="110"/>
      <c r="CA168" s="74" t="s">
        <v>2005</v>
      </c>
      <c r="CB168" s="77">
        <f t="shared" ca="1" si="740"/>
        <v>0</v>
      </c>
      <c r="CC168" s="110"/>
      <c r="CD168" s="74" t="s">
        <v>2096</v>
      </c>
      <c r="CE168" s="77">
        <f t="shared" ca="1" si="740"/>
        <v>0</v>
      </c>
      <c r="CF168" s="110"/>
      <c r="CG168" s="74" t="s">
        <v>2380</v>
      </c>
      <c r="CH168" s="77">
        <f t="shared" ca="1" si="740"/>
        <v>0</v>
      </c>
      <c r="CI168" s="110"/>
      <c r="CJ168" s="74" t="s">
        <v>2497</v>
      </c>
      <c r="CK168" s="77">
        <f t="shared" ca="1" si="762"/>
        <v>0</v>
      </c>
      <c r="CL168" s="110"/>
      <c r="CM168" s="74" t="s">
        <v>2096</v>
      </c>
      <c r="CN168" s="77">
        <f t="shared" ca="1" si="762"/>
        <v>0</v>
      </c>
      <c r="CO168" s="110"/>
      <c r="CP168" s="74" t="s">
        <v>2497</v>
      </c>
      <c r="CQ168" s="77">
        <f t="shared" ca="1" si="762"/>
        <v>0</v>
      </c>
      <c r="CR168" s="110"/>
      <c r="CS168" s="74" t="s">
        <v>2041</v>
      </c>
      <c r="CT168" s="77">
        <f t="shared" ca="1" si="762"/>
        <v>0</v>
      </c>
      <c r="CU168" s="110"/>
      <c r="CV168" s="74" t="s">
        <v>2327</v>
      </c>
      <c r="CW168" s="77">
        <f t="shared" ca="1" si="762"/>
        <v>0</v>
      </c>
      <c r="CX168" s="110"/>
      <c r="CY168" s="74" t="s">
        <v>1968</v>
      </c>
      <c r="CZ168" s="77">
        <f t="shared" ca="1" si="762"/>
        <v>1</v>
      </c>
      <c r="DA168" s="110"/>
      <c r="DB168" s="74" t="s">
        <v>2096</v>
      </c>
      <c r="DC168" s="77">
        <f t="shared" ca="1" si="762"/>
        <v>0</v>
      </c>
      <c r="DD168" s="110"/>
      <c r="DE168" s="74" t="s">
        <v>2593</v>
      </c>
      <c r="DF168" s="77">
        <f t="shared" ca="1" si="762"/>
        <v>0</v>
      </c>
      <c r="DG168" s="110"/>
      <c r="DH168" s="74" t="s">
        <v>2610</v>
      </c>
      <c r="DI168" s="77">
        <f t="shared" ca="1" si="762"/>
        <v>0</v>
      </c>
      <c r="DJ168" s="110"/>
      <c r="DK168" s="74" t="s">
        <v>2300</v>
      </c>
      <c r="DL168" s="77">
        <f t="shared" ca="1" si="762"/>
        <v>0</v>
      </c>
      <c r="DM168" s="110"/>
      <c r="DN168" s="795" t="s">
        <v>2497</v>
      </c>
      <c r="DO168" s="77">
        <f t="shared" ca="1" si="762"/>
        <v>0</v>
      </c>
      <c r="DP168" s="110"/>
      <c r="DQ168" s="795" t="s">
        <v>2650</v>
      </c>
      <c r="DR168" s="77">
        <f t="shared" ca="1" si="762"/>
        <v>0</v>
      </c>
      <c r="DS168" s="110"/>
      <c r="DT168" s="74" t="s">
        <v>2677</v>
      </c>
      <c r="DU168" s="77">
        <f t="shared" ca="1" si="762"/>
        <v>0</v>
      </c>
      <c r="DV168" s="110"/>
      <c r="DW168" s="74" t="s">
        <v>2096</v>
      </c>
      <c r="DX168" s="77">
        <f t="shared" ca="1" si="762"/>
        <v>0</v>
      </c>
      <c r="DY168" s="110"/>
      <c r="DZ168" s="74" t="s">
        <v>2096</v>
      </c>
      <c r="EA168" s="77">
        <f t="shared" ca="1" si="762"/>
        <v>0</v>
      </c>
      <c r="EB168" s="110"/>
      <c r="EC168" s="74" t="s">
        <v>2731</v>
      </c>
      <c r="ED168" s="77">
        <f t="shared" ca="1" si="762"/>
        <v>0</v>
      </c>
      <c r="EE168" s="110"/>
      <c r="EF168" s="74" t="s">
        <v>2738</v>
      </c>
      <c r="EG168" s="77">
        <f t="shared" ca="1" si="762"/>
        <v>0</v>
      </c>
      <c r="EH168" s="110"/>
      <c r="EI168" s="74" t="s">
        <v>2754</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2006</v>
      </c>
      <c r="W169" s="77">
        <f t="shared" ca="1" si="740"/>
        <v>1</v>
      </c>
      <c r="X169" s="110"/>
      <c r="Y169" s="74" t="s">
        <v>2006</v>
      </c>
      <c r="Z169" s="77">
        <f t="shared" ca="1" si="740"/>
        <v>1</v>
      </c>
      <c r="AA169" s="110"/>
      <c r="AB169" s="80" t="s">
        <v>2006</v>
      </c>
      <c r="AC169" s="77">
        <f t="shared" ca="1" si="740"/>
        <v>1</v>
      </c>
      <c r="AD169" s="110"/>
      <c r="AE169" s="74" t="s">
        <v>2006</v>
      </c>
      <c r="AF169" s="77">
        <f t="shared" ca="1" si="740"/>
        <v>1</v>
      </c>
      <c r="AG169" s="110"/>
      <c r="AH169" s="74" t="s">
        <v>2124</v>
      </c>
      <c r="AI169" s="77">
        <f t="shared" ca="1" si="740"/>
        <v>0</v>
      </c>
      <c r="AJ169" s="110"/>
      <c r="AK169" s="74" t="s">
        <v>2150</v>
      </c>
      <c r="AL169" s="77">
        <f t="shared" ca="1" si="740"/>
        <v>4</v>
      </c>
      <c r="AM169" s="110"/>
      <c r="AN169" s="74" t="s">
        <v>2181</v>
      </c>
      <c r="AO169" s="77">
        <f t="shared" ca="1" si="740"/>
        <v>0</v>
      </c>
      <c r="AP169" s="110"/>
      <c r="AQ169" s="74" t="s">
        <v>2210</v>
      </c>
      <c r="AR169" s="77">
        <f t="shared" ca="1" si="740"/>
        <v>0</v>
      </c>
      <c r="AS169" s="110"/>
      <c r="AT169" s="74" t="s">
        <v>2233</v>
      </c>
      <c r="AU169" s="77">
        <f t="shared" ca="1" si="740"/>
        <v>0</v>
      </c>
      <c r="AV169" s="110"/>
      <c r="AW169" s="74" t="s">
        <v>2257</v>
      </c>
      <c r="AX169" s="77">
        <f t="shared" ca="1" si="740"/>
        <v>0</v>
      </c>
      <c r="AY169" s="110"/>
      <c r="AZ169" s="74" t="s">
        <v>2278</v>
      </c>
      <c r="BA169" s="77">
        <f t="shared" ca="1" si="740"/>
        <v>0</v>
      </c>
      <c r="BB169" s="110"/>
      <c r="BC169" s="74" t="s">
        <v>2124</v>
      </c>
      <c r="BD169" s="77">
        <f t="shared" ca="1" si="740"/>
        <v>0</v>
      </c>
      <c r="BE169" s="110"/>
      <c r="BF169" s="74" t="s">
        <v>2328</v>
      </c>
      <c r="BG169" s="77">
        <f t="shared" ca="1" si="740"/>
        <v>0</v>
      </c>
      <c r="BH169" s="110"/>
      <c r="BI169" s="74" t="s">
        <v>2343</v>
      </c>
      <c r="BJ169" s="77">
        <f t="shared" ca="1" si="740"/>
        <v>0</v>
      </c>
      <c r="BK169" s="110"/>
      <c r="BL169" s="74" t="s">
        <v>2150</v>
      </c>
      <c r="BM169" s="77">
        <f t="shared" ca="1" si="740"/>
        <v>4</v>
      </c>
      <c r="BN169" s="110"/>
      <c r="BO169" s="74" t="s">
        <v>2150</v>
      </c>
      <c r="BP169" s="77">
        <f t="shared" ca="1" si="740"/>
        <v>4</v>
      </c>
      <c r="BQ169" s="110"/>
      <c r="BR169" s="74" t="s">
        <v>2391</v>
      </c>
      <c r="BS169" s="77">
        <f t="shared" ca="1" si="740"/>
        <v>0</v>
      </c>
      <c r="BT169" s="110"/>
      <c r="BU169" s="74" t="s">
        <v>2006</v>
      </c>
      <c r="BV169" s="77">
        <f t="shared" ca="1" si="740"/>
        <v>1</v>
      </c>
      <c r="BW169" s="110"/>
      <c r="BX169" s="74" t="s">
        <v>2425</v>
      </c>
      <c r="BY169" s="77">
        <f t="shared" ca="1" si="740"/>
        <v>0</v>
      </c>
      <c r="BZ169" s="110"/>
      <c r="CA169" s="74" t="s">
        <v>2444</v>
      </c>
      <c r="CB169" s="77">
        <f t="shared" ca="1" si="740"/>
        <v>0</v>
      </c>
      <c r="CC169" s="110"/>
      <c r="CD169" s="74" t="s">
        <v>2465</v>
      </c>
      <c r="CE169" s="77">
        <f t="shared" ca="1" si="740"/>
        <v>1</v>
      </c>
      <c r="CF169" s="110"/>
      <c r="CG169" s="74" t="s">
        <v>2006</v>
      </c>
      <c r="CH169" s="77">
        <f t="shared" ca="1" si="740"/>
        <v>1</v>
      </c>
      <c r="CI169" s="110"/>
      <c r="CJ169" s="74" t="s">
        <v>2278</v>
      </c>
      <c r="CK169" s="77">
        <f t="shared" ca="1" si="762"/>
        <v>0</v>
      </c>
      <c r="CL169" s="110"/>
      <c r="CM169" s="74" t="s">
        <v>2328</v>
      </c>
      <c r="CN169" s="77">
        <f t="shared" ca="1" si="762"/>
        <v>0</v>
      </c>
      <c r="CO169" s="110"/>
      <c r="CP169" s="74" t="s">
        <v>2465</v>
      </c>
      <c r="CQ169" s="77">
        <f t="shared" ca="1" si="762"/>
        <v>1</v>
      </c>
      <c r="CR169" s="110"/>
      <c r="CS169" s="74" t="s">
        <v>2181</v>
      </c>
      <c r="CT169" s="77">
        <f t="shared" ca="1" si="762"/>
        <v>0</v>
      </c>
      <c r="CU169" s="110"/>
      <c r="CV169" s="74" t="s">
        <v>2465</v>
      </c>
      <c r="CW169" s="77">
        <f t="shared" ca="1" si="762"/>
        <v>1</v>
      </c>
      <c r="CX169" s="110"/>
      <c r="CY169" s="74" t="s">
        <v>2560</v>
      </c>
      <c r="CZ169" s="77">
        <f t="shared" ca="1" si="762"/>
        <v>0</v>
      </c>
      <c r="DA169" s="110"/>
      <c r="DB169" s="74" t="s">
        <v>2578</v>
      </c>
      <c r="DC169" s="77">
        <f t="shared" ca="1" si="762"/>
        <v>1</v>
      </c>
      <c r="DD169" s="110"/>
      <c r="DE169" s="74" t="s">
        <v>2594</v>
      </c>
      <c r="DF169" s="77">
        <f t="shared" ca="1" si="762"/>
        <v>0</v>
      </c>
      <c r="DG169" s="110"/>
      <c r="DH169" s="74" t="s">
        <v>2150</v>
      </c>
      <c r="DI169" s="77">
        <f t="shared" ca="1" si="762"/>
        <v>4</v>
      </c>
      <c r="DJ169" s="110"/>
      <c r="DK169" s="74" t="s">
        <v>2278</v>
      </c>
      <c r="DL169" s="77">
        <f t="shared" ca="1" si="762"/>
        <v>0</v>
      </c>
      <c r="DM169" s="110"/>
      <c r="DN169" s="795" t="s">
        <v>2257</v>
      </c>
      <c r="DO169" s="77">
        <f t="shared" ca="1" si="762"/>
        <v>0</v>
      </c>
      <c r="DP169" s="110"/>
      <c r="DQ169" s="795" t="s">
        <v>2651</v>
      </c>
      <c r="DR169" s="77">
        <f t="shared" ca="1" si="762"/>
        <v>0</v>
      </c>
      <c r="DS169" s="110"/>
      <c r="DT169" s="74" t="s">
        <v>2210</v>
      </c>
      <c r="DU169" s="77">
        <f t="shared" ca="1" si="762"/>
        <v>0</v>
      </c>
      <c r="DV169" s="110"/>
      <c r="DW169" s="74" t="s">
        <v>2465</v>
      </c>
      <c r="DX169" s="77">
        <f t="shared" ca="1" si="762"/>
        <v>1</v>
      </c>
      <c r="DY169" s="110"/>
      <c r="DZ169" s="74" t="s">
        <v>2717</v>
      </c>
      <c r="EA169" s="77">
        <f t="shared" ca="1" si="762"/>
        <v>0</v>
      </c>
      <c r="EB169" s="110"/>
      <c r="EC169" s="74" t="s">
        <v>2150</v>
      </c>
      <c r="ED169" s="77">
        <f t="shared" ca="1" si="762"/>
        <v>4</v>
      </c>
      <c r="EE169" s="110"/>
      <c r="EF169" s="74" t="s">
        <v>2739</v>
      </c>
      <c r="EG169" s="77">
        <f t="shared" ca="1" si="762"/>
        <v>0</v>
      </c>
      <c r="EH169" s="110"/>
      <c r="EI169" s="74" t="s">
        <v>2328</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2007</v>
      </c>
      <c r="W170" s="77">
        <f t="shared" ca="1" si="740"/>
        <v>0</v>
      </c>
      <c r="X170" s="110"/>
      <c r="Y170" s="74" t="s">
        <v>2042</v>
      </c>
      <c r="Z170" s="77">
        <f t="shared" ca="1" si="740"/>
        <v>0</v>
      </c>
      <c r="AA170" s="110"/>
      <c r="AB170" s="80" t="s">
        <v>2073</v>
      </c>
      <c r="AC170" s="77">
        <f t="shared" ca="1" si="740"/>
        <v>0</v>
      </c>
      <c r="AD170" s="110"/>
      <c r="AE170" s="74" t="s">
        <v>2097</v>
      </c>
      <c r="AF170" s="77">
        <f t="shared" ca="1" si="740"/>
        <v>0</v>
      </c>
      <c r="AG170" s="110"/>
      <c r="AH170" s="74" t="s">
        <v>2097</v>
      </c>
      <c r="AI170" s="77">
        <f t="shared" ca="1" si="740"/>
        <v>0</v>
      </c>
      <c r="AJ170" s="110"/>
      <c r="AK170" s="74" t="s">
        <v>2151</v>
      </c>
      <c r="AL170" s="77">
        <f t="shared" ca="1" si="740"/>
        <v>0</v>
      </c>
      <c r="AM170" s="110"/>
      <c r="AN170" s="74" t="s">
        <v>2182</v>
      </c>
      <c r="AO170" s="77">
        <f t="shared" ca="1" si="740"/>
        <v>0</v>
      </c>
      <c r="AP170" s="110"/>
      <c r="AQ170" s="74" t="s">
        <v>2073</v>
      </c>
      <c r="AR170" s="77">
        <f t="shared" ca="1" si="740"/>
        <v>0</v>
      </c>
      <c r="AS170" s="110"/>
      <c r="AT170" s="74" t="s">
        <v>2234</v>
      </c>
      <c r="AU170" s="77">
        <f t="shared" ca="1" si="740"/>
        <v>0</v>
      </c>
      <c r="AV170" s="110"/>
      <c r="AW170" s="74" t="s">
        <v>2258</v>
      </c>
      <c r="AX170" s="77">
        <f t="shared" ca="1" si="740"/>
        <v>0</v>
      </c>
      <c r="AY170" s="110"/>
      <c r="AZ170" s="74" t="s">
        <v>2279</v>
      </c>
      <c r="BA170" s="77">
        <f t="shared" ca="1" si="740"/>
        <v>0</v>
      </c>
      <c r="BB170" s="110"/>
      <c r="BC170" s="74" t="s">
        <v>2301</v>
      </c>
      <c r="BD170" s="77">
        <f t="shared" ca="1" si="740"/>
        <v>0</v>
      </c>
      <c r="BE170" s="110"/>
      <c r="BF170" s="74" t="s">
        <v>2329</v>
      </c>
      <c r="BG170" s="77">
        <f t="shared" ca="1" si="740"/>
        <v>0</v>
      </c>
      <c r="BH170" s="110"/>
      <c r="BI170" s="74" t="s">
        <v>2344</v>
      </c>
      <c r="BJ170" s="77">
        <f t="shared" ca="1" si="740"/>
        <v>2</v>
      </c>
      <c r="BK170" s="110"/>
      <c r="BL170" s="74" t="s">
        <v>2073</v>
      </c>
      <c r="BM170" s="77">
        <f t="shared" ca="1" si="740"/>
        <v>0</v>
      </c>
      <c r="BN170" s="110"/>
      <c r="BO170" s="74" t="s">
        <v>2329</v>
      </c>
      <c r="BP170" s="77">
        <f t="shared" ca="1" si="740"/>
        <v>0</v>
      </c>
      <c r="BQ170" s="110"/>
      <c r="BR170" s="74" t="s">
        <v>2042</v>
      </c>
      <c r="BS170" s="77">
        <f t="shared" ca="1" si="740"/>
        <v>0</v>
      </c>
      <c r="BT170" s="110"/>
      <c r="BU170" s="74" t="s">
        <v>2406</v>
      </c>
      <c r="BV170" s="77">
        <f t="shared" ca="1" si="740"/>
        <v>0</v>
      </c>
      <c r="BW170" s="110"/>
      <c r="BX170" s="74" t="s">
        <v>2426</v>
      </c>
      <c r="BY170" s="77">
        <f t="shared" ca="1" si="740"/>
        <v>0</v>
      </c>
      <c r="BZ170" s="110"/>
      <c r="CA170" s="74" t="s">
        <v>2445</v>
      </c>
      <c r="CB170" s="77">
        <f t="shared" ca="1" si="740"/>
        <v>0</v>
      </c>
      <c r="CC170" s="110"/>
      <c r="CD170" s="74" t="s">
        <v>2466</v>
      </c>
      <c r="CE170" s="77">
        <f t="shared" ca="1" si="740"/>
        <v>0</v>
      </c>
      <c r="CF170" s="110"/>
      <c r="CG170" s="74" t="s">
        <v>2481</v>
      </c>
      <c r="CH170" s="77">
        <f t="shared" ca="1" si="740"/>
        <v>1</v>
      </c>
      <c r="CI170" s="110"/>
      <c r="CJ170" s="74" t="s">
        <v>2234</v>
      </c>
      <c r="CK170" s="77">
        <f t="shared" ca="1" si="762"/>
        <v>0</v>
      </c>
      <c r="CL170" s="110"/>
      <c r="CM170" s="74" t="s">
        <v>2512</v>
      </c>
      <c r="CN170" s="77">
        <f t="shared" ca="1" si="762"/>
        <v>0</v>
      </c>
      <c r="CO170" s="110"/>
      <c r="CP170" s="74" t="s">
        <v>2529</v>
      </c>
      <c r="CQ170" s="77">
        <f t="shared" ca="1" si="762"/>
        <v>0</v>
      </c>
      <c r="CR170" s="110"/>
      <c r="CS170" s="74" t="s">
        <v>2539</v>
      </c>
      <c r="CT170" s="77">
        <f t="shared" ca="1" si="762"/>
        <v>1</v>
      </c>
      <c r="CU170" s="110"/>
      <c r="CV170" s="74" t="s">
        <v>2042</v>
      </c>
      <c r="CW170" s="77">
        <f t="shared" ca="1" si="762"/>
        <v>0</v>
      </c>
      <c r="CX170" s="110"/>
      <c r="CY170" s="74" t="s">
        <v>2561</v>
      </c>
      <c r="CZ170" s="77">
        <f t="shared" ca="1" si="762"/>
        <v>0</v>
      </c>
      <c r="DA170" s="110"/>
      <c r="DB170" s="74" t="s">
        <v>2579</v>
      </c>
      <c r="DC170" s="77">
        <f t="shared" ca="1" si="762"/>
        <v>0</v>
      </c>
      <c r="DD170" s="110"/>
      <c r="DE170" s="74" t="s">
        <v>2234</v>
      </c>
      <c r="DF170" s="77">
        <f t="shared" ca="1" si="762"/>
        <v>0</v>
      </c>
      <c r="DG170" s="110"/>
      <c r="DH170" s="74" t="s">
        <v>2611</v>
      </c>
      <c r="DI170" s="77">
        <f t="shared" ca="1" si="762"/>
        <v>0</v>
      </c>
      <c r="DJ170" s="110"/>
      <c r="DK170" s="74" t="s">
        <v>2625</v>
      </c>
      <c r="DL170" s="77">
        <f t="shared" ca="1" si="762"/>
        <v>0</v>
      </c>
      <c r="DM170" s="110"/>
      <c r="DN170" s="795" t="s">
        <v>2329</v>
      </c>
      <c r="DO170" s="77">
        <f t="shared" ca="1" si="762"/>
        <v>0</v>
      </c>
      <c r="DP170" s="110"/>
      <c r="DQ170" s="795" t="s">
        <v>2652</v>
      </c>
      <c r="DR170" s="77">
        <f t="shared" ca="1" si="762"/>
        <v>0</v>
      </c>
      <c r="DS170" s="110"/>
      <c r="DT170" s="74" t="s">
        <v>2678</v>
      </c>
      <c r="DU170" s="77">
        <f t="shared" ca="1" si="762"/>
        <v>0</v>
      </c>
      <c r="DV170" s="110"/>
      <c r="DW170" s="74" t="s">
        <v>2073</v>
      </c>
      <c r="DX170" s="77">
        <f t="shared" ca="1" si="762"/>
        <v>0</v>
      </c>
      <c r="DY170" s="110"/>
      <c r="DZ170" s="74" t="s">
        <v>2579</v>
      </c>
      <c r="EA170" s="77">
        <f t="shared" ca="1" si="762"/>
        <v>0</v>
      </c>
      <c r="EB170" s="110"/>
      <c r="EC170" s="74" t="s">
        <v>2466</v>
      </c>
      <c r="ED170" s="77">
        <f t="shared" ca="1" si="762"/>
        <v>0</v>
      </c>
      <c r="EE170" s="110"/>
      <c r="EF170" s="74" t="s">
        <v>2579</v>
      </c>
      <c r="EG170" s="77">
        <f t="shared" ca="1" si="762"/>
        <v>0</v>
      </c>
      <c r="EH170" s="110"/>
      <c r="EI170" s="74" t="s">
        <v>2579</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2008</v>
      </c>
      <c r="W171" s="77">
        <f t="shared" ca="1" si="740"/>
        <v>1</v>
      </c>
      <c r="X171" s="110"/>
      <c r="Y171" s="74" t="s">
        <v>2043</v>
      </c>
      <c r="Z171" s="77">
        <f t="shared" ca="1" si="740"/>
        <v>0</v>
      </c>
      <c r="AA171" s="110"/>
      <c r="AB171" s="80" t="s">
        <v>2043</v>
      </c>
      <c r="AC171" s="77">
        <f t="shared" ca="1" si="740"/>
        <v>0</v>
      </c>
      <c r="AD171" s="110"/>
      <c r="AE171" s="74" t="s">
        <v>2098</v>
      </c>
      <c r="AF171" s="77">
        <f t="shared" ca="1" si="740"/>
        <v>0</v>
      </c>
      <c r="AG171" s="110"/>
      <c r="AH171" s="74" t="s">
        <v>2125</v>
      </c>
      <c r="AI171" s="77">
        <f t="shared" ca="1" si="740"/>
        <v>0</v>
      </c>
      <c r="AJ171" s="110"/>
      <c r="AK171" s="74" t="s">
        <v>2152</v>
      </c>
      <c r="AL171" s="77">
        <f t="shared" ca="1" si="740"/>
        <v>0</v>
      </c>
      <c r="AM171" s="110"/>
      <c r="AN171" s="74" t="s">
        <v>2183</v>
      </c>
      <c r="AO171" s="77">
        <f t="shared" ca="1" si="740"/>
        <v>1</v>
      </c>
      <c r="AP171" s="110"/>
      <c r="AQ171" s="74" t="s">
        <v>2211</v>
      </c>
      <c r="AR171" s="77">
        <f t="shared" ca="1" si="740"/>
        <v>0</v>
      </c>
      <c r="AS171" s="110"/>
      <c r="AT171" s="74" t="s">
        <v>2183</v>
      </c>
      <c r="AU171" s="77">
        <f t="shared" ca="1" si="740"/>
        <v>1</v>
      </c>
      <c r="AV171" s="110"/>
      <c r="AW171" s="74" t="s">
        <v>2259</v>
      </c>
      <c r="AX171" s="77">
        <f t="shared" ca="1" si="740"/>
        <v>0</v>
      </c>
      <c r="AY171" s="110"/>
      <c r="AZ171" s="74" t="s">
        <v>2280</v>
      </c>
      <c r="BA171" s="77">
        <f t="shared" ca="1" si="740"/>
        <v>0</v>
      </c>
      <c r="BB171" s="110"/>
      <c r="BC171" s="74" t="s">
        <v>2302</v>
      </c>
      <c r="BD171" s="77">
        <f t="shared" ca="1" si="740"/>
        <v>0</v>
      </c>
      <c r="BE171" s="110"/>
      <c r="BF171" s="74" t="s">
        <v>2330</v>
      </c>
      <c r="BG171" s="77">
        <f t="shared" ca="1" si="740"/>
        <v>0</v>
      </c>
      <c r="BH171" s="110"/>
      <c r="BI171" s="74" t="s">
        <v>2345</v>
      </c>
      <c r="BJ171" s="77">
        <f t="shared" ca="1" si="740"/>
        <v>0</v>
      </c>
      <c r="BK171" s="110"/>
      <c r="BL171" s="74" t="s">
        <v>2365</v>
      </c>
      <c r="BM171" s="77">
        <f t="shared" ca="1" si="740"/>
        <v>0</v>
      </c>
      <c r="BN171" s="110"/>
      <c r="BO171" s="74" t="s">
        <v>2365</v>
      </c>
      <c r="BP171" s="77">
        <f t="shared" ca="1" si="740"/>
        <v>0</v>
      </c>
      <c r="BQ171" s="110"/>
      <c r="BR171" s="74" t="s">
        <v>2392</v>
      </c>
      <c r="BS171" s="77">
        <f t="shared" ca="1" si="740"/>
        <v>0</v>
      </c>
      <c r="BT171" s="110"/>
      <c r="BU171" s="74" t="s">
        <v>2407</v>
      </c>
      <c r="BV171" s="77">
        <f t="shared" ca="1" si="740"/>
        <v>1</v>
      </c>
      <c r="BW171" s="110"/>
      <c r="BX171" s="74" t="s">
        <v>2407</v>
      </c>
      <c r="BY171" s="77">
        <f t="shared" ca="1" si="740"/>
        <v>1</v>
      </c>
      <c r="BZ171" s="110"/>
      <c r="CA171" s="74" t="s">
        <v>2365</v>
      </c>
      <c r="CB171" s="77">
        <f t="shared" ca="1" si="740"/>
        <v>0</v>
      </c>
      <c r="CC171" s="110"/>
      <c r="CD171" s="74" t="s">
        <v>2467</v>
      </c>
      <c r="CE171" s="77">
        <f t="shared" ca="1" si="740"/>
        <v>0</v>
      </c>
      <c r="CF171" s="110"/>
      <c r="CG171" s="74" t="s">
        <v>2407</v>
      </c>
      <c r="CH171" s="77">
        <f t="shared" ca="1" si="740"/>
        <v>1</v>
      </c>
      <c r="CI171" s="110"/>
      <c r="CJ171" s="74" t="s">
        <v>2330</v>
      </c>
      <c r="CK171" s="77">
        <f t="shared" ca="1" si="762"/>
        <v>0</v>
      </c>
      <c r="CL171" s="110"/>
      <c r="CM171" s="74" t="s">
        <v>2345</v>
      </c>
      <c r="CN171" s="77">
        <f t="shared" ca="1" si="762"/>
        <v>0</v>
      </c>
      <c r="CO171" s="110"/>
      <c r="CP171" s="74" t="s">
        <v>2280</v>
      </c>
      <c r="CQ171" s="77">
        <f t="shared" ca="1" si="762"/>
        <v>0</v>
      </c>
      <c r="CR171" s="110"/>
      <c r="CS171" s="74" t="s">
        <v>2098</v>
      </c>
      <c r="CT171" s="77">
        <f t="shared" ca="1" si="762"/>
        <v>0</v>
      </c>
      <c r="CU171" s="110"/>
      <c r="CV171" s="74" t="s">
        <v>2544</v>
      </c>
      <c r="CW171" s="77">
        <f t="shared" ca="1" si="762"/>
        <v>0</v>
      </c>
      <c r="CX171" s="110"/>
      <c r="CY171" s="74" t="s">
        <v>2098</v>
      </c>
      <c r="CZ171" s="77">
        <f t="shared" ca="1" si="762"/>
        <v>0</v>
      </c>
      <c r="DA171" s="110"/>
      <c r="DB171" s="74" t="s">
        <v>2580</v>
      </c>
      <c r="DC171" s="77">
        <f t="shared" ca="1" si="762"/>
        <v>0</v>
      </c>
      <c r="DD171" s="110"/>
      <c r="DE171" s="74" t="s">
        <v>2595</v>
      </c>
      <c r="DF171" s="77">
        <f t="shared" ca="1" si="762"/>
        <v>0</v>
      </c>
      <c r="DG171" s="110"/>
      <c r="DH171" s="74" t="s">
        <v>2280</v>
      </c>
      <c r="DI171" s="77">
        <f t="shared" ca="1" si="762"/>
        <v>0</v>
      </c>
      <c r="DJ171" s="110"/>
      <c r="DK171" s="74" t="s">
        <v>2626</v>
      </c>
      <c r="DL171" s="77">
        <f t="shared" ca="1" si="762"/>
        <v>0</v>
      </c>
      <c r="DM171" s="110"/>
      <c r="DN171" s="795" t="s">
        <v>2008</v>
      </c>
      <c r="DO171" s="77">
        <f t="shared" ca="1" si="762"/>
        <v>1</v>
      </c>
      <c r="DP171" s="110"/>
      <c r="DQ171" s="795" t="s">
        <v>2653</v>
      </c>
      <c r="DR171" s="77">
        <f t="shared" ca="1" si="762"/>
        <v>0</v>
      </c>
      <c r="DS171" s="110"/>
      <c r="DT171" s="74" t="s">
        <v>2679</v>
      </c>
      <c r="DU171" s="77">
        <f t="shared" ca="1" si="762"/>
        <v>0</v>
      </c>
      <c r="DV171" s="110"/>
      <c r="DW171" s="74" t="s">
        <v>2280</v>
      </c>
      <c r="DX171" s="77">
        <f t="shared" ca="1" si="762"/>
        <v>0</v>
      </c>
      <c r="DY171" s="110"/>
      <c r="DZ171" s="74" t="s">
        <v>2718</v>
      </c>
      <c r="EA171" s="77">
        <f t="shared" ca="1" si="762"/>
        <v>2</v>
      </c>
      <c r="EB171" s="110"/>
      <c r="EC171" s="74" t="s">
        <v>2365</v>
      </c>
      <c r="ED171" s="77">
        <f t="shared" ca="1" si="762"/>
        <v>0</v>
      </c>
      <c r="EE171" s="110"/>
      <c r="EF171" s="74" t="s">
        <v>2152</v>
      </c>
      <c r="EG171" s="77">
        <f t="shared" ca="1" si="762"/>
        <v>0</v>
      </c>
      <c r="EH171" s="110"/>
      <c r="EI171" s="74" t="s">
        <v>2755</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2009</v>
      </c>
      <c r="W172" s="77">
        <f t="shared" ca="1" si="740"/>
        <v>0</v>
      </c>
      <c r="X172" s="110"/>
      <c r="Y172" s="74" t="s">
        <v>2044</v>
      </c>
      <c r="Z172" s="77">
        <f t="shared" ca="1" si="740"/>
        <v>0</v>
      </c>
      <c r="AA172" s="110"/>
      <c r="AB172" s="80" t="s">
        <v>2009</v>
      </c>
      <c r="AC172" s="77">
        <f t="shared" ca="1" si="740"/>
        <v>0</v>
      </c>
      <c r="AD172" s="110"/>
      <c r="AE172" s="74" t="s">
        <v>2099</v>
      </c>
      <c r="AF172" s="77">
        <f t="shared" ca="1" si="740"/>
        <v>0</v>
      </c>
      <c r="AG172" s="110"/>
      <c r="AH172" s="74" t="s">
        <v>2126</v>
      </c>
      <c r="AI172" s="77">
        <f t="shared" ca="1" si="740"/>
        <v>0</v>
      </c>
      <c r="AJ172" s="110"/>
      <c r="AK172" s="74" t="s">
        <v>2153</v>
      </c>
      <c r="AL172" s="77">
        <f t="shared" ca="1" si="740"/>
        <v>0</v>
      </c>
      <c r="AM172" s="110"/>
      <c r="AN172" s="74" t="s">
        <v>2184</v>
      </c>
      <c r="AO172" s="77">
        <f t="shared" ca="1" si="740"/>
        <v>0</v>
      </c>
      <c r="AP172" s="110"/>
      <c r="AQ172" s="74" t="s">
        <v>2212</v>
      </c>
      <c r="AR172" s="77">
        <f t="shared" ca="1" si="740"/>
        <v>0</v>
      </c>
      <c r="AS172" s="110"/>
      <c r="AT172" s="74" t="s">
        <v>2235</v>
      </c>
      <c r="AU172" s="77">
        <f t="shared" ca="1" si="740"/>
        <v>0</v>
      </c>
      <c r="AV172" s="110"/>
      <c r="AW172" s="74" t="s">
        <v>2260</v>
      </c>
      <c r="AX172" s="77">
        <f t="shared" ca="1" si="740"/>
        <v>1</v>
      </c>
      <c r="AY172" s="110"/>
      <c r="AZ172" s="74" t="s">
        <v>2281</v>
      </c>
      <c r="BA172" s="77">
        <f t="shared" ca="1" si="740"/>
        <v>0</v>
      </c>
      <c r="BB172" s="110"/>
      <c r="BC172" s="74" t="s">
        <v>2303</v>
      </c>
      <c r="BD172" s="77">
        <f t="shared" ca="1" si="740"/>
        <v>0</v>
      </c>
      <c r="BE172" s="110"/>
      <c r="BF172" s="74" t="s">
        <v>2331</v>
      </c>
      <c r="BG172" s="77">
        <f t="shared" ca="1" si="740"/>
        <v>0</v>
      </c>
      <c r="BH172" s="110"/>
      <c r="BI172" s="74" t="s">
        <v>2346</v>
      </c>
      <c r="BJ172" s="77">
        <f t="shared" ca="1" si="740"/>
        <v>0</v>
      </c>
      <c r="BK172" s="110"/>
      <c r="BL172" s="74" t="s">
        <v>2366</v>
      </c>
      <c r="BM172" s="77">
        <f t="shared" ca="1" si="740"/>
        <v>0</v>
      </c>
      <c r="BN172" s="110"/>
      <c r="BO172" s="74" t="s">
        <v>2099</v>
      </c>
      <c r="BP172" s="77">
        <f t="shared" ca="1" si="740"/>
        <v>0</v>
      </c>
      <c r="BQ172" s="110"/>
      <c r="BR172" s="74" t="s">
        <v>2331</v>
      </c>
      <c r="BS172" s="77">
        <f t="shared" ca="1" si="740"/>
        <v>0</v>
      </c>
      <c r="BT172" s="110"/>
      <c r="BU172" s="74" t="s">
        <v>2408</v>
      </c>
      <c r="BV172" s="77">
        <f t="shared" ca="1" si="740"/>
        <v>0</v>
      </c>
      <c r="BW172" s="110"/>
      <c r="BX172" s="74" t="s">
        <v>2427</v>
      </c>
      <c r="BY172" s="77">
        <f t="shared" ca="1" si="740"/>
        <v>0</v>
      </c>
      <c r="BZ172" s="110"/>
      <c r="CA172" s="74" t="s">
        <v>2446</v>
      </c>
      <c r="CB172" s="77">
        <f t="shared" ca="1" si="740"/>
        <v>0</v>
      </c>
      <c r="CC172" s="110"/>
      <c r="CD172" s="74" t="s">
        <v>2009</v>
      </c>
      <c r="CE172" s="77">
        <f t="shared" ca="1" si="740"/>
        <v>0</v>
      </c>
      <c r="CF172" s="110"/>
      <c r="CG172" s="74" t="s">
        <v>2482</v>
      </c>
      <c r="CH172" s="77">
        <f t="shared" ca="1" si="740"/>
        <v>0</v>
      </c>
      <c r="CI172" s="110"/>
      <c r="CJ172" s="74" t="s">
        <v>2498</v>
      </c>
      <c r="CK172" s="77">
        <f t="shared" ca="1" si="762"/>
        <v>0</v>
      </c>
      <c r="CL172" s="110"/>
      <c r="CM172" s="74" t="s">
        <v>2498</v>
      </c>
      <c r="CN172" s="77">
        <f t="shared" ca="1" si="762"/>
        <v>0</v>
      </c>
      <c r="CO172" s="110"/>
      <c r="CP172" s="74" t="s">
        <v>2446</v>
      </c>
      <c r="CQ172" s="77">
        <f t="shared" ca="1" si="762"/>
        <v>0</v>
      </c>
      <c r="CR172" s="110"/>
      <c r="CS172" s="74" t="s">
        <v>2346</v>
      </c>
      <c r="CT172" s="77">
        <f t="shared" ca="1" si="762"/>
        <v>0</v>
      </c>
      <c r="CU172" s="110"/>
      <c r="CV172" s="74" t="s">
        <v>2212</v>
      </c>
      <c r="CW172" s="77">
        <f t="shared" ca="1" si="762"/>
        <v>0</v>
      </c>
      <c r="CX172" s="110"/>
      <c r="CY172" s="74" t="s">
        <v>2331</v>
      </c>
      <c r="CZ172" s="77">
        <f t="shared" ca="1" si="762"/>
        <v>0</v>
      </c>
      <c r="DA172" s="110"/>
      <c r="DB172" s="74" t="s">
        <v>2331</v>
      </c>
      <c r="DC172" s="77">
        <f t="shared" ca="1" si="762"/>
        <v>0</v>
      </c>
      <c r="DD172" s="110"/>
      <c r="DE172" s="74" t="s">
        <v>2346</v>
      </c>
      <c r="DF172" s="77">
        <f t="shared" ca="1" si="762"/>
        <v>0</v>
      </c>
      <c r="DG172" s="110"/>
      <c r="DH172" s="74" t="s">
        <v>2612</v>
      </c>
      <c r="DI172" s="77">
        <f t="shared" ca="1" si="762"/>
        <v>0</v>
      </c>
      <c r="DJ172" s="110"/>
      <c r="DK172" s="74" t="s">
        <v>2346</v>
      </c>
      <c r="DL172" s="77">
        <f t="shared" ca="1" si="762"/>
        <v>0</v>
      </c>
      <c r="DM172" s="110"/>
      <c r="DN172" s="795" t="s">
        <v>2044</v>
      </c>
      <c r="DO172" s="77">
        <f t="shared" ca="1" si="762"/>
        <v>0</v>
      </c>
      <c r="DP172" s="110"/>
      <c r="DQ172" s="795" t="s">
        <v>2654</v>
      </c>
      <c r="DR172" s="77">
        <f t="shared" ca="1" si="762"/>
        <v>0</v>
      </c>
      <c r="DS172" s="110"/>
      <c r="DT172" s="74" t="s">
        <v>2680</v>
      </c>
      <c r="DU172" s="77">
        <f t="shared" ca="1" si="762"/>
        <v>0</v>
      </c>
      <c r="DV172" s="110"/>
      <c r="DW172" s="74" t="s">
        <v>2700</v>
      </c>
      <c r="DX172" s="77">
        <f t="shared" ca="1" si="762"/>
        <v>0</v>
      </c>
      <c r="DY172" s="110"/>
      <c r="DZ172" s="74" t="s">
        <v>2719</v>
      </c>
      <c r="EA172" s="77">
        <f t="shared" ca="1" si="762"/>
        <v>2</v>
      </c>
      <c r="EB172" s="110"/>
      <c r="EC172" s="74" t="s">
        <v>2126</v>
      </c>
      <c r="ED172" s="77">
        <f t="shared" ca="1" si="762"/>
        <v>0</v>
      </c>
      <c r="EE172" s="110"/>
      <c r="EF172" s="74" t="s">
        <v>2184</v>
      </c>
      <c r="EG172" s="77">
        <f t="shared" ca="1" si="762"/>
        <v>0</v>
      </c>
      <c r="EH172" s="110"/>
      <c r="EI172" s="74" t="s">
        <v>2099</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2010</v>
      </c>
      <c r="W173" s="77">
        <f t="shared" ca="1" si="740"/>
        <v>0</v>
      </c>
      <c r="X173" s="110"/>
      <c r="Y173" s="74" t="s">
        <v>2045</v>
      </c>
      <c r="Z173" s="77">
        <f t="shared" ca="1" si="740"/>
        <v>0</v>
      </c>
      <c r="AA173" s="110"/>
      <c r="AB173" s="74" t="s">
        <v>2074</v>
      </c>
      <c r="AC173" s="77">
        <f t="shared" ca="1" si="740"/>
        <v>0</v>
      </c>
      <c r="AD173" s="110"/>
      <c r="AE173" s="74" t="s">
        <v>2100</v>
      </c>
      <c r="AF173" s="77">
        <f t="shared" ca="1" si="740"/>
        <v>0</v>
      </c>
      <c r="AG173" s="110"/>
      <c r="AH173" s="74" t="s">
        <v>2127</v>
      </c>
      <c r="AI173" s="77">
        <f t="shared" ca="1" si="740"/>
        <v>0</v>
      </c>
      <c r="AJ173" s="110"/>
      <c r="AK173" s="74" t="s">
        <v>2154</v>
      </c>
      <c r="AL173" s="77">
        <f t="shared" ca="1" si="740"/>
        <v>0</v>
      </c>
      <c r="AM173" s="110"/>
      <c r="AN173" s="74" t="s">
        <v>2185</v>
      </c>
      <c r="AO173" s="77">
        <f t="shared" ca="1" si="740"/>
        <v>0</v>
      </c>
      <c r="AP173" s="110"/>
      <c r="AQ173" s="74" t="s">
        <v>2213</v>
      </c>
      <c r="AR173" s="77">
        <f t="shared" ca="1" si="740"/>
        <v>1</v>
      </c>
      <c r="AS173" s="110"/>
      <c r="AT173" s="74" t="s">
        <v>2236</v>
      </c>
      <c r="AU173" s="77">
        <f t="shared" ca="1" si="740"/>
        <v>0</v>
      </c>
      <c r="AV173" s="110"/>
      <c r="AW173" s="74" t="s">
        <v>2236</v>
      </c>
      <c r="AX173" s="77">
        <f t="shared" ca="1" si="740"/>
        <v>0</v>
      </c>
      <c r="AY173" s="110"/>
      <c r="AZ173" s="74" t="s">
        <v>2282</v>
      </c>
      <c r="BA173" s="77">
        <f t="shared" ca="1" si="740"/>
        <v>0</v>
      </c>
      <c r="BB173" s="110"/>
      <c r="BC173" s="74" t="s">
        <v>2304</v>
      </c>
      <c r="BD173" s="77">
        <f t="shared" ca="1" si="740"/>
        <v>0</v>
      </c>
      <c r="BE173" s="110"/>
      <c r="BF173" s="74" t="s">
        <v>2332</v>
      </c>
      <c r="BG173" s="77">
        <f t="shared" ca="1" si="740"/>
        <v>0</v>
      </c>
      <c r="BH173" s="110"/>
      <c r="BI173" s="74" t="s">
        <v>2347</v>
      </c>
      <c r="BJ173" s="77">
        <f t="shared" ca="1" si="740"/>
        <v>0</v>
      </c>
      <c r="BK173" s="110"/>
      <c r="BL173" s="74" t="s">
        <v>2367</v>
      </c>
      <c r="BM173" s="77">
        <f t="shared" ca="1" si="740"/>
        <v>0</v>
      </c>
      <c r="BN173" s="110"/>
      <c r="BO173" s="74" t="s">
        <v>2381</v>
      </c>
      <c r="BP173" s="77">
        <f t="shared" ca="1" si="740"/>
        <v>0</v>
      </c>
      <c r="BQ173" s="110"/>
      <c r="BR173" s="74" t="s">
        <v>2236</v>
      </c>
      <c r="BS173" s="77">
        <f t="shared" ca="1" si="740"/>
        <v>0</v>
      </c>
      <c r="BT173" s="110"/>
      <c r="BU173" s="74" t="s">
        <v>2409</v>
      </c>
      <c r="BV173" s="77">
        <f t="shared" ca="1" si="740"/>
        <v>0</v>
      </c>
      <c r="BW173" s="110"/>
      <c r="BX173" s="74" t="s">
        <v>2428</v>
      </c>
      <c r="BY173" s="77">
        <f t="shared" ca="1" si="740"/>
        <v>0</v>
      </c>
      <c r="BZ173" s="110"/>
      <c r="CA173" s="74" t="s">
        <v>2428</v>
      </c>
      <c r="CB173" s="77">
        <f t="shared" ca="1" si="740"/>
        <v>0</v>
      </c>
      <c r="CC173" s="110"/>
      <c r="CD173" s="74" t="s">
        <v>2468</v>
      </c>
      <c r="CE173" s="77">
        <f t="shared" ca="1" si="740"/>
        <v>0</v>
      </c>
      <c r="CF173" s="110"/>
      <c r="CG173" s="74" t="s">
        <v>2213</v>
      </c>
      <c r="CH173" s="77">
        <f t="shared" ca="1" si="740"/>
        <v>1</v>
      </c>
      <c r="CI173" s="110"/>
      <c r="CJ173" s="74" t="s">
        <v>2499</v>
      </c>
      <c r="CK173" s="77">
        <f t="shared" ca="1" si="762"/>
        <v>0</v>
      </c>
      <c r="CL173" s="110"/>
      <c r="CM173" s="74" t="s">
        <v>2468</v>
      </c>
      <c r="CN173" s="77">
        <f t="shared" ca="1" si="762"/>
        <v>0</v>
      </c>
      <c r="CO173" s="110"/>
      <c r="CP173" s="74" t="s">
        <v>2468</v>
      </c>
      <c r="CQ173" s="77">
        <f t="shared" ca="1" si="762"/>
        <v>0</v>
      </c>
      <c r="CR173" s="110"/>
      <c r="CS173" s="74" t="s">
        <v>2282</v>
      </c>
      <c r="CT173" s="77">
        <f t="shared" ca="1" si="762"/>
        <v>0</v>
      </c>
      <c r="CU173" s="110"/>
      <c r="CV173" s="74" t="s">
        <v>2347</v>
      </c>
      <c r="CW173" s="77">
        <f t="shared" ca="1" si="762"/>
        <v>0</v>
      </c>
      <c r="CX173" s="110"/>
      <c r="CY173" s="74" t="s">
        <v>2562</v>
      </c>
      <c r="CZ173" s="77">
        <f t="shared" ca="1" si="762"/>
        <v>0</v>
      </c>
      <c r="DA173" s="110"/>
      <c r="DB173" s="74" t="s">
        <v>2282</v>
      </c>
      <c r="DC173" s="77">
        <f t="shared" ca="1" si="762"/>
        <v>0</v>
      </c>
      <c r="DD173" s="110"/>
      <c r="DE173" s="74" t="s">
        <v>2468</v>
      </c>
      <c r="DF173" s="77">
        <f t="shared" ca="1" si="762"/>
        <v>0</v>
      </c>
      <c r="DG173" s="110"/>
      <c r="DH173" s="74" t="s">
        <v>2613</v>
      </c>
      <c r="DI173" s="77">
        <f t="shared" ca="1" si="762"/>
        <v>0</v>
      </c>
      <c r="DJ173" s="110"/>
      <c r="DK173" s="74" t="s">
        <v>2409</v>
      </c>
      <c r="DL173" s="77">
        <f t="shared" ca="1" si="762"/>
        <v>0</v>
      </c>
      <c r="DM173" s="110"/>
      <c r="DN173" s="795" t="s">
        <v>2638</v>
      </c>
      <c r="DO173" s="77">
        <f t="shared" ca="1" si="762"/>
        <v>0</v>
      </c>
      <c r="DP173" s="110"/>
      <c r="DQ173" s="795" t="s">
        <v>2499</v>
      </c>
      <c r="DR173" s="77">
        <f t="shared" ca="1" si="762"/>
        <v>0</v>
      </c>
      <c r="DS173" s="110"/>
      <c r="DT173" s="74" t="s">
        <v>2681</v>
      </c>
      <c r="DU173" s="77">
        <f t="shared" ca="1" si="762"/>
        <v>1</v>
      </c>
      <c r="DV173" s="110"/>
      <c r="DW173" s="74" t="s">
        <v>2701</v>
      </c>
      <c r="DX173" s="77">
        <f t="shared" ca="1" si="762"/>
        <v>0</v>
      </c>
      <c r="DY173" s="110"/>
      <c r="DZ173" s="74" t="s">
        <v>2213</v>
      </c>
      <c r="EA173" s="77">
        <f t="shared" ca="1" si="762"/>
        <v>1</v>
      </c>
      <c r="EB173" s="110"/>
      <c r="EC173" s="74" t="s">
        <v>2732</v>
      </c>
      <c r="ED173" s="77">
        <f t="shared" ca="1" si="762"/>
        <v>0</v>
      </c>
      <c r="EE173" s="110"/>
      <c r="EF173" s="74" t="s">
        <v>2740</v>
      </c>
      <c r="EG173" s="77">
        <f t="shared" ca="1" si="762"/>
        <v>0</v>
      </c>
      <c r="EH173" s="110"/>
      <c r="EI173" s="74" t="s">
        <v>2236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2011</v>
      </c>
      <c r="W174" s="77">
        <f t="shared" ca="1" si="740"/>
        <v>1</v>
      </c>
      <c r="X174" s="110"/>
      <c r="Y174" s="74" t="s">
        <v>2046</v>
      </c>
      <c r="Z174" s="77">
        <f t="shared" ca="1" si="740"/>
        <v>1</v>
      </c>
      <c r="AA174" s="110"/>
      <c r="AB174" s="74" t="s">
        <v>1974</v>
      </c>
      <c r="AC174" s="77">
        <f t="shared" ca="1" si="740"/>
        <v>1</v>
      </c>
      <c r="AD174" s="110"/>
      <c r="AE174" s="74" t="s">
        <v>2011</v>
      </c>
      <c r="AF174" s="77">
        <f t="shared" ca="1" si="740"/>
        <v>1</v>
      </c>
      <c r="AG174" s="110"/>
      <c r="AH174" s="74" t="s">
        <v>2128</v>
      </c>
      <c r="AI174" s="77">
        <f t="shared" ca="1" si="740"/>
        <v>0</v>
      </c>
      <c r="AJ174" s="110"/>
      <c r="AK174" s="74" t="s">
        <v>1974</v>
      </c>
      <c r="AL174" s="77">
        <f t="shared" ca="1" si="740"/>
        <v>1</v>
      </c>
      <c r="AM174" s="110"/>
      <c r="AN174" s="74" t="s">
        <v>2186</v>
      </c>
      <c r="AO174" s="77">
        <f t="shared" ca="1" si="740"/>
        <v>0</v>
      </c>
      <c r="AP174" s="110"/>
      <c r="AQ174" s="74" t="s">
        <v>2214</v>
      </c>
      <c r="AR174" s="77">
        <f t="shared" ca="1" si="740"/>
        <v>2</v>
      </c>
      <c r="AS174" s="110"/>
      <c r="AT174" s="74" t="s">
        <v>2011</v>
      </c>
      <c r="AU174" s="77">
        <f t="shared" ca="1" si="740"/>
        <v>1</v>
      </c>
      <c r="AV174" s="110"/>
      <c r="AW174" s="74" t="s">
        <v>2261</v>
      </c>
      <c r="AX174" s="77">
        <f t="shared" ca="1" si="740"/>
        <v>0</v>
      </c>
      <c r="AY174" s="110"/>
      <c r="AZ174" s="74" t="s">
        <v>1974</v>
      </c>
      <c r="BA174" s="77">
        <f t="shared" ca="1" si="740"/>
        <v>1</v>
      </c>
      <c r="BB174" s="110"/>
      <c r="BC174" s="74" t="s">
        <v>2011</v>
      </c>
      <c r="BD174" s="77">
        <f t="shared" ca="1" si="740"/>
        <v>1</v>
      </c>
      <c r="BE174" s="110"/>
      <c r="BF174" s="74" t="s">
        <v>2333</v>
      </c>
      <c r="BG174" s="77">
        <f t="shared" ca="1" si="740"/>
        <v>4</v>
      </c>
      <c r="BH174" s="110"/>
      <c r="BI174" s="74" t="s">
        <v>2333</v>
      </c>
      <c r="BJ174" s="77">
        <f t="shared" ca="1" si="740"/>
        <v>4</v>
      </c>
      <c r="BK174" s="110"/>
      <c r="BL174" s="74" t="s">
        <v>2046</v>
      </c>
      <c r="BM174" s="77">
        <f t="shared" ca="1" si="740"/>
        <v>1</v>
      </c>
      <c r="BN174" s="110"/>
      <c r="BO174" s="74" t="s">
        <v>2261</v>
      </c>
      <c r="BP174" s="77">
        <f t="shared" ca="1" si="740"/>
        <v>0</v>
      </c>
      <c r="BQ174" s="110"/>
      <c r="BR174" s="74" t="s">
        <v>1974</v>
      </c>
      <c r="BS174" s="77">
        <f t="shared" ca="1" si="740"/>
        <v>1</v>
      </c>
      <c r="BT174" s="110"/>
      <c r="BU174" s="74" t="s">
        <v>1974</v>
      </c>
      <c r="BV174" s="77">
        <f t="shared" ca="1" si="740"/>
        <v>1</v>
      </c>
      <c r="BW174" s="110"/>
      <c r="BX174" s="74" t="s">
        <v>2261</v>
      </c>
      <c r="BY174" s="77">
        <f t="shared" ca="1" si="740"/>
        <v>0</v>
      </c>
      <c r="BZ174" s="110"/>
      <c r="CA174" s="74" t="s">
        <v>2447</v>
      </c>
      <c r="CB174" s="77">
        <f t="shared" ca="1" si="740"/>
        <v>1</v>
      </c>
      <c r="CC174" s="110"/>
      <c r="CD174" s="74" t="s">
        <v>2046</v>
      </c>
      <c r="CE174" s="77">
        <f t="shared" ca="1" si="740"/>
        <v>1</v>
      </c>
      <c r="CF174" s="110"/>
      <c r="CG174" s="74" t="s">
        <v>2333</v>
      </c>
      <c r="CH174" s="77">
        <f t="shared" ca="1" si="740"/>
        <v>4</v>
      </c>
      <c r="CI174" s="110"/>
      <c r="CJ174" s="74" t="s">
        <v>2011</v>
      </c>
      <c r="CK174" s="77">
        <f t="shared" ca="1" si="762"/>
        <v>1</v>
      </c>
      <c r="CL174" s="110"/>
      <c r="CM174" s="74" t="s">
        <v>2333</v>
      </c>
      <c r="CN174" s="77">
        <f t="shared" ca="1" si="762"/>
        <v>4</v>
      </c>
      <c r="CO174" s="110"/>
      <c r="CP174" s="74" t="s">
        <v>2530</v>
      </c>
      <c r="CQ174" s="77">
        <f t="shared" ca="1" si="762"/>
        <v>0</v>
      </c>
      <c r="CR174" s="110"/>
      <c r="CS174" s="74" t="s">
        <v>1974</v>
      </c>
      <c r="CT174" s="77">
        <f t="shared" ca="1" si="762"/>
        <v>1</v>
      </c>
      <c r="CU174" s="110"/>
      <c r="CV174" s="74" t="s">
        <v>2011</v>
      </c>
      <c r="CW174" s="77">
        <f t="shared" ca="1" si="762"/>
        <v>1</v>
      </c>
      <c r="CX174" s="110"/>
      <c r="CY174" s="74" t="s">
        <v>2563</v>
      </c>
      <c r="CZ174" s="77">
        <f t="shared" ca="1" si="762"/>
        <v>0</v>
      </c>
      <c r="DA174" s="110"/>
      <c r="DB174" s="74" t="s">
        <v>1974</v>
      </c>
      <c r="DC174" s="77">
        <f t="shared" ca="1" si="762"/>
        <v>1</v>
      </c>
      <c r="DD174" s="110"/>
      <c r="DE174" s="74" t="s">
        <v>1974</v>
      </c>
      <c r="DF174" s="77">
        <f t="shared" ca="1" si="762"/>
        <v>1</v>
      </c>
      <c r="DG174" s="110"/>
      <c r="DH174" s="74" t="s">
        <v>2447</v>
      </c>
      <c r="DI174" s="77">
        <f t="shared" ca="1" si="762"/>
        <v>1</v>
      </c>
      <c r="DJ174" s="110"/>
      <c r="DK174" s="74" t="s">
        <v>2046</v>
      </c>
      <c r="DL174" s="77">
        <f t="shared" ca="1" si="762"/>
        <v>1</v>
      </c>
      <c r="DM174" s="110"/>
      <c r="DN174" s="795" t="s">
        <v>2011</v>
      </c>
      <c r="DO174" s="77">
        <f t="shared" ca="1" si="762"/>
        <v>1</v>
      </c>
      <c r="DP174" s="110"/>
      <c r="DQ174" s="795" t="s">
        <v>2011</v>
      </c>
      <c r="DR174" s="77">
        <f t="shared" ca="1" si="762"/>
        <v>1</v>
      </c>
      <c r="DS174" s="110"/>
      <c r="DT174" s="74" t="s">
        <v>2530</v>
      </c>
      <c r="DU174" s="77">
        <f t="shared" ca="1" si="762"/>
        <v>0</v>
      </c>
      <c r="DV174" s="110"/>
      <c r="DW174" s="74" t="s">
        <v>2447</v>
      </c>
      <c r="DX174" s="77">
        <f t="shared" ca="1" si="762"/>
        <v>1</v>
      </c>
      <c r="DY174" s="110"/>
      <c r="DZ174" s="74" t="s">
        <v>2046</v>
      </c>
      <c r="EA174" s="77">
        <f t="shared" ca="1" si="762"/>
        <v>1</v>
      </c>
      <c r="EB174" s="110"/>
      <c r="EC174" s="74" t="s">
        <v>2447</v>
      </c>
      <c r="ED174" s="77">
        <f t="shared" ca="1" si="762"/>
        <v>1</v>
      </c>
      <c r="EE174" s="110"/>
      <c r="EF174" s="74" t="s">
        <v>2128</v>
      </c>
      <c r="EG174" s="77">
        <f t="shared" ca="1" si="762"/>
        <v>0</v>
      </c>
      <c r="EH174" s="110"/>
      <c r="EI174" s="74" t="s">
        <v>2011</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2012</v>
      </c>
      <c r="W175" s="77">
        <f t="shared" ca="1" si="740"/>
        <v>0</v>
      </c>
      <c r="X175" s="110"/>
      <c r="Y175" s="74" t="s">
        <v>2047</v>
      </c>
      <c r="Z175" s="77">
        <f t="shared" ca="1" si="740"/>
        <v>0</v>
      </c>
      <c r="AA175" s="110"/>
      <c r="AB175" s="74" t="s">
        <v>2075</v>
      </c>
      <c r="AC175" s="77">
        <f t="shared" ca="1" si="740"/>
        <v>0</v>
      </c>
      <c r="AD175" s="110"/>
      <c r="AE175" s="74" t="s">
        <v>2101</v>
      </c>
      <c r="AF175" s="77">
        <f t="shared" ca="1" si="740"/>
        <v>0</v>
      </c>
      <c r="AG175" s="110"/>
      <c r="AH175" s="74" t="s">
        <v>2129</v>
      </c>
      <c r="AI175" s="77">
        <f t="shared" ca="1" si="740"/>
        <v>0</v>
      </c>
      <c r="AJ175" s="110"/>
      <c r="AK175" s="74" t="s">
        <v>2155</v>
      </c>
      <c r="AL175" s="77">
        <f t="shared" ca="1" si="740"/>
        <v>1</v>
      </c>
      <c r="AM175" s="110"/>
      <c r="AN175" s="74" t="s">
        <v>2075</v>
      </c>
      <c r="AO175" s="77">
        <f t="shared" ca="1" si="740"/>
        <v>0</v>
      </c>
      <c r="AP175" s="110"/>
      <c r="AQ175" s="74" t="s">
        <v>2215</v>
      </c>
      <c r="AR175" s="77">
        <f t="shared" ca="1" si="740"/>
        <v>2</v>
      </c>
      <c r="AS175" s="110"/>
      <c r="AT175" s="74" t="s">
        <v>2075</v>
      </c>
      <c r="AU175" s="77">
        <f t="shared" ca="1" si="740"/>
        <v>0</v>
      </c>
      <c r="AV175" s="110"/>
      <c r="AW175" s="74" t="s">
        <v>2262</v>
      </c>
      <c r="AX175" s="77">
        <f t="shared" ca="1" si="740"/>
        <v>0</v>
      </c>
      <c r="AY175" s="110"/>
      <c r="AZ175" s="74" t="s">
        <v>2283</v>
      </c>
      <c r="BA175" s="77">
        <f t="shared" ca="1" si="740"/>
        <v>0</v>
      </c>
      <c r="BB175" s="110"/>
      <c r="BC175" s="74" t="s">
        <v>2305</v>
      </c>
      <c r="BD175" s="77">
        <f t="shared" ca="1" si="740"/>
        <v>0</v>
      </c>
      <c r="BE175" s="110"/>
      <c r="BF175" s="74" t="s">
        <v>2075</v>
      </c>
      <c r="BG175" s="77">
        <f t="shared" ca="1" si="740"/>
        <v>0</v>
      </c>
      <c r="BH175" s="110"/>
      <c r="BI175" s="74" t="s">
        <v>2348</v>
      </c>
      <c r="BJ175" s="77">
        <f t="shared" ca="1" si="740"/>
        <v>0</v>
      </c>
      <c r="BK175" s="110"/>
      <c r="BL175" s="74" t="s">
        <v>2368</v>
      </c>
      <c r="BM175" s="77">
        <f t="shared" ca="1" si="740"/>
        <v>0</v>
      </c>
      <c r="BN175" s="110"/>
      <c r="BO175" s="74" t="s">
        <v>2382</v>
      </c>
      <c r="BP175" s="77">
        <f t="shared" ca="1" si="740"/>
        <v>0</v>
      </c>
      <c r="BQ175" s="110"/>
      <c r="BR175" s="74" t="s">
        <v>2047</v>
      </c>
      <c r="BS175" s="77">
        <f t="shared" ca="1" si="740"/>
        <v>0</v>
      </c>
      <c r="BT175" s="110"/>
      <c r="BU175" s="74" t="s">
        <v>2410</v>
      </c>
      <c r="BV175" s="77">
        <f t="shared" ca="1" si="740"/>
        <v>0</v>
      </c>
      <c r="BW175" s="110"/>
      <c r="BX175" s="74" t="s">
        <v>2429</v>
      </c>
      <c r="BY175" s="77">
        <f t="shared" ca="1" si="740"/>
        <v>4</v>
      </c>
      <c r="BZ175" s="110"/>
      <c r="CA175" s="74" t="s">
        <v>2368</v>
      </c>
      <c r="CB175" s="77">
        <f t="shared" ca="1" si="740"/>
        <v>0</v>
      </c>
      <c r="CC175" s="110"/>
      <c r="CD175" s="74" t="s">
        <v>2469</v>
      </c>
      <c r="CE175" s="77">
        <f t="shared" ca="1" si="740"/>
        <v>0</v>
      </c>
      <c r="CF175" s="110"/>
      <c r="CG175" s="74" t="s">
        <v>2283</v>
      </c>
      <c r="CH175" s="77">
        <f t="shared" ca="1" si="740"/>
        <v>0</v>
      </c>
      <c r="CI175" s="110"/>
      <c r="CJ175" s="74" t="s">
        <v>2500</v>
      </c>
      <c r="CK175" s="77">
        <f t="shared" ca="1" si="762"/>
        <v>0</v>
      </c>
      <c r="CL175" s="110"/>
      <c r="CM175" s="74" t="s">
        <v>2047</v>
      </c>
      <c r="CN175" s="77">
        <f t="shared" ca="1" si="762"/>
        <v>0</v>
      </c>
      <c r="CO175" s="110"/>
      <c r="CP175" s="74" t="s">
        <v>2368</v>
      </c>
      <c r="CQ175" s="77">
        <f t="shared" ca="1" si="762"/>
        <v>0</v>
      </c>
      <c r="CR175" s="110"/>
      <c r="CS175" s="74" t="s">
        <v>2283</v>
      </c>
      <c r="CT175" s="77">
        <f t="shared" ca="1" si="762"/>
        <v>0</v>
      </c>
      <c r="CU175" s="110"/>
      <c r="CV175" s="74" t="s">
        <v>2545</v>
      </c>
      <c r="CW175" s="77">
        <f t="shared" ca="1" si="762"/>
        <v>0</v>
      </c>
      <c r="CX175" s="110"/>
      <c r="CY175" s="74" t="s">
        <v>2564</v>
      </c>
      <c r="CZ175" s="77">
        <f t="shared" ca="1" si="762"/>
        <v>4</v>
      </c>
      <c r="DA175" s="110"/>
      <c r="DB175" s="74" t="s">
        <v>2581</v>
      </c>
      <c r="DC175" s="77">
        <f t="shared" ca="1" si="762"/>
        <v>0</v>
      </c>
      <c r="DD175" s="110"/>
      <c r="DE175" s="74" t="s">
        <v>2283</v>
      </c>
      <c r="DF175" s="77">
        <f t="shared" ca="1" si="762"/>
        <v>0</v>
      </c>
      <c r="DG175" s="110"/>
      <c r="DH175" s="74" t="s">
        <v>2047</v>
      </c>
      <c r="DI175" s="77">
        <f t="shared" ca="1" si="762"/>
        <v>0</v>
      </c>
      <c r="DJ175" s="110"/>
      <c r="DK175" s="74" t="s">
        <v>2202</v>
      </c>
      <c r="DL175" s="77">
        <f t="shared" ca="1" si="762"/>
        <v>0</v>
      </c>
      <c r="DM175" s="110"/>
      <c r="DN175" s="795" t="s">
        <v>2500</v>
      </c>
      <c r="DO175" s="77">
        <f t="shared" ca="1" si="762"/>
        <v>0</v>
      </c>
      <c r="DP175" s="110"/>
      <c r="DQ175" s="795" t="s">
        <v>2655</v>
      </c>
      <c r="DR175" s="77">
        <f t="shared" ca="1" si="762"/>
        <v>0</v>
      </c>
      <c r="DS175" s="110"/>
      <c r="DT175" s="74" t="s">
        <v>2682</v>
      </c>
      <c r="DU175" s="77">
        <f t="shared" ca="1" si="762"/>
        <v>0</v>
      </c>
      <c r="DV175" s="110"/>
      <c r="DW175" s="74" t="s">
        <v>2702</v>
      </c>
      <c r="DX175" s="77">
        <f t="shared" ca="1" si="762"/>
        <v>1</v>
      </c>
      <c r="DY175" s="110"/>
      <c r="DZ175" s="74" t="s">
        <v>2368</v>
      </c>
      <c r="EA175" s="77">
        <f t="shared" ca="1" si="762"/>
        <v>0</v>
      </c>
      <c r="EB175" s="110"/>
      <c r="EC175" s="74" t="s">
        <v>2368</v>
      </c>
      <c r="ED175" s="77">
        <f t="shared" ca="1" si="762"/>
        <v>0</v>
      </c>
      <c r="EE175" s="110"/>
      <c r="EF175" s="74" t="s">
        <v>2047</v>
      </c>
      <c r="EG175" s="77">
        <f t="shared" ca="1" si="762"/>
        <v>0</v>
      </c>
      <c r="EH175" s="110"/>
      <c r="EI175" s="74" t="s">
        <v>2047</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2013</v>
      </c>
      <c r="W176" s="77">
        <f t="shared" ca="1" si="740"/>
        <v>4</v>
      </c>
      <c r="X176" s="110"/>
      <c r="Y176" s="74" t="s">
        <v>2048</v>
      </c>
      <c r="Z176" s="77">
        <f t="shared" ca="1" si="740"/>
        <v>0</v>
      </c>
      <c r="AA176" s="110"/>
      <c r="AB176" s="74" t="s">
        <v>2076</v>
      </c>
      <c r="AC176" s="77">
        <f t="shared" ca="1" si="740"/>
        <v>0</v>
      </c>
      <c r="AD176" s="110"/>
      <c r="AE176" s="74" t="s">
        <v>2076</v>
      </c>
      <c r="AF176" s="77">
        <f t="shared" ca="1" si="740"/>
        <v>0</v>
      </c>
      <c r="AG176" s="110"/>
      <c r="AH176" s="74" t="s">
        <v>2130</v>
      </c>
      <c r="AI176" s="77">
        <f t="shared" ca="1" si="740"/>
        <v>0</v>
      </c>
      <c r="AJ176" s="110"/>
      <c r="AK176" s="74" t="s">
        <v>2013</v>
      </c>
      <c r="AL176" s="77">
        <f t="shared" ca="1" si="740"/>
        <v>4</v>
      </c>
      <c r="AM176" s="110"/>
      <c r="AN176" s="74" t="s">
        <v>2187</v>
      </c>
      <c r="AO176" s="77">
        <f t="shared" ca="1" si="740"/>
        <v>0</v>
      </c>
      <c r="AP176" s="110"/>
      <c r="AQ176" s="74" t="s">
        <v>2216</v>
      </c>
      <c r="AR176" s="77">
        <f t="shared" ca="1" si="740"/>
        <v>0</v>
      </c>
      <c r="AS176" s="110"/>
      <c r="AT176" s="74" t="s">
        <v>2237</v>
      </c>
      <c r="AU176" s="77">
        <f t="shared" ca="1" si="740"/>
        <v>1</v>
      </c>
      <c r="AV176" s="110"/>
      <c r="AW176" s="74" t="s">
        <v>2263</v>
      </c>
      <c r="AX176" s="77">
        <f t="shared" ca="1" si="740"/>
        <v>0</v>
      </c>
      <c r="AY176" s="110"/>
      <c r="AZ176" s="74" t="s">
        <v>2284</v>
      </c>
      <c r="BA176" s="77">
        <f t="shared" ca="1" si="740"/>
        <v>0</v>
      </c>
      <c r="BB176" s="110"/>
      <c r="BC176" s="74" t="s">
        <v>2306</v>
      </c>
      <c r="BD176" s="77">
        <f t="shared" ca="1" si="740"/>
        <v>0</v>
      </c>
      <c r="BE176" s="110"/>
      <c r="BF176" s="74" t="s">
        <v>2334</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2284</v>
      </c>
      <c r="BJ176" s="77">
        <f t="shared" ca="1" si="794"/>
        <v>0</v>
      </c>
      <c r="BK176" s="110"/>
      <c r="BL176" s="74" t="s">
        <v>2369</v>
      </c>
      <c r="BM176" s="77">
        <f t="shared" ca="1" si="794"/>
        <v>0</v>
      </c>
      <c r="BN176" s="110"/>
      <c r="BO176" s="74" t="s">
        <v>2369</v>
      </c>
      <c r="BP176" s="77">
        <f t="shared" ca="1" si="794"/>
        <v>0</v>
      </c>
      <c r="BQ176" s="110"/>
      <c r="BR176" s="74" t="s">
        <v>2334</v>
      </c>
      <c r="BS176" s="77">
        <f t="shared" ca="1" si="794"/>
        <v>0</v>
      </c>
      <c r="BT176" s="110"/>
      <c r="BU176" s="74" t="s">
        <v>2411</v>
      </c>
      <c r="BV176" s="77">
        <f t="shared" ca="1" si="794"/>
        <v>0</v>
      </c>
      <c r="BW176" s="110"/>
      <c r="BX176" s="74" t="s">
        <v>2430</v>
      </c>
      <c r="BY176" s="77">
        <f t="shared" ca="1" si="794"/>
        <v>0</v>
      </c>
      <c r="BZ176" s="110"/>
      <c r="CA176" s="74" t="s">
        <v>2076</v>
      </c>
      <c r="CB176" s="77">
        <f t="shared" ca="1" si="794"/>
        <v>0</v>
      </c>
      <c r="CC176" s="110"/>
      <c r="CD176" s="74" t="s">
        <v>2369</v>
      </c>
      <c r="CE176" s="77">
        <f t="shared" ca="1" si="794"/>
        <v>0</v>
      </c>
      <c r="CF176" s="110"/>
      <c r="CG176" s="74" t="s">
        <v>2483</v>
      </c>
      <c r="CH176" s="77">
        <f t="shared" ca="1" si="794"/>
        <v>0</v>
      </c>
      <c r="CI176" s="110"/>
      <c r="CJ176" s="74" t="s">
        <v>2501</v>
      </c>
      <c r="CK176" s="77">
        <f t="shared" ca="1" si="794"/>
        <v>0</v>
      </c>
      <c r="CL176" s="110"/>
      <c r="CM176" s="74" t="s">
        <v>2411</v>
      </c>
      <c r="CN176" s="77">
        <f t="shared" ca="1" si="794"/>
        <v>0</v>
      </c>
      <c r="CO176" s="110"/>
      <c r="CP176" s="74" t="s">
        <v>2531</v>
      </c>
      <c r="CQ176" s="77">
        <f t="shared" ca="1" si="794"/>
        <v>0</v>
      </c>
      <c r="CR176" s="110"/>
      <c r="CS176" s="74" t="s">
        <v>2237</v>
      </c>
      <c r="CT176" s="77">
        <f t="shared" ca="1" si="794"/>
        <v>1</v>
      </c>
      <c r="CU176" s="110"/>
      <c r="CV176" s="74" t="s">
        <v>2546</v>
      </c>
      <c r="CW176" s="77">
        <f t="shared" ca="1" si="794"/>
        <v>0</v>
      </c>
      <c r="CX176" s="110"/>
      <c r="CY176" s="74" t="s">
        <v>2076</v>
      </c>
      <c r="CZ176" s="77">
        <f t="shared" ca="1" si="794"/>
        <v>0</v>
      </c>
      <c r="DA176" s="110"/>
      <c r="DB176" s="74" t="s">
        <v>2334</v>
      </c>
      <c r="DC176" s="77">
        <f t="shared" ca="1" si="794"/>
        <v>0</v>
      </c>
      <c r="DD176" s="110"/>
      <c r="DE176" s="74" t="s">
        <v>2334</v>
      </c>
      <c r="DF176" s="77">
        <f t="shared" ca="1" si="794"/>
        <v>0</v>
      </c>
      <c r="DG176" s="110"/>
      <c r="DH176" s="74" t="s">
        <v>2237</v>
      </c>
      <c r="DI176" s="77">
        <f t="shared" ca="1" si="794"/>
        <v>1</v>
      </c>
      <c r="DJ176" s="110"/>
      <c r="DK176" s="74" t="s">
        <v>2334</v>
      </c>
      <c r="DL176" s="77">
        <f t="shared" ca="1" si="794"/>
        <v>0</v>
      </c>
      <c r="DM176" s="110"/>
      <c r="DN176" s="795" t="s">
        <v>2237</v>
      </c>
      <c r="DO176" s="77">
        <f t="shared" ca="1" si="794"/>
        <v>1</v>
      </c>
      <c r="DP176" s="110"/>
      <c r="DQ176" s="795" t="s">
        <v>2656</v>
      </c>
      <c r="DR176" s="77">
        <f t="shared" ca="1" si="794"/>
        <v>0</v>
      </c>
      <c r="DS176" s="110"/>
      <c r="DT176" s="74" t="s">
        <v>2430</v>
      </c>
      <c r="DU176" s="77">
        <f t="shared" ca="1" si="762"/>
        <v>0</v>
      </c>
      <c r="DV176" s="110"/>
      <c r="DW176" s="74" t="s">
        <v>2334</v>
      </c>
      <c r="DX176" s="77">
        <f t="shared" ca="1" si="762"/>
        <v>0</v>
      </c>
      <c r="DY176" s="110"/>
      <c r="DZ176" s="74" t="s">
        <v>2720</v>
      </c>
      <c r="EA176" s="77">
        <f t="shared" ca="1" si="762"/>
        <v>0</v>
      </c>
      <c r="EB176" s="110"/>
      <c r="EC176" s="74" t="s">
        <v>2013</v>
      </c>
      <c r="ED176" s="77">
        <f t="shared" ca="1" si="762"/>
        <v>4</v>
      </c>
      <c r="EE176" s="110"/>
      <c r="EF176" s="74" t="s">
        <v>2076</v>
      </c>
      <c r="EG176" s="77">
        <f t="shared" ca="1" si="762"/>
        <v>0</v>
      </c>
      <c r="EH176" s="110"/>
      <c r="EI176" s="74" t="s">
        <v>2334</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2014</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2049</v>
      </c>
      <c r="Z177" s="77">
        <f t="shared" ca="1" si="795"/>
        <v>0</v>
      </c>
      <c r="AA177" s="110"/>
      <c r="AB177" s="74" t="s">
        <v>2014</v>
      </c>
      <c r="AC177" s="77">
        <f t="shared" ca="1" si="795"/>
        <v>0</v>
      </c>
      <c r="AD177" s="110"/>
      <c r="AE177" s="74" t="s">
        <v>2102</v>
      </c>
      <c r="AF177" s="77">
        <f t="shared" ca="1" si="795"/>
        <v>0</v>
      </c>
      <c r="AG177" s="110"/>
      <c r="AH177" s="74" t="s">
        <v>2131</v>
      </c>
      <c r="AI177" s="77">
        <f t="shared" ca="1" si="795"/>
        <v>0</v>
      </c>
      <c r="AJ177" s="110"/>
      <c r="AK177" s="74" t="s">
        <v>2156</v>
      </c>
      <c r="AL177" s="77">
        <f t="shared" ca="1" si="795"/>
        <v>0</v>
      </c>
      <c r="AM177" s="110"/>
      <c r="AN177" s="74" t="s">
        <v>2014</v>
      </c>
      <c r="AO177" s="77">
        <f t="shared" ca="1" si="795"/>
        <v>0</v>
      </c>
      <c r="AP177" s="110"/>
      <c r="AQ177" s="74" t="s">
        <v>2217</v>
      </c>
      <c r="AR177" s="77">
        <f t="shared" ca="1" si="795"/>
        <v>0</v>
      </c>
      <c r="AS177" s="110"/>
      <c r="AT177" s="74" t="s">
        <v>2238</v>
      </c>
      <c r="AU177" s="77">
        <f t="shared" ca="1" si="795"/>
        <v>0</v>
      </c>
      <c r="AV177" s="110"/>
      <c r="AW177" s="74" t="s">
        <v>2264</v>
      </c>
      <c r="AX177" s="77">
        <f t="shared" ca="1" si="795"/>
        <v>0</v>
      </c>
      <c r="AY177" s="110"/>
      <c r="AZ177" s="74" t="s">
        <v>2285</v>
      </c>
      <c r="BA177" s="77">
        <f t="shared" ca="1" si="795"/>
        <v>0</v>
      </c>
      <c r="BB177" s="110"/>
      <c r="BC177" s="74" t="s">
        <v>2307</v>
      </c>
      <c r="BD177" s="77">
        <f t="shared" ca="1" si="795"/>
        <v>0</v>
      </c>
      <c r="BE177" s="110"/>
      <c r="BF177" s="74" t="s">
        <v>1977</v>
      </c>
      <c r="BG177" s="77">
        <f t="shared" ca="1" si="795"/>
        <v>0</v>
      </c>
      <c r="BH177" s="110"/>
      <c r="BI177" s="74" t="s">
        <v>2349</v>
      </c>
      <c r="BJ177" s="77">
        <f t="shared" ca="1" si="795"/>
        <v>0</v>
      </c>
      <c r="BK177" s="110"/>
      <c r="BL177" s="74" t="s">
        <v>2370</v>
      </c>
      <c r="BM177" s="77">
        <f t="shared" ca="1" si="795"/>
        <v>0</v>
      </c>
      <c r="BN177" s="110"/>
      <c r="BO177" s="74" t="s">
        <v>2383</v>
      </c>
      <c r="BP177" s="77">
        <f t="shared" ca="1" si="795"/>
        <v>0</v>
      </c>
      <c r="BQ177" s="110"/>
      <c r="BR177" s="74" t="s">
        <v>2393</v>
      </c>
      <c r="BS177" s="77">
        <f t="shared" ca="1" si="795"/>
        <v>0</v>
      </c>
      <c r="BT177" s="110"/>
      <c r="BU177" s="74" t="s">
        <v>2238</v>
      </c>
      <c r="BV177" s="77">
        <f t="shared" ca="1" si="795"/>
        <v>0</v>
      </c>
      <c r="BW177" s="110"/>
      <c r="BX177" s="74" t="s">
        <v>2338</v>
      </c>
      <c r="BY177" s="77">
        <f t="shared" ca="1" si="795"/>
        <v>0</v>
      </c>
      <c r="BZ177" s="110"/>
      <c r="CA177" s="74" t="s">
        <v>2014</v>
      </c>
      <c r="CB177" s="77">
        <f t="shared" ca="1" si="795"/>
        <v>0</v>
      </c>
      <c r="CC177" s="110"/>
      <c r="CD177" s="74" t="s">
        <v>2470</v>
      </c>
      <c r="CE177" s="77">
        <f t="shared" ca="1" si="795"/>
        <v>0</v>
      </c>
      <c r="CF177" s="110"/>
      <c r="CG177" s="74" t="s">
        <v>2484</v>
      </c>
      <c r="CH177" s="77">
        <f t="shared" ca="1" si="795"/>
        <v>0</v>
      </c>
      <c r="CI177" s="110"/>
      <c r="CJ177" s="74" t="s">
        <v>2502</v>
      </c>
      <c r="CK177" s="77">
        <f t="shared" ca="1" si="794"/>
        <v>0</v>
      </c>
      <c r="CL177" s="110"/>
      <c r="CM177" s="74" t="s">
        <v>2513</v>
      </c>
      <c r="CN177" s="77">
        <f t="shared" ca="1" si="794"/>
        <v>0</v>
      </c>
      <c r="CO177" s="110"/>
      <c r="CP177" s="74" t="s">
        <v>2513</v>
      </c>
      <c r="CQ177" s="77">
        <f t="shared" ca="1" si="794"/>
        <v>0</v>
      </c>
      <c r="CR177" s="110"/>
      <c r="CS177" s="74" t="s">
        <v>2513</v>
      </c>
      <c r="CT177" s="77">
        <f t="shared" ca="1" si="794"/>
        <v>0</v>
      </c>
      <c r="CU177" s="110"/>
      <c r="CV177" s="74" t="s">
        <v>2307</v>
      </c>
      <c r="CW177" s="77">
        <f t="shared" ca="1" si="794"/>
        <v>0</v>
      </c>
      <c r="CX177" s="110"/>
      <c r="CY177" s="74" t="s">
        <v>2238</v>
      </c>
      <c r="CZ177" s="77">
        <f t="shared" ca="1" si="794"/>
        <v>0</v>
      </c>
      <c r="DA177" s="110"/>
      <c r="DB177" s="74" t="s">
        <v>2513</v>
      </c>
      <c r="DC177" s="77">
        <f t="shared" ca="1" si="794"/>
        <v>0</v>
      </c>
      <c r="DD177" s="110"/>
      <c r="DE177" s="74" t="s">
        <v>2513</v>
      </c>
      <c r="DF177" s="77">
        <f t="shared" ca="1" si="794"/>
        <v>0</v>
      </c>
      <c r="DG177" s="110"/>
      <c r="DH177" s="74" t="s">
        <v>2238</v>
      </c>
      <c r="DI177" s="77">
        <f t="shared" ca="1" si="794"/>
        <v>0</v>
      </c>
      <c r="DJ177" s="110"/>
      <c r="DK177" s="74" t="s">
        <v>2627</v>
      </c>
      <c r="DL177" s="77">
        <f t="shared" ca="1" si="794"/>
        <v>0</v>
      </c>
      <c r="DM177" s="110"/>
      <c r="DN177" s="795" t="s">
        <v>2639</v>
      </c>
      <c r="DO177" s="77">
        <f t="shared" ca="1" si="794"/>
        <v>0</v>
      </c>
      <c r="DP177" s="110"/>
      <c r="DQ177" s="795" t="s">
        <v>2657</v>
      </c>
      <c r="DR177" s="77">
        <f t="shared" ca="1" si="794"/>
        <v>0</v>
      </c>
      <c r="DS177" s="110"/>
      <c r="DT177" s="74" t="s">
        <v>1977</v>
      </c>
      <c r="DU177" s="77">
        <f t="shared" ca="1" si="762"/>
        <v>0</v>
      </c>
      <c r="DV177" s="110"/>
      <c r="DW177" s="74" t="s">
        <v>2238</v>
      </c>
      <c r="DX177" s="77">
        <f t="shared" ca="1" si="762"/>
        <v>0</v>
      </c>
      <c r="DY177" s="110"/>
      <c r="DZ177" s="74" t="s">
        <v>2370</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2217</v>
      </c>
      <c r="ED177" s="77">
        <f t="shared" ca="1" si="796"/>
        <v>0</v>
      </c>
      <c r="EE177" s="110"/>
      <c r="EF177" s="74" t="s">
        <v>1977</v>
      </c>
      <c r="EG177" s="77">
        <f t="shared" ca="1" si="796"/>
        <v>0</v>
      </c>
      <c r="EH177" s="110"/>
      <c r="EI177" s="74" t="s">
        <v>2627</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2015</v>
      </c>
      <c r="W178" s="77">
        <f t="shared" ca="1" si="795"/>
        <v>0</v>
      </c>
      <c r="X178" s="110"/>
      <c r="Y178" s="74" t="s">
        <v>2015</v>
      </c>
      <c r="Z178" s="77">
        <f t="shared" ca="1" si="795"/>
        <v>0</v>
      </c>
      <c r="AA178" s="110"/>
      <c r="AB178" s="74" t="s">
        <v>2015</v>
      </c>
      <c r="AC178" s="77">
        <f t="shared" ca="1" si="795"/>
        <v>0</v>
      </c>
      <c r="AD178" s="110"/>
      <c r="AE178" s="74" t="s">
        <v>2103</v>
      </c>
      <c r="AF178" s="77">
        <f t="shared" ca="1" si="795"/>
        <v>0</v>
      </c>
      <c r="AG178" s="110"/>
      <c r="AH178" s="74" t="s">
        <v>2132</v>
      </c>
      <c r="AI178" s="77">
        <f t="shared" ca="1" si="795"/>
        <v>0</v>
      </c>
      <c r="AJ178" s="110"/>
      <c r="AK178" s="74" t="s">
        <v>2157</v>
      </c>
      <c r="AL178" s="77">
        <f t="shared" ca="1" si="795"/>
        <v>0</v>
      </c>
      <c r="AM178" s="110"/>
      <c r="AN178" s="74" t="s">
        <v>2188</v>
      </c>
      <c r="AO178" s="77">
        <f t="shared" ca="1" si="795"/>
        <v>0</v>
      </c>
      <c r="AP178" s="110"/>
      <c r="AQ178" s="74" t="s">
        <v>2218</v>
      </c>
      <c r="AR178" s="77">
        <f t="shared" ca="1" si="795"/>
        <v>0</v>
      </c>
      <c r="AS178" s="110"/>
      <c r="AT178" s="74" t="s">
        <v>2239</v>
      </c>
      <c r="AU178" s="77">
        <f t="shared" ca="1" si="795"/>
        <v>0</v>
      </c>
      <c r="AV178" s="110"/>
      <c r="AW178" s="74" t="s">
        <v>2218</v>
      </c>
      <c r="AX178" s="77">
        <f t="shared" ca="1" si="795"/>
        <v>0</v>
      </c>
      <c r="AY178" s="110"/>
      <c r="AZ178" s="74" t="s">
        <v>2015</v>
      </c>
      <c r="BA178" s="77">
        <f t="shared" ca="1" si="795"/>
        <v>0</v>
      </c>
      <c r="BB178" s="110"/>
      <c r="BC178" s="74" t="s">
        <v>2015</v>
      </c>
      <c r="BD178" s="77">
        <f t="shared" ca="1" si="795"/>
        <v>0</v>
      </c>
      <c r="BE178" s="110"/>
      <c r="BF178" s="74" t="s">
        <v>2157</v>
      </c>
      <c r="BG178" s="77">
        <f t="shared" ca="1" si="795"/>
        <v>0</v>
      </c>
      <c r="BH178" s="110"/>
      <c r="BI178" s="74" t="s">
        <v>2218</v>
      </c>
      <c r="BJ178" s="77">
        <f t="shared" ca="1" si="795"/>
        <v>0</v>
      </c>
      <c r="BK178" s="110"/>
      <c r="BL178" s="74" t="s">
        <v>2015</v>
      </c>
      <c r="BM178" s="77">
        <f t="shared" ca="1" si="795"/>
        <v>0</v>
      </c>
      <c r="BN178" s="110"/>
      <c r="BO178" s="74" t="s">
        <v>2015</v>
      </c>
      <c r="BP178" s="77">
        <f t="shared" ca="1" si="795"/>
        <v>0</v>
      </c>
      <c r="BQ178" s="110"/>
      <c r="BR178" s="74" t="s">
        <v>1978</v>
      </c>
      <c r="BS178" s="77">
        <f t="shared" ca="1" si="795"/>
        <v>0</v>
      </c>
      <c r="BT178" s="110"/>
      <c r="BU178" s="74" t="s">
        <v>2188</v>
      </c>
      <c r="BV178" s="77">
        <f t="shared" ca="1" si="795"/>
        <v>0</v>
      </c>
      <c r="BW178" s="110"/>
      <c r="BX178" s="74" t="s">
        <v>2103</v>
      </c>
      <c r="BY178" s="77">
        <f t="shared" ca="1" si="795"/>
        <v>0</v>
      </c>
      <c r="BZ178" s="110"/>
      <c r="CA178" s="74" t="s">
        <v>2015</v>
      </c>
      <c r="CB178" s="77">
        <f t="shared" ca="1" si="795"/>
        <v>0</v>
      </c>
      <c r="CC178" s="110"/>
      <c r="CD178" s="74" t="s">
        <v>2103</v>
      </c>
      <c r="CE178" s="77">
        <f t="shared" ca="1" si="795"/>
        <v>0</v>
      </c>
      <c r="CF178" s="110"/>
      <c r="CG178" s="74" t="s">
        <v>2015</v>
      </c>
      <c r="CH178" s="77">
        <f t="shared" ca="1" si="795"/>
        <v>0</v>
      </c>
      <c r="CI178" s="110"/>
      <c r="CJ178" s="74" t="s">
        <v>2015</v>
      </c>
      <c r="CK178" s="77">
        <f t="shared" ca="1" si="794"/>
        <v>0</v>
      </c>
      <c r="CL178" s="110"/>
      <c r="CM178" s="74" t="s">
        <v>2015</v>
      </c>
      <c r="CN178" s="77">
        <f t="shared" ca="1" si="794"/>
        <v>0</v>
      </c>
      <c r="CO178" s="110"/>
      <c r="CP178" s="74" t="s">
        <v>2015</v>
      </c>
      <c r="CQ178" s="77">
        <f t="shared" ca="1" si="794"/>
        <v>0</v>
      </c>
      <c r="CR178" s="110"/>
      <c r="CS178" s="74" t="s">
        <v>2015</v>
      </c>
      <c r="CT178" s="77">
        <f t="shared" ca="1" si="794"/>
        <v>0</v>
      </c>
      <c r="CU178" s="110"/>
      <c r="CV178" s="74" t="s">
        <v>2188</v>
      </c>
      <c r="CW178" s="77">
        <f t="shared" ca="1" si="794"/>
        <v>0</v>
      </c>
      <c r="CX178" s="110"/>
      <c r="CY178" s="74" t="s">
        <v>2565</v>
      </c>
      <c r="CZ178" s="77">
        <f t="shared" ca="1" si="794"/>
        <v>0</v>
      </c>
      <c r="DA178" s="110"/>
      <c r="DB178" s="74" t="s">
        <v>2015</v>
      </c>
      <c r="DC178" s="77">
        <f t="shared" ca="1" si="794"/>
        <v>0</v>
      </c>
      <c r="DD178" s="110"/>
      <c r="DE178" s="74" t="s">
        <v>2015</v>
      </c>
      <c r="DF178" s="77">
        <f t="shared" ca="1" si="794"/>
        <v>0</v>
      </c>
      <c r="DG178" s="110"/>
      <c r="DH178" s="74" t="s">
        <v>2157</v>
      </c>
      <c r="DI178" s="77">
        <f t="shared" ca="1" si="794"/>
        <v>0</v>
      </c>
      <c r="DJ178" s="110"/>
      <c r="DK178" s="74" t="s">
        <v>2157</v>
      </c>
      <c r="DL178" s="77">
        <f t="shared" ca="1" si="794"/>
        <v>0</v>
      </c>
      <c r="DM178" s="110"/>
      <c r="DN178" s="795" t="s">
        <v>2157</v>
      </c>
      <c r="DO178" s="77">
        <f t="shared" ca="1" si="794"/>
        <v>0</v>
      </c>
      <c r="DP178" s="110"/>
      <c r="DQ178" s="795" t="s">
        <v>2658</v>
      </c>
      <c r="DR178" s="77">
        <f t="shared" ca="1" si="794"/>
        <v>0</v>
      </c>
      <c r="DS178" s="110"/>
      <c r="DT178" s="74" t="s">
        <v>2683</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2157</v>
      </c>
      <c r="DX178" s="77">
        <f t="shared" ca="1" si="797"/>
        <v>0</v>
      </c>
      <c r="DY178" s="110"/>
      <c r="DZ178" s="74" t="s">
        <v>2015</v>
      </c>
      <c r="EA178" s="77">
        <f t="shared" ca="1" si="797"/>
        <v>0</v>
      </c>
      <c r="EB178" s="110"/>
      <c r="EC178" s="74" t="s">
        <v>2103</v>
      </c>
      <c r="ED178" s="77">
        <f t="shared" ca="1" si="797"/>
        <v>0</v>
      </c>
      <c r="EE178" s="110"/>
      <c r="EF178" s="74" t="s">
        <v>2683</v>
      </c>
      <c r="EG178" s="77">
        <f t="shared" ca="1" si="797"/>
        <v>0</v>
      </c>
      <c r="EH178" s="110"/>
      <c r="EI178" s="74" t="s">
        <v>2015</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2016</v>
      </c>
      <c r="W179" s="81">
        <f t="shared" ca="1" si="795"/>
        <v>0</v>
      </c>
      <c r="X179" s="110"/>
      <c r="Y179" s="80" t="s">
        <v>2050</v>
      </c>
      <c r="Z179" s="81">
        <f t="shared" ca="1" si="795"/>
        <v>0</v>
      </c>
      <c r="AA179" s="110"/>
      <c r="AB179" s="80" t="s">
        <v>2077</v>
      </c>
      <c r="AC179" s="81">
        <f t="shared" ca="1" si="795"/>
        <v>0</v>
      </c>
      <c r="AD179" s="110"/>
      <c r="AE179" s="80" t="s">
        <v>2104</v>
      </c>
      <c r="AF179" s="81">
        <f t="shared" ca="1" si="795"/>
        <v>0</v>
      </c>
      <c r="AG179" s="110"/>
      <c r="AH179" s="80" t="s">
        <v>2133</v>
      </c>
      <c r="AI179" s="81">
        <f t="shared" ca="1" si="795"/>
        <v>0</v>
      </c>
      <c r="AJ179" s="110"/>
      <c r="AK179" s="80" t="s">
        <v>2158</v>
      </c>
      <c r="AL179" s="81">
        <f t="shared" ca="1" si="795"/>
        <v>1</v>
      </c>
      <c r="AM179" s="110"/>
      <c r="AN179" s="80" t="s">
        <v>2050</v>
      </c>
      <c r="AO179" s="81">
        <f t="shared" ca="1" si="795"/>
        <v>0</v>
      </c>
      <c r="AP179" s="110"/>
      <c r="AQ179" s="80" t="s">
        <v>2219</v>
      </c>
      <c r="AR179" s="81">
        <f t="shared" ca="1" si="795"/>
        <v>0</v>
      </c>
      <c r="AS179" s="110"/>
      <c r="AT179" s="80" t="s">
        <v>2050</v>
      </c>
      <c r="AU179" s="81">
        <f t="shared" ca="1" si="795"/>
        <v>0</v>
      </c>
      <c r="AV179" s="110"/>
      <c r="AW179" s="80" t="s">
        <v>1975</v>
      </c>
      <c r="AX179" s="81">
        <f t="shared" ca="1" si="795"/>
        <v>2</v>
      </c>
      <c r="AY179" s="110"/>
      <c r="AZ179" s="80" t="s">
        <v>2286</v>
      </c>
      <c r="BA179" s="81">
        <f t="shared" ca="1" si="795"/>
        <v>0</v>
      </c>
      <c r="BB179" s="110"/>
      <c r="BC179" s="80" t="s">
        <v>2308</v>
      </c>
      <c r="BD179" s="81">
        <f t="shared" ca="1" si="795"/>
        <v>0</v>
      </c>
      <c r="BE179" s="110"/>
      <c r="BF179" s="80" t="s">
        <v>2335</v>
      </c>
      <c r="BG179" s="81">
        <f t="shared" ca="1" si="795"/>
        <v>0</v>
      </c>
      <c r="BH179" s="110"/>
      <c r="BI179" s="80" t="s">
        <v>2286</v>
      </c>
      <c r="BJ179" s="81">
        <f t="shared" ca="1" si="795"/>
        <v>0</v>
      </c>
      <c r="BK179" s="110"/>
      <c r="BL179" s="80" t="s">
        <v>2050</v>
      </c>
      <c r="BM179" s="81">
        <f t="shared" ca="1" si="795"/>
        <v>0</v>
      </c>
      <c r="BN179" s="110"/>
      <c r="BO179" s="80" t="s">
        <v>2384</v>
      </c>
      <c r="BP179" s="81">
        <f t="shared" ca="1" si="795"/>
        <v>0</v>
      </c>
      <c r="BQ179" s="110"/>
      <c r="BR179" s="80" t="s">
        <v>2050</v>
      </c>
      <c r="BS179" s="81">
        <f t="shared" ca="1" si="795"/>
        <v>0</v>
      </c>
      <c r="BT179" s="110"/>
      <c r="BU179" s="80" t="s">
        <v>2286</v>
      </c>
      <c r="BV179" s="81">
        <f t="shared" ca="1" si="795"/>
        <v>0</v>
      </c>
      <c r="BW179" s="110"/>
      <c r="BX179" s="80" t="s">
        <v>2155</v>
      </c>
      <c r="BY179" s="81">
        <f t="shared" ca="1" si="795"/>
        <v>1</v>
      </c>
      <c r="BZ179" s="110"/>
      <c r="CA179" s="80" t="s">
        <v>2448</v>
      </c>
      <c r="CB179" s="81">
        <f t="shared" ca="1" si="795"/>
        <v>0</v>
      </c>
      <c r="CC179" s="110"/>
      <c r="CD179" s="80" t="s">
        <v>2335</v>
      </c>
      <c r="CE179" s="81">
        <f t="shared" ca="1" si="795"/>
        <v>0</v>
      </c>
      <c r="CF179" s="110"/>
      <c r="CG179" s="80" t="s">
        <v>2485</v>
      </c>
      <c r="CH179" s="81">
        <f t="shared" ca="1" si="795"/>
        <v>0</v>
      </c>
      <c r="CI179" s="110"/>
      <c r="CJ179" s="80" t="s">
        <v>2503</v>
      </c>
      <c r="CK179" s="81">
        <f t="shared" ca="1" si="794"/>
        <v>0</v>
      </c>
      <c r="CL179" s="110"/>
      <c r="CM179" s="80" t="s">
        <v>2514</v>
      </c>
      <c r="CN179" s="81">
        <f t="shared" ca="1" si="794"/>
        <v>0</v>
      </c>
      <c r="CO179" s="110"/>
      <c r="CP179" s="80" t="s">
        <v>2503</v>
      </c>
      <c r="CQ179" s="81">
        <f t="shared" ca="1" si="794"/>
        <v>0</v>
      </c>
      <c r="CR179" s="110"/>
      <c r="CS179" s="80" t="s">
        <v>2540</v>
      </c>
      <c r="CT179" s="81">
        <f t="shared" ca="1" si="794"/>
        <v>0</v>
      </c>
      <c r="CU179" s="110"/>
      <c r="CV179" s="80" t="s">
        <v>2547</v>
      </c>
      <c r="CW179" s="81">
        <f t="shared" ca="1" si="794"/>
        <v>0</v>
      </c>
      <c r="CX179" s="110"/>
      <c r="CY179" s="80" t="s">
        <v>2566</v>
      </c>
      <c r="CZ179" s="81">
        <f t="shared" ca="1" si="794"/>
        <v>0</v>
      </c>
      <c r="DA179" s="110"/>
      <c r="DB179" s="80" t="s">
        <v>2582</v>
      </c>
      <c r="DC179" s="81">
        <f t="shared" ca="1" si="794"/>
        <v>0</v>
      </c>
      <c r="DD179" s="110"/>
      <c r="DE179" s="80" t="s">
        <v>2050</v>
      </c>
      <c r="DF179" s="81">
        <f t="shared" ca="1" si="794"/>
        <v>0</v>
      </c>
      <c r="DG179" s="110"/>
      <c r="DH179" s="80" t="s">
        <v>2335</v>
      </c>
      <c r="DI179" s="81">
        <f t="shared" ca="1" si="794"/>
        <v>0</v>
      </c>
      <c r="DJ179" s="110"/>
      <c r="DK179" s="80" t="s">
        <v>2628</v>
      </c>
      <c r="DL179" s="81">
        <f t="shared" ca="1" si="794"/>
        <v>1</v>
      </c>
      <c r="DM179" s="110"/>
      <c r="DN179" s="795" t="s">
        <v>2640</v>
      </c>
      <c r="DO179" s="81">
        <f t="shared" ca="1" si="794"/>
        <v>0</v>
      </c>
      <c r="DP179" s="110"/>
      <c r="DQ179" s="795" t="s">
        <v>2659</v>
      </c>
      <c r="DR179" s="81">
        <f t="shared" ca="1" si="794"/>
        <v>0</v>
      </c>
      <c r="DS179" s="110"/>
      <c r="DT179" s="80" t="s">
        <v>2684</v>
      </c>
      <c r="DU179" s="81">
        <f t="shared" ca="1" si="797"/>
        <v>1</v>
      </c>
      <c r="DV179" s="110"/>
      <c r="DW179" s="80" t="s">
        <v>2158</v>
      </c>
      <c r="DX179" s="81">
        <f t="shared" ca="1" si="797"/>
        <v>1</v>
      </c>
      <c r="DY179" s="110"/>
      <c r="DZ179" s="80" t="s">
        <v>2050</v>
      </c>
      <c r="EA179" s="81">
        <f t="shared" ca="1" si="797"/>
        <v>0</v>
      </c>
      <c r="EB179" s="110"/>
      <c r="EC179" s="80" t="s">
        <v>2050</v>
      </c>
      <c r="ED179" s="81">
        <f t="shared" ca="1" si="797"/>
        <v>0</v>
      </c>
      <c r="EE179" s="110"/>
      <c r="EF179" s="80" t="s">
        <v>2741</v>
      </c>
      <c r="EG179" s="81">
        <f t="shared" ca="1" si="797"/>
        <v>0</v>
      </c>
      <c r="EH179" s="110"/>
      <c r="EI179" s="80" t="s">
        <v>2756</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2017</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2051</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2078</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2105</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2134</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2159</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2189</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2078</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2287</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2309</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2336</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2350</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2371</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2394</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2412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2220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2134</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2471</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2486</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2504</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2515</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2532</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2532</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2548</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2567</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2583</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2596</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2189</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2629</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2641</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2660</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2685</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2703</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2486</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2051</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2078</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2220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2018</v>
      </c>
      <c r="W201" s="73">
        <f t="shared" ca="1" si="950"/>
        <v>0</v>
      </c>
      <c r="X201" s="110"/>
      <c r="Y201" s="80" t="s">
        <v>2052</v>
      </c>
      <c r="Z201" s="73">
        <f t="shared" ca="1" si="950"/>
        <v>0</v>
      </c>
      <c r="AA201" s="110"/>
      <c r="AB201" s="80" t="s">
        <v>2052</v>
      </c>
      <c r="AC201" s="73">
        <f t="shared" ca="1" si="950"/>
        <v>0</v>
      </c>
      <c r="AD201" s="110"/>
      <c r="AE201" s="80" t="s">
        <v>2106</v>
      </c>
      <c r="AF201" s="73">
        <f t="shared" ca="1" si="950"/>
        <v>1</v>
      </c>
      <c r="AG201" s="110"/>
      <c r="AH201" s="80" t="s">
        <v>1981</v>
      </c>
      <c r="AI201" s="73">
        <f t="shared" ca="1" si="950"/>
        <v>0</v>
      </c>
      <c r="AJ201" s="110"/>
      <c r="AK201" s="80" t="s">
        <v>2052</v>
      </c>
      <c r="AL201" s="73">
        <f t="shared" ca="1" si="950"/>
        <v>0</v>
      </c>
      <c r="AM201" s="110"/>
      <c r="AN201" s="80" t="s">
        <v>2190</v>
      </c>
      <c r="AO201" s="73">
        <f t="shared" ca="1" si="950"/>
        <v>0</v>
      </c>
      <c r="AP201" s="110"/>
      <c r="AQ201" s="80" t="s">
        <v>1981</v>
      </c>
      <c r="AR201" s="73">
        <f t="shared" ca="1" si="950"/>
        <v>0</v>
      </c>
      <c r="AS201" s="110"/>
      <c r="AT201" s="80" t="s">
        <v>2190</v>
      </c>
      <c r="AU201" s="73">
        <f t="shared" ca="1" si="950"/>
        <v>0</v>
      </c>
      <c r="AV201" s="110"/>
      <c r="AW201" s="80" t="s">
        <v>2190</v>
      </c>
      <c r="AX201" s="73">
        <f t="shared" ca="1" si="950"/>
        <v>0</v>
      </c>
      <c r="AY201" s="110"/>
      <c r="AZ201" s="80" t="s">
        <v>2052</v>
      </c>
      <c r="BA201" s="73">
        <f t="shared" ca="1" si="950"/>
        <v>0</v>
      </c>
      <c r="BB201" s="110"/>
      <c r="BC201" s="80" t="s">
        <v>2310</v>
      </c>
      <c r="BD201" s="73">
        <f t="shared" ca="1" si="950"/>
        <v>0</v>
      </c>
      <c r="BE201" s="110"/>
      <c r="BF201" s="80" t="s">
        <v>2052</v>
      </c>
      <c r="BG201" s="73">
        <f t="shared" ca="1" si="950"/>
        <v>0</v>
      </c>
      <c r="BH201" s="110"/>
      <c r="BI201" s="80" t="s">
        <v>2351</v>
      </c>
      <c r="BJ201" s="73">
        <f t="shared" ca="1" si="950"/>
        <v>0</v>
      </c>
      <c r="BK201" s="110"/>
      <c r="BL201" s="80" t="s">
        <v>2052</v>
      </c>
      <c r="BM201" s="73">
        <f t="shared" ca="1" si="950"/>
        <v>0</v>
      </c>
      <c r="BN201" s="110"/>
      <c r="BO201" s="80" t="s">
        <v>2310</v>
      </c>
      <c r="BP201" s="73">
        <f t="shared" ca="1" si="950"/>
        <v>0</v>
      </c>
      <c r="BQ201" s="110"/>
      <c r="BR201" s="80" t="s">
        <v>2395</v>
      </c>
      <c r="BS201" s="73">
        <f t="shared" ca="1" si="950"/>
        <v>0</v>
      </c>
      <c r="BT201" s="110"/>
      <c r="BU201" s="80" t="s">
        <v>2052</v>
      </c>
      <c r="BV201" s="73">
        <f t="shared" ca="1" si="950"/>
        <v>0</v>
      </c>
      <c r="BW201" s="110"/>
      <c r="BX201" s="80" t="s">
        <v>2052</v>
      </c>
      <c r="BY201" s="73">
        <f t="shared" ca="1" si="950"/>
        <v>0</v>
      </c>
      <c r="BZ201" s="110"/>
      <c r="CA201" s="80" t="s">
        <v>2449</v>
      </c>
      <c r="CB201" s="73">
        <f t="shared" ca="1" si="950"/>
        <v>0</v>
      </c>
      <c r="CC201" s="110"/>
      <c r="CD201" s="80" t="s">
        <v>2052</v>
      </c>
      <c r="CE201" s="73">
        <f t="shared" ca="1" si="950"/>
        <v>0</v>
      </c>
      <c r="CF201" s="110"/>
      <c r="CG201" s="80" t="s">
        <v>1981</v>
      </c>
      <c r="CH201" s="73">
        <f t="shared" ca="1" si="950"/>
        <v>0</v>
      </c>
      <c r="CI201" s="110"/>
      <c r="CJ201" s="80" t="s">
        <v>2052</v>
      </c>
      <c r="CK201" s="73">
        <f t="shared" ca="1" si="972"/>
        <v>0</v>
      </c>
      <c r="CL201" s="110"/>
      <c r="CM201" s="80" t="s">
        <v>1981</v>
      </c>
      <c r="CN201" s="73">
        <f t="shared" ca="1" si="972"/>
        <v>0</v>
      </c>
      <c r="CO201" s="110"/>
      <c r="CP201" s="80" t="s">
        <v>2533</v>
      </c>
      <c r="CQ201" s="73">
        <f t="shared" ca="1" si="972"/>
        <v>0</v>
      </c>
      <c r="CR201" s="110"/>
      <c r="CS201" s="80" t="s">
        <v>2052</v>
      </c>
      <c r="CT201" s="73">
        <f t="shared" ca="1" si="972"/>
        <v>0</v>
      </c>
      <c r="CU201" s="110"/>
      <c r="CV201" s="80" t="s">
        <v>2052</v>
      </c>
      <c r="CW201" s="73">
        <f t="shared" ca="1" si="972"/>
        <v>0</v>
      </c>
      <c r="CX201" s="110"/>
      <c r="CY201" s="80" t="s">
        <v>2568</v>
      </c>
      <c r="CZ201" s="73">
        <f t="shared" ca="1" si="972"/>
        <v>0</v>
      </c>
      <c r="DA201" s="110"/>
      <c r="DB201" s="80" t="s">
        <v>2052</v>
      </c>
      <c r="DC201" s="73">
        <f t="shared" ca="1" si="972"/>
        <v>0</v>
      </c>
      <c r="DD201" s="110"/>
      <c r="DE201" s="80" t="s">
        <v>2597</v>
      </c>
      <c r="DF201" s="73">
        <f t="shared" ca="1" si="972"/>
        <v>0</v>
      </c>
      <c r="DG201" s="110"/>
      <c r="DH201" s="80" t="s">
        <v>1981</v>
      </c>
      <c r="DI201" s="73">
        <f t="shared" ca="1" si="972"/>
        <v>0</v>
      </c>
      <c r="DJ201" s="110"/>
      <c r="DK201" s="80" t="s">
        <v>2190</v>
      </c>
      <c r="DL201" s="73">
        <f t="shared" ca="1" si="972"/>
        <v>0</v>
      </c>
      <c r="DM201" s="110"/>
      <c r="DN201" s="797" t="s">
        <v>2018</v>
      </c>
      <c r="DO201" s="73">
        <f t="shared" ca="1" si="972"/>
        <v>0</v>
      </c>
      <c r="DP201" s="110"/>
      <c r="DQ201" s="797" t="s">
        <v>2661</v>
      </c>
      <c r="DR201" s="73">
        <f t="shared" ca="1" si="972"/>
        <v>0</v>
      </c>
      <c r="DS201" s="110"/>
      <c r="DT201" s="80" t="s">
        <v>2597</v>
      </c>
      <c r="DU201" s="73">
        <f t="shared" ca="1" si="972"/>
        <v>0</v>
      </c>
      <c r="DV201" s="110"/>
      <c r="DW201" s="80" t="s">
        <v>2190</v>
      </c>
      <c r="DX201" s="73">
        <f t="shared" ca="1" si="972"/>
        <v>0</v>
      </c>
      <c r="DY201" s="110"/>
      <c r="DZ201" s="80" t="s">
        <v>2597</v>
      </c>
      <c r="EA201" s="73">
        <f t="shared" ca="1" si="972"/>
        <v>0</v>
      </c>
      <c r="EB201" s="110"/>
      <c r="EC201" s="80" t="s">
        <v>2597</v>
      </c>
      <c r="ED201" s="73">
        <f t="shared" ca="1" si="972"/>
        <v>0</v>
      </c>
      <c r="EE201" s="110"/>
      <c r="EF201" s="80" t="s">
        <v>2742</v>
      </c>
      <c r="EG201" s="73">
        <f t="shared" ca="1" si="972"/>
        <v>0</v>
      </c>
      <c r="EH201" s="110"/>
      <c r="EI201" s="80" t="s">
        <v>2052</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2019</v>
      </c>
      <c r="W202" s="73">
        <f t="shared" ca="1" si="950"/>
        <v>0</v>
      </c>
      <c r="X202" s="110"/>
      <c r="Y202" s="80" t="s">
        <v>2053</v>
      </c>
      <c r="Z202" s="73">
        <f t="shared" ca="1" si="950"/>
        <v>0</v>
      </c>
      <c r="AA202" s="110"/>
      <c r="AB202" s="80" t="s">
        <v>2053</v>
      </c>
      <c r="AC202" s="73">
        <f t="shared" ca="1" si="950"/>
        <v>0</v>
      </c>
      <c r="AD202" s="110"/>
      <c r="AE202" s="80" t="s">
        <v>2107</v>
      </c>
      <c r="AF202" s="73">
        <f t="shared" ca="1" si="950"/>
        <v>0</v>
      </c>
      <c r="AG202" s="110"/>
      <c r="AH202" s="80" t="s">
        <v>2135</v>
      </c>
      <c r="AI202" s="73">
        <f t="shared" ca="1" si="950"/>
        <v>0</v>
      </c>
      <c r="AJ202" s="110"/>
      <c r="AK202" s="80" t="s">
        <v>2160</v>
      </c>
      <c r="AL202" s="73">
        <f t="shared" ca="1" si="950"/>
        <v>0</v>
      </c>
      <c r="AM202" s="110"/>
      <c r="AN202" s="80" t="s">
        <v>2191</v>
      </c>
      <c r="AO202" s="73">
        <f t="shared" ca="1" si="950"/>
        <v>0</v>
      </c>
      <c r="AP202" s="110"/>
      <c r="AQ202" s="80" t="s">
        <v>1982</v>
      </c>
      <c r="AR202" s="73">
        <f t="shared" ca="1" si="950"/>
        <v>0</v>
      </c>
      <c r="AS202" s="110"/>
      <c r="AT202" s="80" t="s">
        <v>2241</v>
      </c>
      <c r="AU202" s="73">
        <f t="shared" ca="1" si="950"/>
        <v>0</v>
      </c>
      <c r="AV202" s="110"/>
      <c r="AW202" s="80" t="s">
        <v>2265</v>
      </c>
      <c r="AX202" s="73">
        <f t="shared" ca="1" si="950"/>
        <v>0</v>
      </c>
      <c r="AY202" s="110"/>
      <c r="AZ202" s="80" t="s">
        <v>1982</v>
      </c>
      <c r="BA202" s="73">
        <f t="shared" ca="1" si="950"/>
        <v>0</v>
      </c>
      <c r="BB202" s="110"/>
      <c r="BC202" s="80" t="s">
        <v>2311</v>
      </c>
      <c r="BD202" s="73">
        <f t="shared" ca="1" si="950"/>
        <v>0</v>
      </c>
      <c r="BE202" s="110"/>
      <c r="BF202" s="80" t="s">
        <v>2053</v>
      </c>
      <c r="BG202" s="73">
        <f t="shared" ca="1" si="950"/>
        <v>0</v>
      </c>
      <c r="BH202" s="110"/>
      <c r="BI202" s="80" t="s">
        <v>2352</v>
      </c>
      <c r="BJ202" s="73">
        <f t="shared" ca="1" si="950"/>
        <v>0</v>
      </c>
      <c r="BK202" s="110"/>
      <c r="BL202" s="80" t="s">
        <v>2372</v>
      </c>
      <c r="BM202" s="73">
        <f t="shared" ca="1" si="950"/>
        <v>0</v>
      </c>
      <c r="BN202" s="110"/>
      <c r="BO202" s="80" t="s">
        <v>2385</v>
      </c>
      <c r="BP202" s="73">
        <f t="shared" ca="1" si="950"/>
        <v>0</v>
      </c>
      <c r="BQ202" s="110"/>
      <c r="BR202" s="80" t="s">
        <v>2241</v>
      </c>
      <c r="BS202" s="73">
        <f t="shared" ca="1" si="950"/>
        <v>0</v>
      </c>
      <c r="BT202" s="110"/>
      <c r="BU202" s="80" t="s">
        <v>2413</v>
      </c>
      <c r="BV202" s="73">
        <f t="shared" ca="1" si="950"/>
        <v>0</v>
      </c>
      <c r="BW202" s="110"/>
      <c r="BX202" s="80" t="s">
        <v>2372</v>
      </c>
      <c r="BY202" s="73">
        <f t="shared" ca="1" si="950"/>
        <v>0</v>
      </c>
      <c r="BZ202" s="110"/>
      <c r="CA202" s="80" t="s">
        <v>2450</v>
      </c>
      <c r="CB202" s="73">
        <f t="shared" ca="1" si="950"/>
        <v>0</v>
      </c>
      <c r="CC202" s="110"/>
      <c r="CD202" s="80" t="s">
        <v>2191</v>
      </c>
      <c r="CE202" s="73">
        <f t="shared" ca="1" si="950"/>
        <v>0</v>
      </c>
      <c r="CF202" s="110"/>
      <c r="CG202" s="80" t="s">
        <v>2487</v>
      </c>
      <c r="CH202" s="73">
        <f t="shared" ca="1" si="950"/>
        <v>0</v>
      </c>
      <c r="CI202" s="110"/>
      <c r="CJ202" s="80" t="s">
        <v>2505</v>
      </c>
      <c r="CK202" s="73">
        <f t="shared" ca="1" si="972"/>
        <v>0</v>
      </c>
      <c r="CL202" s="110"/>
      <c r="CM202" s="80" t="s">
        <v>2191</v>
      </c>
      <c r="CN202" s="73">
        <f t="shared" ca="1" si="972"/>
        <v>0</v>
      </c>
      <c r="CO202" s="110"/>
      <c r="CP202" s="80" t="s">
        <v>2107</v>
      </c>
      <c r="CQ202" s="73">
        <f t="shared" ca="1" si="972"/>
        <v>0</v>
      </c>
      <c r="CR202" s="110"/>
      <c r="CS202" s="80" t="s">
        <v>2385</v>
      </c>
      <c r="CT202" s="73">
        <f t="shared" ca="1" si="972"/>
        <v>0</v>
      </c>
      <c r="CU202" s="110"/>
      <c r="CV202" s="80" t="s">
        <v>2107</v>
      </c>
      <c r="CW202" s="73">
        <f t="shared" ca="1" si="972"/>
        <v>0</v>
      </c>
      <c r="CX202" s="110"/>
      <c r="CY202" s="80" t="s">
        <v>2569</v>
      </c>
      <c r="CZ202" s="73">
        <f t="shared" ca="1" si="972"/>
        <v>2</v>
      </c>
      <c r="DA202" s="110"/>
      <c r="DB202" s="80" t="s">
        <v>2584</v>
      </c>
      <c r="DC202" s="73">
        <f t="shared" ca="1" si="972"/>
        <v>0</v>
      </c>
      <c r="DD202" s="110"/>
      <c r="DE202" s="80" t="s">
        <v>2241</v>
      </c>
      <c r="DF202" s="73">
        <f t="shared" ca="1" si="972"/>
        <v>0</v>
      </c>
      <c r="DG202" s="110"/>
      <c r="DH202" s="80" t="s">
        <v>2614</v>
      </c>
      <c r="DI202" s="73">
        <f t="shared" ca="1" si="972"/>
        <v>0</v>
      </c>
      <c r="DJ202" s="110"/>
      <c r="DK202" s="80" t="s">
        <v>2630</v>
      </c>
      <c r="DL202" s="73">
        <f t="shared" ca="1" si="972"/>
        <v>0</v>
      </c>
      <c r="DM202" s="110"/>
      <c r="DN202" s="797" t="s">
        <v>2505</v>
      </c>
      <c r="DO202" s="73">
        <f t="shared" ca="1" si="972"/>
        <v>0</v>
      </c>
      <c r="DP202" s="110"/>
      <c r="DQ202" s="797" t="s">
        <v>2662</v>
      </c>
      <c r="DR202" s="73">
        <f t="shared" ca="1" si="972"/>
        <v>0</v>
      </c>
      <c r="DS202" s="110"/>
      <c r="DT202" s="80" t="s">
        <v>2686</v>
      </c>
      <c r="DU202" s="73">
        <f t="shared" ca="1" si="972"/>
        <v>0</v>
      </c>
      <c r="DV202" s="110"/>
      <c r="DW202" s="80" t="s">
        <v>2704</v>
      </c>
      <c r="DX202" s="73">
        <f t="shared" ca="1" si="972"/>
        <v>4</v>
      </c>
      <c r="DY202" s="110"/>
      <c r="DZ202" s="80" t="s">
        <v>2505</v>
      </c>
      <c r="EA202" s="73">
        <f t="shared" ca="1" si="972"/>
        <v>0</v>
      </c>
      <c r="EB202" s="110"/>
      <c r="EC202" s="80" t="s">
        <v>2160</v>
      </c>
      <c r="ED202" s="73">
        <f t="shared" ca="1" si="972"/>
        <v>0</v>
      </c>
      <c r="EE202" s="110"/>
      <c r="EF202" s="80" t="s">
        <v>2743</v>
      </c>
      <c r="EG202" s="73">
        <f t="shared" ca="1" si="972"/>
        <v>0</v>
      </c>
      <c r="EH202" s="110"/>
      <c r="EI202" s="80" t="s">
        <v>2757</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2020</v>
      </c>
      <c r="W203" s="73">
        <f t="shared" ca="1" si="950"/>
        <v>0</v>
      </c>
      <c r="X203" s="110"/>
      <c r="Y203" s="80" t="s">
        <v>2054</v>
      </c>
      <c r="Z203" s="73">
        <f t="shared" ca="1" si="950"/>
        <v>2</v>
      </c>
      <c r="AA203" s="110"/>
      <c r="AB203" s="80" t="s">
        <v>2079</v>
      </c>
      <c r="AC203" s="73">
        <f t="shared" ca="1" si="950"/>
        <v>1</v>
      </c>
      <c r="AD203" s="110"/>
      <c r="AE203" s="80" t="s">
        <v>2054</v>
      </c>
      <c r="AF203" s="73">
        <f t="shared" ca="1" si="950"/>
        <v>2</v>
      </c>
      <c r="AG203" s="110"/>
      <c r="AH203" s="80" t="s">
        <v>2136</v>
      </c>
      <c r="AI203" s="73">
        <f t="shared" ca="1" si="950"/>
        <v>0</v>
      </c>
      <c r="AJ203" s="110"/>
      <c r="AK203" s="80" t="s">
        <v>2161</v>
      </c>
      <c r="AL203" s="73">
        <f t="shared" ca="1" si="950"/>
        <v>0</v>
      </c>
      <c r="AM203" s="110"/>
      <c r="AN203" s="80" t="s">
        <v>2192</v>
      </c>
      <c r="AO203" s="73">
        <f t="shared" ca="1" si="950"/>
        <v>0</v>
      </c>
      <c r="AP203" s="110"/>
      <c r="AQ203" s="80" t="s">
        <v>2221</v>
      </c>
      <c r="AR203" s="73">
        <f t="shared" ca="1" si="950"/>
        <v>1</v>
      </c>
      <c r="AS203" s="110"/>
      <c r="AT203" s="80" t="s">
        <v>2242</v>
      </c>
      <c r="AU203" s="73">
        <f t="shared" ca="1" si="950"/>
        <v>0</v>
      </c>
      <c r="AV203" s="110"/>
      <c r="AW203" s="80" t="s">
        <v>2266</v>
      </c>
      <c r="AX203" s="73">
        <f t="shared" ca="1" si="950"/>
        <v>0</v>
      </c>
      <c r="AY203" s="110"/>
      <c r="AZ203" s="80" t="s">
        <v>2020</v>
      </c>
      <c r="BA203" s="73">
        <f t="shared" ca="1" si="950"/>
        <v>0</v>
      </c>
      <c r="BB203" s="110"/>
      <c r="BC203" s="80" t="s">
        <v>2312</v>
      </c>
      <c r="BD203" s="73">
        <f t="shared" ca="1" si="950"/>
        <v>0</v>
      </c>
      <c r="BE203" s="110"/>
      <c r="BF203" s="80" t="s">
        <v>2079</v>
      </c>
      <c r="BG203" s="73">
        <f t="shared" ca="1" si="950"/>
        <v>1</v>
      </c>
      <c r="BH203" s="110"/>
      <c r="BI203" s="80" t="s">
        <v>2079</v>
      </c>
      <c r="BJ203" s="73">
        <f t="shared" ca="1" si="950"/>
        <v>1</v>
      </c>
      <c r="BK203" s="110"/>
      <c r="BL203" s="80" t="s">
        <v>2373</v>
      </c>
      <c r="BM203" s="73">
        <f t="shared" ca="1" si="950"/>
        <v>2</v>
      </c>
      <c r="BN203" s="110"/>
      <c r="BO203" s="80" t="s">
        <v>2373</v>
      </c>
      <c r="BP203" s="73">
        <f t="shared" ca="1" si="950"/>
        <v>2</v>
      </c>
      <c r="BQ203" s="110"/>
      <c r="BR203" s="80" t="s">
        <v>2373</v>
      </c>
      <c r="BS203" s="73">
        <f t="shared" ca="1" si="950"/>
        <v>2</v>
      </c>
      <c r="BT203" s="110"/>
      <c r="BU203" s="80" t="s">
        <v>2414</v>
      </c>
      <c r="BV203" s="73">
        <f t="shared" ca="1" si="950"/>
        <v>0</v>
      </c>
      <c r="BW203" s="110"/>
      <c r="BX203" s="80" t="s">
        <v>2054</v>
      </c>
      <c r="BY203" s="73">
        <f t="shared" ca="1" si="950"/>
        <v>2</v>
      </c>
      <c r="BZ203" s="110"/>
      <c r="CA203" s="80" t="s">
        <v>2451</v>
      </c>
      <c r="CB203" s="73">
        <f t="shared" ca="1" si="950"/>
        <v>0</v>
      </c>
      <c r="CC203" s="110"/>
      <c r="CD203" s="80" t="s">
        <v>2472</v>
      </c>
      <c r="CE203" s="73">
        <f t="shared" ca="1" si="950"/>
        <v>0</v>
      </c>
      <c r="CF203" s="110"/>
      <c r="CG203" s="80" t="s">
        <v>2488</v>
      </c>
      <c r="CH203" s="73">
        <f t="shared" ca="1" si="950"/>
        <v>0</v>
      </c>
      <c r="CI203" s="110"/>
      <c r="CJ203" s="80" t="s">
        <v>2054</v>
      </c>
      <c r="CK203" s="73">
        <f t="shared" ca="1" si="972"/>
        <v>2</v>
      </c>
      <c r="CL203" s="110"/>
      <c r="CM203" s="80" t="s">
        <v>2079</v>
      </c>
      <c r="CN203" s="73">
        <f t="shared" ca="1" si="972"/>
        <v>1</v>
      </c>
      <c r="CO203" s="110"/>
      <c r="CP203" s="80" t="s">
        <v>2054</v>
      </c>
      <c r="CQ203" s="73">
        <f t="shared" ca="1" si="972"/>
        <v>2</v>
      </c>
      <c r="CR203" s="110"/>
      <c r="CS203" s="80" t="s">
        <v>2373</v>
      </c>
      <c r="CT203" s="73">
        <f t="shared" ca="1" si="972"/>
        <v>2</v>
      </c>
      <c r="CU203" s="110"/>
      <c r="CV203" s="80" t="s">
        <v>2079</v>
      </c>
      <c r="CW203" s="73">
        <f t="shared" ca="1" si="972"/>
        <v>1</v>
      </c>
      <c r="CX203" s="110"/>
      <c r="CY203" s="80" t="s">
        <v>2373</v>
      </c>
      <c r="CZ203" s="73">
        <f t="shared" ca="1" si="972"/>
        <v>2</v>
      </c>
      <c r="DA203" s="110"/>
      <c r="DB203" s="80" t="s">
        <v>2079</v>
      </c>
      <c r="DC203" s="73">
        <f t="shared" ca="1" si="972"/>
        <v>1</v>
      </c>
      <c r="DD203" s="110"/>
      <c r="DE203" s="80" t="s">
        <v>2598</v>
      </c>
      <c r="DF203" s="73">
        <f t="shared" ca="1" si="972"/>
        <v>0</v>
      </c>
      <c r="DG203" s="110"/>
      <c r="DH203" s="80" t="s">
        <v>2615</v>
      </c>
      <c r="DI203" s="73">
        <f t="shared" ca="1" si="972"/>
        <v>0</v>
      </c>
      <c r="DJ203" s="110"/>
      <c r="DK203" s="80" t="s">
        <v>2631</v>
      </c>
      <c r="DL203" s="73">
        <f t="shared" ca="1" si="972"/>
        <v>0</v>
      </c>
      <c r="DM203" s="110"/>
      <c r="DN203" s="797" t="s">
        <v>2642</v>
      </c>
      <c r="DO203" s="73">
        <f t="shared" ca="1" si="972"/>
        <v>0</v>
      </c>
      <c r="DP203" s="110"/>
      <c r="DQ203" s="797" t="s">
        <v>2663</v>
      </c>
      <c r="DR203" s="73">
        <f t="shared" ca="1" si="972"/>
        <v>0</v>
      </c>
      <c r="DS203" s="110"/>
      <c r="DT203" s="80" t="s">
        <v>2687</v>
      </c>
      <c r="DU203" s="73">
        <f t="shared" ca="1" si="972"/>
        <v>0</v>
      </c>
      <c r="DV203" s="110"/>
      <c r="DW203" s="80" t="s">
        <v>2242</v>
      </c>
      <c r="DX203" s="73">
        <f t="shared" ca="1" si="972"/>
        <v>0</v>
      </c>
      <c r="DY203" s="110"/>
      <c r="DZ203" s="80" t="s">
        <v>2242</v>
      </c>
      <c r="EA203" s="73">
        <f t="shared" ca="1" si="972"/>
        <v>0</v>
      </c>
      <c r="EB203" s="110"/>
      <c r="EC203" s="80" t="s">
        <v>2079</v>
      </c>
      <c r="ED203" s="73">
        <f t="shared" ca="1" si="972"/>
        <v>1</v>
      </c>
      <c r="EE203" s="110"/>
      <c r="EF203" s="80" t="s">
        <v>2054</v>
      </c>
      <c r="EG203" s="73">
        <f t="shared" ca="1" si="972"/>
        <v>2</v>
      </c>
      <c r="EH203" s="110"/>
      <c r="EI203" s="80" t="s">
        <v>2373</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51"/>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2021</v>
      </c>
      <c r="W204" s="73">
        <f t="shared" ca="1" si="950"/>
        <v>0</v>
      </c>
      <c r="X204" s="110"/>
      <c r="Y204" s="80" t="s">
        <v>2055</v>
      </c>
      <c r="Z204" s="73">
        <f t="shared" ca="1" si="950"/>
        <v>0</v>
      </c>
      <c r="AA204" s="110"/>
      <c r="AB204" s="80" t="s">
        <v>2055</v>
      </c>
      <c r="AC204" s="73">
        <f t="shared" ca="1" si="950"/>
        <v>0</v>
      </c>
      <c r="AD204" s="110"/>
      <c r="AE204" s="80" t="s">
        <v>2108</v>
      </c>
      <c r="AF204" s="73">
        <f t="shared" ca="1" si="950"/>
        <v>0</v>
      </c>
      <c r="AG204" s="110"/>
      <c r="AH204" s="80" t="s">
        <v>2137</v>
      </c>
      <c r="AI204" s="73">
        <f t="shared" ca="1" si="950"/>
        <v>0</v>
      </c>
      <c r="AJ204" s="110"/>
      <c r="AK204" s="80" t="s">
        <v>2162</v>
      </c>
      <c r="AL204" s="73">
        <f t="shared" ca="1" si="950"/>
        <v>0</v>
      </c>
      <c r="AM204" s="110"/>
      <c r="AN204" s="80" t="s">
        <v>2193</v>
      </c>
      <c r="AO204" s="73">
        <f t="shared" ca="1" si="950"/>
        <v>0</v>
      </c>
      <c r="AP204" s="110"/>
      <c r="AQ204" s="80" t="s">
        <v>2055</v>
      </c>
      <c r="AR204" s="73">
        <f t="shared" ca="1" si="950"/>
        <v>0</v>
      </c>
      <c r="AS204" s="110"/>
      <c r="AT204" s="80" t="s">
        <v>2162</v>
      </c>
      <c r="AU204" s="73">
        <f t="shared" ca="1" si="950"/>
        <v>0</v>
      </c>
      <c r="AV204" s="110"/>
      <c r="AW204" s="80" t="s">
        <v>2267</v>
      </c>
      <c r="AX204" s="73">
        <f t="shared" ca="1" si="950"/>
        <v>0</v>
      </c>
      <c r="AY204" s="110"/>
      <c r="AZ204" s="80" t="s">
        <v>2288</v>
      </c>
      <c r="BA204" s="73">
        <f t="shared" ca="1" si="950"/>
        <v>0</v>
      </c>
      <c r="BB204" s="110"/>
      <c r="BC204" s="80" t="s">
        <v>2313</v>
      </c>
      <c r="BD204" s="73">
        <f t="shared" ca="1" si="950"/>
        <v>0</v>
      </c>
      <c r="BE204" s="110"/>
      <c r="BF204" s="80" t="s">
        <v>2337</v>
      </c>
      <c r="BG204" s="73">
        <f t="shared" ca="1" si="950"/>
        <v>0</v>
      </c>
      <c r="BH204" s="110"/>
      <c r="BI204" s="80" t="s">
        <v>2055</v>
      </c>
      <c r="BJ204" s="73">
        <f t="shared" ca="1" si="950"/>
        <v>0</v>
      </c>
      <c r="BK204" s="110"/>
      <c r="BL204" s="80" t="s">
        <v>2337</v>
      </c>
      <c r="BM204" s="73">
        <f t="shared" ca="1" si="950"/>
        <v>0</v>
      </c>
      <c r="BN204" s="110"/>
      <c r="BO204" s="80" t="s">
        <v>2021</v>
      </c>
      <c r="BP204" s="73">
        <f t="shared" ca="1" si="950"/>
        <v>0</v>
      </c>
      <c r="BQ204" s="110"/>
      <c r="BR204" s="80" t="s">
        <v>2162</v>
      </c>
      <c r="BS204" s="73">
        <f t="shared" ca="1" si="950"/>
        <v>0</v>
      </c>
      <c r="BT204" s="110"/>
      <c r="BU204" s="80" t="s">
        <v>2162</v>
      </c>
      <c r="BV204" s="73">
        <f t="shared" ca="1" si="950"/>
        <v>0</v>
      </c>
      <c r="BW204" s="110"/>
      <c r="BX204" s="80" t="s">
        <v>2431</v>
      </c>
      <c r="BY204" s="73">
        <f t="shared" ca="1" si="950"/>
        <v>0</v>
      </c>
      <c r="BZ204" s="110"/>
      <c r="CA204" s="80" t="s">
        <v>2452</v>
      </c>
      <c r="CB204" s="73">
        <f t="shared" ca="1" si="950"/>
        <v>0</v>
      </c>
      <c r="CC204" s="110"/>
      <c r="CD204" s="80" t="s">
        <v>2473</v>
      </c>
      <c r="CE204" s="73">
        <f t="shared" ca="1" si="950"/>
        <v>0</v>
      </c>
      <c r="CF204" s="110"/>
      <c r="CG204" s="80" t="s">
        <v>2489</v>
      </c>
      <c r="CH204" s="73">
        <f t="shared" ca="1" si="950"/>
        <v>0</v>
      </c>
      <c r="CI204" s="110"/>
      <c r="CJ204" s="80" t="s">
        <v>2489</v>
      </c>
      <c r="CK204" s="73">
        <f t="shared" ca="1" si="972"/>
        <v>0</v>
      </c>
      <c r="CL204" s="110"/>
      <c r="CM204" s="80" t="s">
        <v>2162</v>
      </c>
      <c r="CN204" s="73">
        <f t="shared" ca="1" si="972"/>
        <v>0</v>
      </c>
      <c r="CO204" s="110"/>
      <c r="CP204" s="80" t="s">
        <v>2162</v>
      </c>
      <c r="CQ204" s="73">
        <f t="shared" ca="1" si="972"/>
        <v>0</v>
      </c>
      <c r="CR204" s="110"/>
      <c r="CS204" s="80" t="s">
        <v>2489</v>
      </c>
      <c r="CT204" s="73">
        <f t="shared" ca="1" si="972"/>
        <v>0</v>
      </c>
      <c r="CU204" s="110"/>
      <c r="CV204" s="80" t="s">
        <v>2549</v>
      </c>
      <c r="CW204" s="73">
        <f t="shared" ca="1" si="972"/>
        <v>0</v>
      </c>
      <c r="CX204" s="110"/>
      <c r="CY204" s="80" t="s">
        <v>2162</v>
      </c>
      <c r="CZ204" s="73">
        <f t="shared" ca="1" si="972"/>
        <v>0</v>
      </c>
      <c r="DA204" s="110"/>
      <c r="DB204" s="80" t="s">
        <v>2162</v>
      </c>
      <c r="DC204" s="73">
        <f t="shared" ca="1" si="972"/>
        <v>0</v>
      </c>
      <c r="DD204" s="110"/>
      <c r="DE204" s="80" t="s">
        <v>2108</v>
      </c>
      <c r="DF204" s="73">
        <f t="shared" ca="1" si="972"/>
        <v>0</v>
      </c>
      <c r="DG204" s="110"/>
      <c r="DH204" s="80" t="s">
        <v>2162</v>
      </c>
      <c r="DI204" s="73">
        <f t="shared" ca="1" si="972"/>
        <v>0</v>
      </c>
      <c r="DJ204" s="110"/>
      <c r="DK204" s="80" t="s">
        <v>2632</v>
      </c>
      <c r="DL204" s="73">
        <f t="shared" ca="1" si="972"/>
        <v>0</v>
      </c>
      <c r="DM204" s="110"/>
      <c r="DN204" s="797" t="s">
        <v>2643</v>
      </c>
      <c r="DO204" s="73">
        <f t="shared" ca="1" si="972"/>
        <v>0</v>
      </c>
      <c r="DP204" s="110"/>
      <c r="DQ204" s="797" t="s">
        <v>2664</v>
      </c>
      <c r="DR204" s="73">
        <f t="shared" ca="1" si="972"/>
        <v>0</v>
      </c>
      <c r="DS204" s="110"/>
      <c r="DT204" s="80" t="s">
        <v>2688</v>
      </c>
      <c r="DU204" s="73">
        <f t="shared" ca="1" si="972"/>
        <v>2</v>
      </c>
      <c r="DV204" s="110"/>
      <c r="DW204" s="80" t="s">
        <v>2705</v>
      </c>
      <c r="DX204" s="73">
        <f t="shared" ca="1" si="972"/>
        <v>0</v>
      </c>
      <c r="DY204" s="110"/>
      <c r="DZ204" s="80" t="s">
        <v>2288</v>
      </c>
      <c r="EA204" s="73">
        <f t="shared" ca="1" si="972"/>
        <v>0</v>
      </c>
      <c r="EB204" s="110"/>
      <c r="EC204" s="80" t="s">
        <v>2021</v>
      </c>
      <c r="ED204" s="73">
        <f t="shared" ca="1" si="972"/>
        <v>0</v>
      </c>
      <c r="EE204" s="110"/>
      <c r="EF204" s="80" t="s">
        <v>2055</v>
      </c>
      <c r="EG204" s="73">
        <f t="shared" ca="1" si="972"/>
        <v>0</v>
      </c>
      <c r="EH204" s="110"/>
      <c r="EI204" s="80" t="s">
        <v>2055</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51"/>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2022</v>
      </c>
      <c r="W205" s="73">
        <f t="shared" ca="1" si="950"/>
        <v>0</v>
      </c>
      <c r="X205" s="110"/>
      <c r="Y205" s="80" t="s">
        <v>2056</v>
      </c>
      <c r="Z205" s="73">
        <f t="shared" ca="1" si="950"/>
        <v>0</v>
      </c>
      <c r="AA205" s="110"/>
      <c r="AB205" s="80" t="s">
        <v>2080</v>
      </c>
      <c r="AC205" s="73">
        <f t="shared" ca="1" si="950"/>
        <v>0</v>
      </c>
      <c r="AD205" s="110"/>
      <c r="AE205" s="80" t="s">
        <v>2109</v>
      </c>
      <c r="AF205" s="73">
        <f t="shared" ca="1" si="950"/>
        <v>1</v>
      </c>
      <c r="AG205" s="110"/>
      <c r="AH205" s="80" t="s">
        <v>2138</v>
      </c>
      <c r="AI205" s="73">
        <f t="shared" ca="1" si="950"/>
        <v>1</v>
      </c>
      <c r="AJ205" s="110"/>
      <c r="AK205" s="80" t="s">
        <v>2163</v>
      </c>
      <c r="AL205" s="73">
        <f t="shared" ca="1" si="950"/>
        <v>0</v>
      </c>
      <c r="AM205" s="110"/>
      <c r="AN205" s="80" t="s">
        <v>2194</v>
      </c>
      <c r="AO205" s="73">
        <f t="shared" ca="1" si="950"/>
        <v>0</v>
      </c>
      <c r="AP205" s="110"/>
      <c r="AQ205" s="80" t="s">
        <v>2109</v>
      </c>
      <c r="AR205" s="73">
        <f t="shared" ca="1" si="950"/>
        <v>1</v>
      </c>
      <c r="AS205" s="110"/>
      <c r="AT205" s="80" t="s">
        <v>2243</v>
      </c>
      <c r="AU205" s="73">
        <f t="shared" ca="1" si="950"/>
        <v>0</v>
      </c>
      <c r="AV205" s="110"/>
      <c r="AW205" s="80" t="s">
        <v>2194</v>
      </c>
      <c r="AX205" s="73">
        <f t="shared" ca="1" si="950"/>
        <v>0</v>
      </c>
      <c r="AY205" s="110"/>
      <c r="AZ205" s="80" t="s">
        <v>2289</v>
      </c>
      <c r="BA205" s="73">
        <f t="shared" ca="1" si="950"/>
        <v>0</v>
      </c>
      <c r="BB205" s="110"/>
      <c r="BC205" s="80" t="s">
        <v>2314</v>
      </c>
      <c r="BD205" s="73">
        <f t="shared" ca="1" si="950"/>
        <v>0</v>
      </c>
      <c r="BE205" s="110"/>
      <c r="BF205" s="80" t="s">
        <v>2338</v>
      </c>
      <c r="BG205" s="73">
        <f t="shared" ca="1" si="950"/>
        <v>1</v>
      </c>
      <c r="BH205" s="110"/>
      <c r="BI205" s="80" t="s">
        <v>2353</v>
      </c>
      <c r="BJ205" s="73">
        <f t="shared" ca="1" si="950"/>
        <v>0</v>
      </c>
      <c r="BK205" s="110"/>
      <c r="BL205" s="80" t="s">
        <v>2374</v>
      </c>
      <c r="BM205" s="73">
        <f t="shared" ca="1" si="950"/>
        <v>0</v>
      </c>
      <c r="BN205" s="110"/>
      <c r="BO205" s="80" t="s">
        <v>2080</v>
      </c>
      <c r="BP205" s="73">
        <f t="shared" ca="1" si="950"/>
        <v>0</v>
      </c>
      <c r="BQ205" s="110"/>
      <c r="BR205" s="80" t="s">
        <v>2289</v>
      </c>
      <c r="BS205" s="73">
        <f t="shared" ca="1" si="950"/>
        <v>0</v>
      </c>
      <c r="BT205" s="110"/>
      <c r="BU205" s="80" t="s">
        <v>2415</v>
      </c>
      <c r="BV205" s="73">
        <f t="shared" ca="1" si="950"/>
        <v>0</v>
      </c>
      <c r="BW205" s="110"/>
      <c r="BX205" s="80" t="s">
        <v>2432</v>
      </c>
      <c r="BY205" s="73">
        <f t="shared" ca="1" si="950"/>
        <v>0</v>
      </c>
      <c r="BZ205" s="110"/>
      <c r="CA205" s="80" t="s">
        <v>2415</v>
      </c>
      <c r="CB205" s="73">
        <f t="shared" ca="1" si="950"/>
        <v>0</v>
      </c>
      <c r="CC205" s="110"/>
      <c r="CD205" s="80" t="s">
        <v>2080</v>
      </c>
      <c r="CE205" s="73">
        <f t="shared" ca="1" si="950"/>
        <v>0</v>
      </c>
      <c r="CF205" s="110"/>
      <c r="CG205" s="80" t="s">
        <v>2490</v>
      </c>
      <c r="CH205" s="73">
        <f t="shared" ca="1" si="950"/>
        <v>0</v>
      </c>
      <c r="CI205" s="110"/>
      <c r="CJ205" s="80" t="s">
        <v>2109</v>
      </c>
      <c r="CK205" s="73">
        <f t="shared" ca="1" si="972"/>
        <v>1</v>
      </c>
      <c r="CL205" s="110"/>
      <c r="CM205" s="80" t="s">
        <v>2516</v>
      </c>
      <c r="CN205" s="73">
        <f t="shared" ca="1" si="972"/>
        <v>0</v>
      </c>
      <c r="CO205" s="110"/>
      <c r="CP205" s="80" t="s">
        <v>2289</v>
      </c>
      <c r="CQ205" s="73">
        <f t="shared" ca="1" si="972"/>
        <v>0</v>
      </c>
      <c r="CR205" s="110"/>
      <c r="CS205" s="80" t="s">
        <v>2314</v>
      </c>
      <c r="CT205" s="73">
        <f t="shared" ca="1" si="972"/>
        <v>0</v>
      </c>
      <c r="CU205" s="110"/>
      <c r="CV205" s="80" t="s">
        <v>2415</v>
      </c>
      <c r="CW205" s="73">
        <f t="shared" ca="1" si="972"/>
        <v>0</v>
      </c>
      <c r="CX205" s="110"/>
      <c r="CY205" s="80" t="s">
        <v>2570</v>
      </c>
      <c r="CZ205" s="73">
        <f t="shared" ca="1" si="972"/>
        <v>0</v>
      </c>
      <c r="DA205" s="110"/>
      <c r="DB205" s="80" t="s">
        <v>2415</v>
      </c>
      <c r="DC205" s="73">
        <f t="shared" ca="1" si="972"/>
        <v>0</v>
      </c>
      <c r="DD205" s="110"/>
      <c r="DE205" s="80" t="s">
        <v>2163</v>
      </c>
      <c r="DF205" s="73">
        <f t="shared" ca="1" si="972"/>
        <v>0</v>
      </c>
      <c r="DG205" s="110"/>
      <c r="DH205" s="80" t="s">
        <v>2616</v>
      </c>
      <c r="DI205" s="73">
        <f t="shared" ca="1" si="972"/>
        <v>0</v>
      </c>
      <c r="DJ205" s="110"/>
      <c r="DK205" s="80" t="s">
        <v>2289</v>
      </c>
      <c r="DL205" s="73">
        <f t="shared" ca="1" si="972"/>
        <v>0</v>
      </c>
      <c r="DM205" s="110"/>
      <c r="DN205" s="797" t="s">
        <v>2616</v>
      </c>
      <c r="DO205" s="73">
        <f t="shared" ca="1" si="972"/>
        <v>0</v>
      </c>
      <c r="DP205" s="110"/>
      <c r="DQ205" s="797" t="s">
        <v>2665</v>
      </c>
      <c r="DR205" s="73">
        <f t="shared" ca="1" si="972"/>
        <v>0</v>
      </c>
      <c r="DS205" s="110"/>
      <c r="DT205" s="80" t="s">
        <v>2338</v>
      </c>
      <c r="DU205" s="73">
        <f t="shared" ca="1" si="972"/>
        <v>1</v>
      </c>
      <c r="DV205" s="110"/>
      <c r="DW205" s="80" t="s">
        <v>2706</v>
      </c>
      <c r="DX205" s="73">
        <f t="shared" ca="1" si="972"/>
        <v>0</v>
      </c>
      <c r="DY205" s="110"/>
      <c r="DZ205" s="80" t="s">
        <v>2721</v>
      </c>
      <c r="EA205" s="73">
        <f t="shared" ca="1" si="972"/>
        <v>0</v>
      </c>
      <c r="EB205" s="110"/>
      <c r="EC205" s="80" t="s">
        <v>2353</v>
      </c>
      <c r="ED205" s="73">
        <f t="shared" ca="1" si="972"/>
        <v>0</v>
      </c>
      <c r="EE205" s="110"/>
      <c r="EF205" s="80" t="s">
        <v>2374</v>
      </c>
      <c r="EG205" s="73">
        <f t="shared" ca="1" si="972"/>
        <v>0</v>
      </c>
      <c r="EH205" s="110"/>
      <c r="EI205" s="80" t="s">
        <v>2289</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51"/>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2023</v>
      </c>
      <c r="W206" s="73">
        <f t="shared" ca="1" si="950"/>
        <v>0</v>
      </c>
      <c r="X206" s="110"/>
      <c r="Y206" s="80" t="s">
        <v>2057</v>
      </c>
      <c r="Z206" s="73">
        <f t="shared" ca="1" si="950"/>
        <v>1</v>
      </c>
      <c r="AA206" s="110"/>
      <c r="AB206" s="80" t="s">
        <v>2081</v>
      </c>
      <c r="AC206" s="73">
        <f t="shared" ca="1" si="950"/>
        <v>0</v>
      </c>
      <c r="AD206" s="110"/>
      <c r="AE206" s="80" t="s">
        <v>2110</v>
      </c>
      <c r="AF206" s="73">
        <f t="shared" ca="1" si="950"/>
        <v>0</v>
      </c>
      <c r="AG206" s="110"/>
      <c r="AH206" s="80" t="s">
        <v>2139</v>
      </c>
      <c r="AI206" s="73">
        <f t="shared" ca="1" si="950"/>
        <v>0</v>
      </c>
      <c r="AJ206" s="110"/>
      <c r="AK206" s="80" t="s">
        <v>2057</v>
      </c>
      <c r="AL206" s="73">
        <f t="shared" ca="1" si="950"/>
        <v>1</v>
      </c>
      <c r="AM206" s="110"/>
      <c r="AN206" s="80" t="s">
        <v>2195</v>
      </c>
      <c r="AO206" s="73">
        <f t="shared" ca="1" si="950"/>
        <v>0</v>
      </c>
      <c r="AP206" s="110"/>
      <c r="AQ206" s="80" t="s">
        <v>2222</v>
      </c>
      <c r="AR206" s="73">
        <f t="shared" ca="1" si="950"/>
        <v>0</v>
      </c>
      <c r="AS206" s="110"/>
      <c r="AT206" s="80" t="s">
        <v>2195</v>
      </c>
      <c r="AU206" s="73">
        <f t="shared" ca="1" si="950"/>
        <v>0</v>
      </c>
      <c r="AV206" s="110"/>
      <c r="AW206" s="80" t="s">
        <v>2268</v>
      </c>
      <c r="AX206" s="73">
        <f t="shared" ca="1" si="950"/>
        <v>0</v>
      </c>
      <c r="AY206" s="110"/>
      <c r="AZ206" s="80" t="s">
        <v>2057</v>
      </c>
      <c r="BA206" s="73">
        <f t="shared" ca="1" si="950"/>
        <v>1</v>
      </c>
      <c r="BB206" s="110"/>
      <c r="BC206" s="80" t="s">
        <v>2315</v>
      </c>
      <c r="BD206" s="73">
        <f t="shared" ca="1" si="950"/>
        <v>1</v>
      </c>
      <c r="BE206" s="110"/>
      <c r="BF206" s="80" t="s">
        <v>2110</v>
      </c>
      <c r="BG206" s="73">
        <f t="shared" ca="1" si="950"/>
        <v>0</v>
      </c>
      <c r="BH206" s="110"/>
      <c r="BI206" s="80" t="s">
        <v>2354</v>
      </c>
      <c r="BJ206" s="73">
        <f t="shared" ca="1" si="950"/>
        <v>0</v>
      </c>
      <c r="BK206" s="110"/>
      <c r="BL206" s="80" t="s">
        <v>2139</v>
      </c>
      <c r="BM206" s="73">
        <f t="shared" ca="1" si="950"/>
        <v>0</v>
      </c>
      <c r="BN206" s="110"/>
      <c r="BO206" s="80" t="s">
        <v>2081</v>
      </c>
      <c r="BP206" s="73">
        <f t="shared" ca="1" si="950"/>
        <v>0</v>
      </c>
      <c r="BQ206" s="110"/>
      <c r="BR206" s="80" t="s">
        <v>2354</v>
      </c>
      <c r="BS206" s="73">
        <f t="shared" ca="1" si="950"/>
        <v>0</v>
      </c>
      <c r="BT206" s="110"/>
      <c r="BU206" s="80" t="s">
        <v>2416</v>
      </c>
      <c r="BV206" s="73">
        <f t="shared" ca="1" si="950"/>
        <v>0</v>
      </c>
      <c r="BW206" s="110"/>
      <c r="BX206" s="80" t="s">
        <v>2433</v>
      </c>
      <c r="BY206" s="73">
        <f t="shared" ca="1" si="950"/>
        <v>0</v>
      </c>
      <c r="BZ206" s="110"/>
      <c r="CA206" s="80" t="s">
        <v>2023</v>
      </c>
      <c r="CB206" s="73">
        <f t="shared" ca="1" si="950"/>
        <v>0</v>
      </c>
      <c r="CC206" s="110"/>
      <c r="CD206" s="80" t="s">
        <v>2023</v>
      </c>
      <c r="CE206" s="73">
        <f t="shared" ca="1" si="950"/>
        <v>0</v>
      </c>
      <c r="CF206" s="110"/>
      <c r="CG206" s="80" t="s">
        <v>2139</v>
      </c>
      <c r="CH206" s="73">
        <f t="shared" ca="1" si="950"/>
        <v>0</v>
      </c>
      <c r="CI206" s="110"/>
      <c r="CJ206" s="80" t="s">
        <v>2506</v>
      </c>
      <c r="CK206" s="73">
        <f t="shared" ca="1" si="972"/>
        <v>0</v>
      </c>
      <c r="CL206" s="110"/>
      <c r="CM206" s="80" t="s">
        <v>2081</v>
      </c>
      <c r="CN206" s="73">
        <f t="shared" ca="1" si="972"/>
        <v>0</v>
      </c>
      <c r="CO206" s="110"/>
      <c r="CP206" s="80" t="s">
        <v>2534</v>
      </c>
      <c r="CQ206" s="73">
        <f t="shared" ca="1" si="972"/>
        <v>0</v>
      </c>
      <c r="CR206" s="110"/>
      <c r="CS206" s="80" t="s">
        <v>2416</v>
      </c>
      <c r="CT206" s="73">
        <f t="shared" ca="1" si="972"/>
        <v>0</v>
      </c>
      <c r="CU206" s="110"/>
      <c r="CV206" s="80" t="s">
        <v>2550</v>
      </c>
      <c r="CW206" s="73">
        <f t="shared" ca="1" si="972"/>
        <v>2</v>
      </c>
      <c r="CX206" s="110"/>
      <c r="CY206" s="80" t="s">
        <v>2571</v>
      </c>
      <c r="CZ206" s="73">
        <f t="shared" ca="1" si="972"/>
        <v>0</v>
      </c>
      <c r="DA206" s="110"/>
      <c r="DB206" s="80" t="s">
        <v>2081</v>
      </c>
      <c r="DC206" s="73">
        <f t="shared" ca="1" si="972"/>
        <v>0</v>
      </c>
      <c r="DD206" s="110"/>
      <c r="DE206" s="80" t="s">
        <v>2599</v>
      </c>
      <c r="DF206" s="73">
        <f t="shared" ca="1" si="972"/>
        <v>0</v>
      </c>
      <c r="DG206" s="110"/>
      <c r="DH206" s="80" t="s">
        <v>2023</v>
      </c>
      <c r="DI206" s="73">
        <f t="shared" ca="1" si="972"/>
        <v>0</v>
      </c>
      <c r="DJ206" s="110"/>
      <c r="DK206" s="80" t="s">
        <v>2081</v>
      </c>
      <c r="DL206" s="73">
        <f t="shared" ca="1" si="972"/>
        <v>0</v>
      </c>
      <c r="DM206" s="110"/>
      <c r="DN206" s="797" t="s">
        <v>2644</v>
      </c>
      <c r="DO206" s="73">
        <f t="shared" ca="1" si="972"/>
        <v>0</v>
      </c>
      <c r="DP206" s="110"/>
      <c r="DQ206" s="797" t="s">
        <v>2666</v>
      </c>
      <c r="DR206" s="73">
        <f t="shared" ca="1" si="972"/>
        <v>0</v>
      </c>
      <c r="DS206" s="110"/>
      <c r="DT206" s="80" t="s">
        <v>2689</v>
      </c>
      <c r="DU206" s="73">
        <f t="shared" ca="1" si="972"/>
        <v>0</v>
      </c>
      <c r="DV206" s="110"/>
      <c r="DW206" s="80" t="s">
        <v>2023</v>
      </c>
      <c r="DX206" s="73">
        <f t="shared" ca="1" si="972"/>
        <v>0</v>
      </c>
      <c r="DY206" s="110"/>
      <c r="DZ206" s="80" t="s">
        <v>2110</v>
      </c>
      <c r="EA206" s="73">
        <f t="shared" ca="1" si="972"/>
        <v>0</v>
      </c>
      <c r="EB206" s="110"/>
      <c r="EC206" s="80" t="s">
        <v>2733</v>
      </c>
      <c r="ED206" s="73">
        <f t="shared" ca="1" si="972"/>
        <v>0</v>
      </c>
      <c r="EE206" s="110"/>
      <c r="EF206" s="80" t="s">
        <v>2744</v>
      </c>
      <c r="EG206" s="73">
        <f t="shared" ca="1" si="972"/>
        <v>0</v>
      </c>
      <c r="EH206" s="110"/>
      <c r="EI206" s="80" t="s">
        <v>2081</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51"/>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2024</v>
      </c>
      <c r="W207" s="85">
        <f t="shared" ca="1" si="950"/>
        <v>0</v>
      </c>
      <c r="X207" s="110"/>
      <c r="Y207" s="80" t="s">
        <v>2058</v>
      </c>
      <c r="Z207" s="85">
        <f t="shared" ca="1" si="950"/>
        <v>0</v>
      </c>
      <c r="AA207" s="110"/>
      <c r="AB207" s="80" t="s">
        <v>2082</v>
      </c>
      <c r="AC207" s="85">
        <f t="shared" ca="1" si="950"/>
        <v>0</v>
      </c>
      <c r="AD207" s="110"/>
      <c r="AE207" s="80" t="s">
        <v>2111</v>
      </c>
      <c r="AF207" s="85">
        <f t="shared" ca="1" si="950"/>
        <v>2</v>
      </c>
      <c r="AG207" s="110"/>
      <c r="AH207" s="80" t="s">
        <v>2082</v>
      </c>
      <c r="AI207" s="85">
        <f t="shared" ca="1" si="950"/>
        <v>0</v>
      </c>
      <c r="AJ207" s="110"/>
      <c r="AK207" s="80" t="s">
        <v>2164</v>
      </c>
      <c r="AL207" s="85">
        <f t="shared" ca="1" si="950"/>
        <v>0</v>
      </c>
      <c r="AM207" s="110"/>
      <c r="AN207" s="80" t="s">
        <v>2196</v>
      </c>
      <c r="AO207" s="85">
        <f t="shared" ca="1" si="950"/>
        <v>0</v>
      </c>
      <c r="AP207" s="110"/>
      <c r="AQ207" s="80" t="s">
        <v>2223</v>
      </c>
      <c r="AR207" s="85">
        <f t="shared" ca="1" si="950"/>
        <v>0</v>
      </c>
      <c r="AS207" s="110"/>
      <c r="AT207" s="80" t="s">
        <v>2244</v>
      </c>
      <c r="AU207" s="85">
        <f t="shared" ca="1" si="950"/>
        <v>0</v>
      </c>
      <c r="AV207" s="110"/>
      <c r="AW207" s="80" t="s">
        <v>2269</v>
      </c>
      <c r="AX207" s="85">
        <f t="shared" ca="1" si="950"/>
        <v>0</v>
      </c>
      <c r="AY207" s="110"/>
      <c r="AZ207" s="80" t="s">
        <v>2290</v>
      </c>
      <c r="BA207" s="85">
        <f t="shared" ca="1" si="950"/>
        <v>0</v>
      </c>
      <c r="BB207" s="110"/>
      <c r="BC207" s="80" t="s">
        <v>2223</v>
      </c>
      <c r="BD207" s="85">
        <f t="shared" ca="1" si="950"/>
        <v>0</v>
      </c>
      <c r="BE207" s="110"/>
      <c r="BF207" s="80" t="s">
        <v>2024</v>
      </c>
      <c r="BG207" s="85">
        <f t="shared" ca="1" si="950"/>
        <v>0</v>
      </c>
      <c r="BH207" s="110"/>
      <c r="BI207" s="80" t="s">
        <v>2164</v>
      </c>
      <c r="BJ207" s="85">
        <f t="shared" ca="1" si="950"/>
        <v>0</v>
      </c>
      <c r="BK207" s="110"/>
      <c r="BL207" s="80" t="s">
        <v>2164</v>
      </c>
      <c r="BM207" s="85">
        <f t="shared" ca="1" si="950"/>
        <v>0</v>
      </c>
      <c r="BN207" s="110"/>
      <c r="BO207" s="80" t="s">
        <v>2164</v>
      </c>
      <c r="BP207" s="85">
        <f t="shared" ca="1" si="950"/>
        <v>0</v>
      </c>
      <c r="BQ207" s="110"/>
      <c r="BR207" s="80" t="s">
        <v>2396</v>
      </c>
      <c r="BS207" s="85">
        <f t="shared" ca="1" si="950"/>
        <v>0</v>
      </c>
      <c r="BT207" s="110"/>
      <c r="BU207" s="80" t="s">
        <v>2396</v>
      </c>
      <c r="BV207" s="85">
        <f t="shared" ca="1" si="950"/>
        <v>0</v>
      </c>
      <c r="BW207" s="110"/>
      <c r="BX207" s="80" t="s">
        <v>2434</v>
      </c>
      <c r="BY207" s="85">
        <f t="shared" ca="1" si="950"/>
        <v>0</v>
      </c>
      <c r="BZ207" s="110"/>
      <c r="CA207" s="80" t="s">
        <v>2453</v>
      </c>
      <c r="CB207" s="85">
        <f t="shared" ca="1" si="950"/>
        <v>0</v>
      </c>
      <c r="CC207" s="110"/>
      <c r="CD207" s="80" t="s">
        <v>2244</v>
      </c>
      <c r="CE207" s="85">
        <f t="shared" ca="1" si="950"/>
        <v>0</v>
      </c>
      <c r="CF207" s="110"/>
      <c r="CG207" s="80" t="s">
        <v>2491</v>
      </c>
      <c r="CH207" s="85">
        <f t="shared" ca="1" si="950"/>
        <v>0</v>
      </c>
      <c r="CI207" s="110"/>
      <c r="CJ207" s="80" t="s">
        <v>2024</v>
      </c>
      <c r="CK207" s="85">
        <f t="shared" ca="1" si="972"/>
        <v>0</v>
      </c>
      <c r="CL207" s="110"/>
      <c r="CM207" s="80" t="s">
        <v>2164</v>
      </c>
      <c r="CN207" s="85">
        <f t="shared" ca="1" si="972"/>
        <v>0</v>
      </c>
      <c r="CO207" s="110"/>
      <c r="CP207" s="80" t="s">
        <v>2164</v>
      </c>
      <c r="CQ207" s="85">
        <f t="shared" ca="1" si="972"/>
        <v>0</v>
      </c>
      <c r="CR207" s="110"/>
      <c r="CS207" s="80" t="s">
        <v>2024</v>
      </c>
      <c r="CT207" s="85">
        <f t="shared" ca="1" si="972"/>
        <v>0</v>
      </c>
      <c r="CU207" s="110"/>
      <c r="CV207" s="80" t="s">
        <v>2082</v>
      </c>
      <c r="CW207" s="85">
        <f t="shared" ca="1" si="972"/>
        <v>0</v>
      </c>
      <c r="CX207" s="110"/>
      <c r="CY207" s="80" t="s">
        <v>2572</v>
      </c>
      <c r="CZ207" s="85">
        <f t="shared" ca="1" si="972"/>
        <v>0</v>
      </c>
      <c r="DA207" s="110"/>
      <c r="DB207" s="80" t="s">
        <v>2164</v>
      </c>
      <c r="DC207" s="85">
        <f t="shared" ca="1" si="972"/>
        <v>0</v>
      </c>
      <c r="DD207" s="110"/>
      <c r="DE207" s="80" t="s">
        <v>2164</v>
      </c>
      <c r="DF207" s="85">
        <f t="shared" ca="1" si="972"/>
        <v>0</v>
      </c>
      <c r="DG207" s="110"/>
      <c r="DH207" s="80" t="s">
        <v>2164</v>
      </c>
      <c r="DI207" s="85">
        <f t="shared" ca="1" si="972"/>
        <v>0</v>
      </c>
      <c r="DJ207" s="110"/>
      <c r="DK207" s="80" t="s">
        <v>2396</v>
      </c>
      <c r="DL207" s="85">
        <f t="shared" ca="1" si="972"/>
        <v>0</v>
      </c>
      <c r="DM207" s="110"/>
      <c r="DN207" s="797" t="s">
        <v>2396</v>
      </c>
      <c r="DO207" s="85">
        <f t="shared" ca="1" si="972"/>
        <v>0</v>
      </c>
      <c r="DP207" s="110"/>
      <c r="DQ207" s="797" t="s">
        <v>2164</v>
      </c>
      <c r="DR207" s="85">
        <f t="shared" ca="1" si="972"/>
        <v>0</v>
      </c>
      <c r="DS207" s="110"/>
      <c r="DT207" s="80" t="s">
        <v>2690</v>
      </c>
      <c r="DU207" s="85">
        <f t="shared" ca="1" si="972"/>
        <v>0</v>
      </c>
      <c r="DV207" s="110"/>
      <c r="DW207" s="80" t="s">
        <v>2223</v>
      </c>
      <c r="DX207" s="85">
        <f t="shared" ca="1" si="972"/>
        <v>0</v>
      </c>
      <c r="DY207" s="110"/>
      <c r="DZ207" s="80" t="s">
        <v>2491</v>
      </c>
      <c r="EA207" s="85">
        <f t="shared" ca="1" si="972"/>
        <v>0</v>
      </c>
      <c r="EB207" s="110"/>
      <c r="EC207" s="80" t="s">
        <v>2164</v>
      </c>
      <c r="ED207" s="85">
        <f t="shared" ca="1" si="972"/>
        <v>0</v>
      </c>
      <c r="EE207" s="110"/>
      <c r="EF207" s="80" t="s">
        <v>2164</v>
      </c>
      <c r="EG207" s="85">
        <f t="shared" ca="1" si="972"/>
        <v>0</v>
      </c>
      <c r="EH207" s="110"/>
      <c r="EI207" s="80" t="s">
        <v>2223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51"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2025</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2059</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2083</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2112</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2118</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2165</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2165</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2145</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2083</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2165</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2291</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2316</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2339</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2355</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2375</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2112</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2145</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2417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2435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2454</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2474</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2355</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2339</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2517</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2145</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2435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2375</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2573</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2375</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2600</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2355</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2118</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2025</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2667</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2339</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2600</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2600</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2745</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2375</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1201">SUM($D$24:$D$26)*I221</f>
        <v>4</v>
      </c>
      <c r="G221" s="407">
        <f ca="1">VLOOKUP(H221,Equipos!$Q$1:$R$25,2,0)</f>
        <v>22</v>
      </c>
      <c r="H221" s="65" t="str">
        <f>Idiomas!$D$262</f>
        <v>Cuartos de final</v>
      </c>
      <c r="I221" s="43">
        <v>1</v>
      </c>
      <c r="J221" s="851"/>
      <c r="K221" s="56" t="str">
        <f ca="1">CONCATENATE(WORLDCUP!AA132,"-",WORLDCUP!AF132)</f>
        <v>España-Bélgica</v>
      </c>
      <c r="L221" s="53">
        <f>IF(OR(WORLDCUP!AC132="",WORLDCUP!AD132=""),"PD",IF(WORLDCUP!AC132&gt;WORLDCUP!AD132,1,IF(WORLDCUP!AC132&lt;WORLDCUP!AD132,2,0)))</f>
        <v>1</v>
      </c>
      <c r="M221" s="55" t="str">
        <f t="shared" si="1150"/>
        <v>2-1</v>
      </c>
      <c r="N221" s="25">
        <f>WORLDCUP!AC132</f>
        <v>2</v>
      </c>
      <c r="O221" s="25">
        <f>WORLDCUP!AD132</f>
        <v>1</v>
      </c>
      <c r="P221" s="25">
        <f t="shared" si="1151"/>
        <v>1</v>
      </c>
      <c r="Q221" s="25">
        <f>+A221-B221</f>
        <v>-1</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2026</v>
      </c>
      <c r="W221" s="77">
        <f t="shared" ca="1" si="1152"/>
        <v>0</v>
      </c>
      <c r="X221" s="110"/>
      <c r="Y221" s="74" t="s">
        <v>2060</v>
      </c>
      <c r="Z221" s="77">
        <f t="shared" ca="1" si="1152"/>
        <v>1</v>
      </c>
      <c r="AA221" s="110"/>
      <c r="AB221" s="74" t="s">
        <v>2084</v>
      </c>
      <c r="AC221" s="77">
        <f t="shared" ca="1" si="1152"/>
        <v>0</v>
      </c>
      <c r="AD221" s="110"/>
      <c r="AE221" s="74" t="s">
        <v>2113</v>
      </c>
      <c r="AF221" s="77">
        <f t="shared" ca="1" si="1152"/>
        <v>1</v>
      </c>
      <c r="AG221" s="110"/>
      <c r="AH221" s="74" t="s">
        <v>2140</v>
      </c>
      <c r="AI221" s="77">
        <f t="shared" ca="1" si="1152"/>
        <v>2</v>
      </c>
      <c r="AJ221" s="110"/>
      <c r="AK221" s="74" t="s">
        <v>2166</v>
      </c>
      <c r="AL221" s="77">
        <f t="shared" ca="1" si="1152"/>
        <v>0</v>
      </c>
      <c r="AM221" s="110"/>
      <c r="AN221" s="74" t="s">
        <v>2197</v>
      </c>
      <c r="AO221" s="77">
        <f t="shared" ca="1" si="1152"/>
        <v>0</v>
      </c>
      <c r="AP221" s="110"/>
      <c r="AQ221" s="74" t="s">
        <v>2060</v>
      </c>
      <c r="AR221" s="77">
        <f t="shared" ca="1" si="1152"/>
        <v>1</v>
      </c>
      <c r="AS221" s="110"/>
      <c r="AT221" s="74" t="s">
        <v>2245</v>
      </c>
      <c r="AU221" s="77">
        <f t="shared" ca="1" si="1152"/>
        <v>0</v>
      </c>
      <c r="AV221" s="110"/>
      <c r="AW221" s="74" t="s">
        <v>2270</v>
      </c>
      <c r="AX221" s="77">
        <f t="shared" ca="1" si="1152"/>
        <v>0</v>
      </c>
      <c r="AY221" s="110"/>
      <c r="AZ221" s="74" t="s">
        <v>2084</v>
      </c>
      <c r="BA221" s="77">
        <f t="shared" ca="1" si="1152"/>
        <v>0</v>
      </c>
      <c r="BB221" s="110"/>
      <c r="BC221" s="74" t="s">
        <v>2060</v>
      </c>
      <c r="BD221" s="77">
        <f t="shared" ca="1" si="1152"/>
        <v>1</v>
      </c>
      <c r="BE221" s="110"/>
      <c r="BF221" s="74" t="s">
        <v>2060</v>
      </c>
      <c r="BG221" s="77">
        <f t="shared" ca="1" si="1152"/>
        <v>1</v>
      </c>
      <c r="BH221" s="110"/>
      <c r="BI221" s="74" t="s">
        <v>2356</v>
      </c>
      <c r="BJ221" s="77">
        <f t="shared" ca="1" si="1152"/>
        <v>0</v>
      </c>
      <c r="BK221" s="110"/>
      <c r="BL221" s="74" t="s">
        <v>2376</v>
      </c>
      <c r="BM221" s="77">
        <f t="shared" ca="1" si="1152"/>
        <v>4</v>
      </c>
      <c r="BN221" s="110"/>
      <c r="BO221" s="74" t="s">
        <v>2386</v>
      </c>
      <c r="BP221" s="77">
        <f t="shared" ca="1" si="1152"/>
        <v>0</v>
      </c>
      <c r="BQ221" s="110"/>
      <c r="BR221" s="74" t="s">
        <v>2397</v>
      </c>
      <c r="BS221" s="77">
        <f t="shared" ca="1" si="1152"/>
        <v>0</v>
      </c>
      <c r="BT221" s="110"/>
      <c r="BU221" s="74" t="s">
        <v>2418</v>
      </c>
      <c r="BV221" s="77">
        <f t="shared" ca="1" si="1152"/>
        <v>1</v>
      </c>
      <c r="BW221" s="110"/>
      <c r="BX221" s="74" t="s">
        <v>2436</v>
      </c>
      <c r="BY221" s="77">
        <f t="shared" ca="1" si="1152"/>
        <v>0</v>
      </c>
      <c r="BZ221" s="110"/>
      <c r="CA221" s="74" t="s">
        <v>2455</v>
      </c>
      <c r="CB221" s="77">
        <f t="shared" ca="1" si="1152"/>
        <v>1</v>
      </c>
      <c r="CC221" s="110"/>
      <c r="CD221" s="74" t="s">
        <v>2245</v>
      </c>
      <c r="CE221" s="77">
        <f t="shared" ca="1" si="1152"/>
        <v>0</v>
      </c>
      <c r="CF221" s="110"/>
      <c r="CG221" s="74" t="s">
        <v>2026</v>
      </c>
      <c r="CH221" s="77">
        <f t="shared" ca="1" si="1152"/>
        <v>0</v>
      </c>
      <c r="CI221" s="110"/>
      <c r="CJ221" s="74" t="s">
        <v>2376</v>
      </c>
      <c r="CK221" s="77">
        <f t="shared" ca="1" si="1174"/>
        <v>4</v>
      </c>
      <c r="CL221" s="110"/>
      <c r="CM221" s="74" t="s">
        <v>2518</v>
      </c>
      <c r="CN221" s="77">
        <f t="shared" ca="1" si="1174"/>
        <v>0</v>
      </c>
      <c r="CO221" s="110"/>
      <c r="CP221" s="74" t="s">
        <v>2535</v>
      </c>
      <c r="CQ221" s="77">
        <f t="shared" ca="1" si="1174"/>
        <v>0</v>
      </c>
      <c r="CR221" s="110"/>
      <c r="CS221" s="74" t="s">
        <v>2376</v>
      </c>
      <c r="CT221" s="77">
        <f t="shared" ca="1" si="1174"/>
        <v>4</v>
      </c>
      <c r="CU221" s="110"/>
      <c r="CV221" s="74" t="s">
        <v>2551</v>
      </c>
      <c r="CW221" s="77">
        <f t="shared" ca="1" si="1174"/>
        <v>2</v>
      </c>
      <c r="CX221" s="110"/>
      <c r="CY221" s="74" t="s">
        <v>2376</v>
      </c>
      <c r="CZ221" s="77">
        <f t="shared" ca="1" si="1174"/>
        <v>4</v>
      </c>
      <c r="DA221" s="110"/>
      <c r="DB221" s="74" t="s">
        <v>2060</v>
      </c>
      <c r="DC221" s="77">
        <f t="shared" ca="1" si="1174"/>
        <v>1</v>
      </c>
      <c r="DD221" s="110"/>
      <c r="DE221" s="74" t="s">
        <v>2601</v>
      </c>
      <c r="DF221" s="77">
        <f t="shared" ca="1" si="1174"/>
        <v>0</v>
      </c>
      <c r="DG221" s="110"/>
      <c r="DH221" s="74" t="s">
        <v>2386</v>
      </c>
      <c r="DI221" s="77">
        <f t="shared" ca="1" si="1174"/>
        <v>0</v>
      </c>
      <c r="DJ221" s="110"/>
      <c r="DK221" s="74" t="s">
        <v>2397</v>
      </c>
      <c r="DL221" s="77">
        <f t="shared" ca="1" si="1174"/>
        <v>0</v>
      </c>
      <c r="DM221" s="110"/>
      <c r="DN221" s="795" t="s">
        <v>2386</v>
      </c>
      <c r="DO221" s="77">
        <f t="shared" ca="1" si="1174"/>
        <v>0</v>
      </c>
      <c r="DP221" s="110"/>
      <c r="DQ221" s="795" t="s">
        <v>2668</v>
      </c>
      <c r="DR221" s="77">
        <f t="shared" ca="1" si="1174"/>
        <v>1</v>
      </c>
      <c r="DS221" s="110"/>
      <c r="DT221" s="74" t="s">
        <v>2060</v>
      </c>
      <c r="DU221" s="77">
        <f t="shared" ca="1" si="1174"/>
        <v>1</v>
      </c>
      <c r="DV221" s="110"/>
      <c r="DW221" s="74" t="s">
        <v>2707</v>
      </c>
      <c r="DX221" s="77">
        <f t="shared" ca="1" si="1174"/>
        <v>0</v>
      </c>
      <c r="DY221" s="110"/>
      <c r="DZ221" s="74" t="s">
        <v>2722</v>
      </c>
      <c r="EA221" s="77">
        <f t="shared" ca="1" si="1174"/>
        <v>0</v>
      </c>
      <c r="EB221" s="110"/>
      <c r="EC221" s="74" t="s">
        <v>2386</v>
      </c>
      <c r="ED221" s="77">
        <f t="shared" ca="1" si="1174"/>
        <v>0</v>
      </c>
      <c r="EE221" s="110"/>
      <c r="EF221" s="74" t="s">
        <v>2746</v>
      </c>
      <c r="EG221" s="77">
        <f t="shared" ca="1" si="1174"/>
        <v>0</v>
      </c>
      <c r="EH221" s="110"/>
      <c r="EI221" s="74" t="s">
        <v>2084</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1201"/>
        <v>4</v>
      </c>
      <c r="G222" s="407">
        <f ca="1">VLOOKUP(H222,Equipos!$Q$1:$R$25,2,0)</f>
        <v>22</v>
      </c>
      <c r="H222" s="65" t="str">
        <f>Idiomas!$D$262</f>
        <v>Cuartos de final</v>
      </c>
      <c r="I222" s="43">
        <v>1</v>
      </c>
      <c r="J222" s="851"/>
      <c r="K222" s="56" t="str">
        <f ca="1">CONCATENATE(WORLDCUP!AA133,"-",WORLDCUP!AF133)</f>
        <v>Noruega-Inglaterra</v>
      </c>
      <c r="L222" s="53">
        <f>IF(OR(WORLDCUP!AC133="",WORLDCUP!AD133=""),"PD",IF(WORLDCUP!AC133&gt;WORLDCUP!AD133,1,IF(WORLDCUP!AC133&lt;WORLDCUP!AD133,2,0)))</f>
        <v>2</v>
      </c>
      <c r="M222" s="55" t="str">
        <f t="shared" si="1150"/>
        <v>1-2</v>
      </c>
      <c r="N222" s="25">
        <f>WORLDCUP!AC133</f>
        <v>1</v>
      </c>
      <c r="O222" s="25">
        <f>WORLDCUP!AD133</f>
        <v>2</v>
      </c>
      <c r="P222" s="25">
        <f t="shared" si="1151"/>
        <v>-1</v>
      </c>
      <c r="Q222" s="25">
        <f>+A222-B222</f>
        <v>1</v>
      </c>
      <c r="R222" s="110"/>
      <c r="S222" s="74" t="s">
        <v>1990</v>
      </c>
      <c r="T222" s="77">
        <f t="shared" ca="1" si="1202"/>
        <v>0</v>
      </c>
      <c r="U222" s="110"/>
      <c r="V222" s="74" t="s">
        <v>2027</v>
      </c>
      <c r="W222" s="77">
        <f t="shared" ca="1" si="1152"/>
        <v>0</v>
      </c>
      <c r="X222" s="110"/>
      <c r="Y222" s="74" t="s">
        <v>2061</v>
      </c>
      <c r="Z222" s="77">
        <f t="shared" ca="1" si="1152"/>
        <v>0</v>
      </c>
      <c r="AA222" s="110"/>
      <c r="AB222" s="74" t="s">
        <v>2085</v>
      </c>
      <c r="AC222" s="77">
        <f t="shared" ca="1" si="1152"/>
        <v>0</v>
      </c>
      <c r="AD222" s="110"/>
      <c r="AE222" s="74" t="s">
        <v>2061</v>
      </c>
      <c r="AF222" s="77">
        <f t="shared" ca="1" si="1152"/>
        <v>0</v>
      </c>
      <c r="AG222" s="110"/>
      <c r="AH222" s="74" t="s">
        <v>2141</v>
      </c>
      <c r="AI222" s="77">
        <f t="shared" ca="1" si="1152"/>
        <v>0</v>
      </c>
      <c r="AJ222" s="110"/>
      <c r="AK222" s="74" t="s">
        <v>2167</v>
      </c>
      <c r="AL222" s="77">
        <f t="shared" ca="1" si="1152"/>
        <v>0</v>
      </c>
      <c r="AM222" s="110"/>
      <c r="AN222" s="74" t="s">
        <v>2198</v>
      </c>
      <c r="AO222" s="77">
        <f t="shared" ca="1" si="1152"/>
        <v>1</v>
      </c>
      <c r="AP222" s="110"/>
      <c r="AQ222" s="74" t="s">
        <v>2085</v>
      </c>
      <c r="AR222" s="77">
        <f t="shared" ca="1" si="1152"/>
        <v>0</v>
      </c>
      <c r="AS222" s="110"/>
      <c r="AT222" s="74" t="s">
        <v>2085</v>
      </c>
      <c r="AU222" s="77">
        <f t="shared" ca="1" si="1152"/>
        <v>0</v>
      </c>
      <c r="AV222" s="110"/>
      <c r="AW222" s="74" t="s">
        <v>2271</v>
      </c>
      <c r="AX222" s="77">
        <f t="shared" ca="1" si="1152"/>
        <v>0</v>
      </c>
      <c r="AY222" s="110"/>
      <c r="AZ222" s="74" t="s">
        <v>2292</v>
      </c>
      <c r="BA222" s="77">
        <f t="shared" ca="1" si="1152"/>
        <v>0</v>
      </c>
      <c r="BB222" s="110"/>
      <c r="BC222" s="74" t="s">
        <v>2317</v>
      </c>
      <c r="BD222" s="77">
        <f t="shared" ca="1" si="1152"/>
        <v>0</v>
      </c>
      <c r="BE222" s="110"/>
      <c r="BF222" s="74" t="s">
        <v>2085</v>
      </c>
      <c r="BG222" s="77">
        <f t="shared" ca="1" si="1152"/>
        <v>0</v>
      </c>
      <c r="BH222" s="110"/>
      <c r="BI222" s="74" t="s">
        <v>2357</v>
      </c>
      <c r="BJ222" s="77">
        <f t="shared" ca="1" si="1152"/>
        <v>0</v>
      </c>
      <c r="BK222" s="110"/>
      <c r="BL222" s="74" t="s">
        <v>2085</v>
      </c>
      <c r="BM222" s="77">
        <f t="shared" ca="1" si="1152"/>
        <v>0</v>
      </c>
      <c r="BN222" s="110"/>
      <c r="BO222" s="74" t="s">
        <v>2085</v>
      </c>
      <c r="BP222" s="77">
        <f t="shared" ca="1" si="1152"/>
        <v>0</v>
      </c>
      <c r="BQ222" s="110"/>
      <c r="BR222" s="74" t="s">
        <v>2061</v>
      </c>
      <c r="BS222" s="77">
        <f t="shared" ca="1" si="1152"/>
        <v>0</v>
      </c>
      <c r="BT222" s="110"/>
      <c r="BU222" s="74" t="s">
        <v>1990</v>
      </c>
      <c r="BV222" s="77">
        <f t="shared" ca="1" si="1152"/>
        <v>0</v>
      </c>
      <c r="BW222" s="110"/>
      <c r="BX222" s="74" t="s">
        <v>2027</v>
      </c>
      <c r="BY222" s="77">
        <f t="shared" ca="1" si="1152"/>
        <v>0</v>
      </c>
      <c r="BZ222" s="110"/>
      <c r="CA222" s="74" t="s">
        <v>2456</v>
      </c>
      <c r="CB222" s="77">
        <f t="shared" ca="1" si="1152"/>
        <v>0</v>
      </c>
      <c r="CC222" s="110"/>
      <c r="CD222" s="74" t="s">
        <v>2475</v>
      </c>
      <c r="CE222" s="77">
        <f t="shared" ca="1" si="1152"/>
        <v>0</v>
      </c>
      <c r="CF222" s="110"/>
      <c r="CG222" s="74" t="s">
        <v>2492</v>
      </c>
      <c r="CH222" s="77">
        <f t="shared" ca="1" si="1152"/>
        <v>0</v>
      </c>
      <c r="CI222" s="110"/>
      <c r="CJ222" s="74" t="s">
        <v>1990</v>
      </c>
      <c r="CK222" s="77">
        <f t="shared" ca="1" si="1174"/>
        <v>0</v>
      </c>
      <c r="CL222" s="110"/>
      <c r="CM222" s="74" t="s">
        <v>2519</v>
      </c>
      <c r="CN222" s="77">
        <f t="shared" ca="1" si="1174"/>
        <v>0</v>
      </c>
      <c r="CO222" s="110"/>
      <c r="CP222" s="74" t="s">
        <v>1990</v>
      </c>
      <c r="CQ222" s="77">
        <f t="shared" ca="1" si="1174"/>
        <v>0</v>
      </c>
      <c r="CR222" s="110"/>
      <c r="CS222" s="74" t="s">
        <v>2357</v>
      </c>
      <c r="CT222" s="77">
        <f t="shared" ca="1" si="1174"/>
        <v>0</v>
      </c>
      <c r="CU222" s="110"/>
      <c r="CV222" s="74" t="s">
        <v>1990</v>
      </c>
      <c r="CW222" s="77">
        <f t="shared" ca="1" si="1174"/>
        <v>0</v>
      </c>
      <c r="CX222" s="110"/>
      <c r="CY222" s="74" t="s">
        <v>2574</v>
      </c>
      <c r="CZ222" s="77">
        <f t="shared" ca="1" si="1174"/>
        <v>2</v>
      </c>
      <c r="DA222" s="110"/>
      <c r="DB222" s="74" t="s">
        <v>2585</v>
      </c>
      <c r="DC222" s="77">
        <f t="shared" ca="1" si="1174"/>
        <v>0</v>
      </c>
      <c r="DD222" s="110"/>
      <c r="DE222" s="74" t="s">
        <v>2107</v>
      </c>
      <c r="DF222" s="77">
        <f t="shared" ca="1" si="1174"/>
        <v>0</v>
      </c>
      <c r="DG222" s="110"/>
      <c r="DH222" s="74" t="s">
        <v>2617</v>
      </c>
      <c r="DI222" s="77">
        <f t="shared" ca="1" si="1174"/>
        <v>0</v>
      </c>
      <c r="DJ222" s="110"/>
      <c r="DK222" s="74" t="s">
        <v>2390</v>
      </c>
      <c r="DL222" s="77">
        <f t="shared" ca="1" si="1174"/>
        <v>0</v>
      </c>
      <c r="DM222" s="110"/>
      <c r="DN222" s="795" t="s">
        <v>2492</v>
      </c>
      <c r="DO222" s="77">
        <f t="shared" ca="1" si="1174"/>
        <v>0</v>
      </c>
      <c r="DP222" s="110"/>
      <c r="DQ222" s="795" t="s">
        <v>2669</v>
      </c>
      <c r="DR222" s="77">
        <f t="shared" ca="1" si="1174"/>
        <v>0</v>
      </c>
      <c r="DS222" s="110"/>
      <c r="DT222" s="74" t="s">
        <v>2691</v>
      </c>
      <c r="DU222" s="77">
        <f t="shared" ca="1" si="1174"/>
        <v>0</v>
      </c>
      <c r="DV222" s="110"/>
      <c r="DW222" s="74" t="s">
        <v>2708</v>
      </c>
      <c r="DX222" s="77">
        <f t="shared" ca="1" si="1174"/>
        <v>4</v>
      </c>
      <c r="DY222" s="110"/>
      <c r="DZ222" s="74" t="s">
        <v>2723</v>
      </c>
      <c r="EA222" s="77">
        <f t="shared" ca="1" si="1174"/>
        <v>0</v>
      </c>
      <c r="EB222" s="110"/>
      <c r="EC222" s="74" t="s">
        <v>2617</v>
      </c>
      <c r="ED222" s="77">
        <f t="shared" ca="1" si="1174"/>
        <v>0</v>
      </c>
      <c r="EE222" s="110"/>
      <c r="EF222" s="74" t="s">
        <v>2027</v>
      </c>
      <c r="EG222" s="77">
        <f t="shared" ca="1" si="1174"/>
        <v>0</v>
      </c>
      <c r="EH222" s="110"/>
      <c r="EI222" s="74" t="s">
        <v>2271</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1201"/>
        <v>4</v>
      </c>
      <c r="G223" s="407">
        <f ca="1">VLOOKUP(H223,Equipos!$Q$1:$R$25,2,0)</f>
        <v>22</v>
      </c>
      <c r="H223" s="65" t="str">
        <f>Idiomas!$D$262</f>
        <v>Cuartos de final</v>
      </c>
      <c r="I223" s="43">
        <v>1</v>
      </c>
      <c r="J223" s="851"/>
      <c r="K223" s="115" t="str">
        <f ca="1">CONCATENATE(WORLDCUP!AA134,"-",WORLDCUP!AF134)</f>
        <v>Argentina-Suiza</v>
      </c>
      <c r="L223" s="115">
        <f>IF(OR(WORLDCUP!AC134="",WORLDCUP!AD134=""),"PD",IF(WORLDCUP!AC134&gt;WORLDCUP!AD134,1,IF(WORLDCUP!AC134&lt;WORLDCUP!AD134,2,0)))</f>
        <v>1</v>
      </c>
      <c r="M223" s="116" t="str">
        <f t="shared" si="1150"/>
        <v>3-1</v>
      </c>
      <c r="N223" s="25">
        <f>WORLDCUP!AC134</f>
        <v>3</v>
      </c>
      <c r="O223" s="25">
        <f>WORLDCUP!AD134</f>
        <v>1</v>
      </c>
      <c r="P223" s="25">
        <f t="shared" si="1151"/>
        <v>2</v>
      </c>
      <c r="Q223" s="25">
        <f>+A223-B223</f>
        <v>-2</v>
      </c>
      <c r="R223" s="110"/>
      <c r="S223" s="80" t="s">
        <v>1991</v>
      </c>
      <c r="T223" s="81">
        <f t="shared" ca="1" si="1202"/>
        <v>0</v>
      </c>
      <c r="U223" s="110"/>
      <c r="V223" s="80" t="s">
        <v>2028</v>
      </c>
      <c r="W223" s="81">
        <f t="shared" ca="1" si="1152"/>
        <v>0</v>
      </c>
      <c r="X223" s="110"/>
      <c r="Y223" s="80" t="s">
        <v>2028</v>
      </c>
      <c r="Z223" s="81">
        <f t="shared" ca="1" si="1152"/>
        <v>0</v>
      </c>
      <c r="AA223" s="110"/>
      <c r="AB223" s="80" t="s">
        <v>2086</v>
      </c>
      <c r="AC223" s="81">
        <f t="shared" ca="1" si="1152"/>
        <v>0</v>
      </c>
      <c r="AD223" s="110"/>
      <c r="AE223" s="80" t="s">
        <v>2114</v>
      </c>
      <c r="AF223" s="81">
        <f t="shared" ca="1" si="1152"/>
        <v>0</v>
      </c>
      <c r="AG223" s="110"/>
      <c r="AH223" s="80" t="s">
        <v>2142</v>
      </c>
      <c r="AI223" s="81">
        <f t="shared" ca="1" si="1152"/>
        <v>0</v>
      </c>
      <c r="AJ223" s="110"/>
      <c r="AK223" s="80" t="s">
        <v>2168</v>
      </c>
      <c r="AL223" s="81">
        <f t="shared" ca="1" si="1152"/>
        <v>0</v>
      </c>
      <c r="AM223" s="110"/>
      <c r="AN223" s="80" t="s">
        <v>2199</v>
      </c>
      <c r="AO223" s="81">
        <f t="shared" ca="1" si="1152"/>
        <v>0</v>
      </c>
      <c r="AP223" s="110"/>
      <c r="AQ223" s="80" t="s">
        <v>2224</v>
      </c>
      <c r="AR223" s="81">
        <f t="shared" ca="1" si="1152"/>
        <v>0</v>
      </c>
      <c r="AS223" s="110"/>
      <c r="AT223" s="80" t="s">
        <v>2246</v>
      </c>
      <c r="AU223" s="81">
        <f t="shared" ca="1" si="1152"/>
        <v>0</v>
      </c>
      <c r="AV223" s="110"/>
      <c r="AW223" s="80" t="s">
        <v>2272</v>
      </c>
      <c r="AX223" s="81">
        <f t="shared" ca="1" si="1152"/>
        <v>0</v>
      </c>
      <c r="AY223" s="110"/>
      <c r="AZ223" s="80" t="s">
        <v>2168</v>
      </c>
      <c r="BA223" s="81">
        <f t="shared" ca="1" si="1152"/>
        <v>0</v>
      </c>
      <c r="BB223" s="110"/>
      <c r="BC223" s="80" t="s">
        <v>2028</v>
      </c>
      <c r="BD223" s="81">
        <f t="shared" ca="1" si="1152"/>
        <v>0</v>
      </c>
      <c r="BE223" s="110"/>
      <c r="BF223" s="80" t="s">
        <v>2340</v>
      </c>
      <c r="BG223" s="81">
        <f t="shared" ca="1" si="1152"/>
        <v>0</v>
      </c>
      <c r="BH223" s="110"/>
      <c r="BI223" s="80" t="s">
        <v>2086</v>
      </c>
      <c r="BJ223" s="81">
        <f t="shared" ca="1" si="1152"/>
        <v>0</v>
      </c>
      <c r="BK223" s="110"/>
      <c r="BL223" s="80" t="s">
        <v>2340</v>
      </c>
      <c r="BM223" s="81">
        <f t="shared" ca="1" si="1152"/>
        <v>0</v>
      </c>
      <c r="BN223" s="110"/>
      <c r="BO223" s="80" t="s">
        <v>2168</v>
      </c>
      <c r="BP223" s="81">
        <f t="shared" ca="1" si="1152"/>
        <v>0</v>
      </c>
      <c r="BQ223" s="110"/>
      <c r="BR223" s="80" t="s">
        <v>2398</v>
      </c>
      <c r="BS223" s="81">
        <f t="shared" ca="1" si="1152"/>
        <v>0</v>
      </c>
      <c r="BT223" s="110"/>
      <c r="BU223" s="80" t="s">
        <v>2419</v>
      </c>
      <c r="BV223" s="81">
        <f t="shared" ca="1" si="1152"/>
        <v>0</v>
      </c>
      <c r="BW223" s="110"/>
      <c r="BX223" s="80" t="s">
        <v>2437</v>
      </c>
      <c r="BY223" s="81">
        <f t="shared" ca="1" si="1152"/>
        <v>0</v>
      </c>
      <c r="BZ223" s="110"/>
      <c r="CA223" s="80" t="s">
        <v>2457</v>
      </c>
      <c r="CB223" s="81">
        <f t="shared" ca="1" si="1152"/>
        <v>0</v>
      </c>
      <c r="CC223" s="110"/>
      <c r="CD223" s="80" t="s">
        <v>2028</v>
      </c>
      <c r="CE223" s="81">
        <f t="shared" ca="1" si="1152"/>
        <v>0</v>
      </c>
      <c r="CF223" s="110"/>
      <c r="CG223" s="80" t="s">
        <v>2340</v>
      </c>
      <c r="CH223" s="81">
        <f t="shared" ca="1" si="1152"/>
        <v>0</v>
      </c>
      <c r="CI223" s="110"/>
      <c r="CJ223" s="80" t="s">
        <v>2168</v>
      </c>
      <c r="CK223" s="81">
        <f t="shared" ca="1" si="1174"/>
        <v>0</v>
      </c>
      <c r="CL223" s="110"/>
      <c r="CM223" s="80" t="s">
        <v>2028</v>
      </c>
      <c r="CN223" s="81">
        <f t="shared" ca="1" si="1174"/>
        <v>0</v>
      </c>
      <c r="CO223" s="110"/>
      <c r="CP223" s="80" t="s">
        <v>2168</v>
      </c>
      <c r="CQ223" s="81">
        <f t="shared" ca="1" si="1174"/>
        <v>0</v>
      </c>
      <c r="CR223" s="110"/>
      <c r="CS223" s="80" t="s">
        <v>2340</v>
      </c>
      <c r="CT223" s="81">
        <f t="shared" ca="1" si="1174"/>
        <v>0</v>
      </c>
      <c r="CU223" s="110"/>
      <c r="CV223" s="80" t="s">
        <v>2028</v>
      </c>
      <c r="CW223" s="81">
        <f t="shared" ca="1" si="1174"/>
        <v>0</v>
      </c>
      <c r="CX223" s="110"/>
      <c r="CY223" s="80" t="s">
        <v>2575</v>
      </c>
      <c r="CZ223" s="81">
        <f t="shared" ca="1" si="1174"/>
        <v>0</v>
      </c>
      <c r="DA223" s="110"/>
      <c r="DB223" s="80" t="s">
        <v>2457</v>
      </c>
      <c r="DC223" s="81">
        <f t="shared" ca="1" si="1174"/>
        <v>0</v>
      </c>
      <c r="DD223" s="110"/>
      <c r="DE223" s="80" t="s">
        <v>2602</v>
      </c>
      <c r="DF223" s="81">
        <f t="shared" ca="1" si="1174"/>
        <v>0</v>
      </c>
      <c r="DG223" s="110"/>
      <c r="DH223" s="80" t="s">
        <v>2419</v>
      </c>
      <c r="DI223" s="81">
        <f t="shared" ca="1" si="1174"/>
        <v>0</v>
      </c>
      <c r="DJ223" s="110"/>
      <c r="DK223" s="80" t="s">
        <v>2398</v>
      </c>
      <c r="DL223" s="81">
        <f t="shared" ca="1" si="1174"/>
        <v>0</v>
      </c>
      <c r="DM223" s="110"/>
      <c r="DN223" s="795" t="s">
        <v>2142</v>
      </c>
      <c r="DO223" s="81">
        <f t="shared" ca="1" si="1174"/>
        <v>0</v>
      </c>
      <c r="DP223" s="110"/>
      <c r="DQ223" s="795" t="s">
        <v>2419</v>
      </c>
      <c r="DR223" s="81">
        <f t="shared" ca="1" si="1174"/>
        <v>0</v>
      </c>
      <c r="DS223" s="110"/>
      <c r="DT223" s="80" t="s">
        <v>2692</v>
      </c>
      <c r="DU223" s="81">
        <f t="shared" ca="1" si="1174"/>
        <v>0</v>
      </c>
      <c r="DV223" s="110"/>
      <c r="DW223" s="80" t="s">
        <v>2709</v>
      </c>
      <c r="DX223" s="81">
        <f t="shared" ca="1" si="1174"/>
        <v>0</v>
      </c>
      <c r="DY223" s="110"/>
      <c r="DZ223" s="80" t="s">
        <v>2398</v>
      </c>
      <c r="EA223" s="81">
        <f t="shared" ca="1" si="1174"/>
        <v>0</v>
      </c>
      <c r="EB223" s="110"/>
      <c r="EC223" s="80" t="s">
        <v>2086</v>
      </c>
      <c r="ED223" s="81">
        <f t="shared" ca="1" si="1174"/>
        <v>0</v>
      </c>
      <c r="EE223" s="110"/>
      <c r="EF223" s="80" t="s">
        <v>2747</v>
      </c>
      <c r="EG223" s="81">
        <f t="shared" ca="1" si="1174"/>
        <v>0</v>
      </c>
      <c r="EH223" s="110"/>
      <c r="EI223" s="80" t="s">
        <v>2419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1</v>
      </c>
      <c r="AA224" s="65"/>
      <c r="AB224" s="84"/>
      <c r="AC224" s="71">
        <f t="shared" ref="AC224" ca="1" si="1205">SUM(AC220:AC223)</f>
        <v>0</v>
      </c>
      <c r="AD224" s="65"/>
      <c r="AE224" s="84"/>
      <c r="AF224" s="71">
        <f t="shared" ref="AF224" ca="1" si="1206">SUM(AF220:AF223)</f>
        <v>2</v>
      </c>
      <c r="AG224" s="65"/>
      <c r="AH224" s="84"/>
      <c r="AI224" s="71">
        <f t="shared" ref="AI224" ca="1" si="1207">SUM(AI220:AI223)</f>
        <v>2</v>
      </c>
      <c r="AJ224" s="65"/>
      <c r="AK224" s="84"/>
      <c r="AL224" s="71">
        <f t="shared" ref="AL224" ca="1" si="1208">SUM(AL220:AL223)</f>
        <v>0</v>
      </c>
      <c r="AM224" s="65"/>
      <c r="AN224" s="84"/>
      <c r="AO224" s="71">
        <f t="shared" ref="AO224" ca="1" si="1209">SUM(AO220:AO223)</f>
        <v>1</v>
      </c>
      <c r="AP224" s="65"/>
      <c r="AQ224" s="84"/>
      <c r="AR224" s="71">
        <f t="shared" ref="AR224" ca="1" si="1210">SUM(AR220:AR223)</f>
        <v>3</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1</v>
      </c>
      <c r="BE224" s="65"/>
      <c r="BF224" s="84"/>
      <c r="BG224" s="71">
        <f t="shared" ref="BG224" ca="1" si="1215">SUM(BG220:BG223)</f>
        <v>1</v>
      </c>
      <c r="BH224" s="65"/>
      <c r="BI224" s="84"/>
      <c r="BJ224" s="71">
        <f t="shared" ref="BJ224" ca="1" si="1216">SUM(BJ220:BJ223)</f>
        <v>0</v>
      </c>
      <c r="BK224" s="65"/>
      <c r="BL224" s="84"/>
      <c r="BM224" s="71">
        <f t="shared" ref="BM224" ca="1" si="1217">SUM(BM220:BM223)</f>
        <v>5</v>
      </c>
      <c r="BN224" s="65"/>
      <c r="BO224" s="84"/>
      <c r="BP224" s="71">
        <f t="shared" ref="BP224" ca="1" si="1218">SUM(BP220:BP223)</f>
        <v>1</v>
      </c>
      <c r="BQ224" s="65"/>
      <c r="BR224" s="84"/>
      <c r="BS224" s="71">
        <f t="shared" ref="BS224" ca="1" si="1219">SUM(BS220:BS223)</f>
        <v>2</v>
      </c>
      <c r="BT224" s="65"/>
      <c r="BU224" s="84"/>
      <c r="BV224" s="71">
        <f t="shared" ref="BV224" ca="1" si="1220">SUM(BV220:BV223)</f>
        <v>1</v>
      </c>
      <c r="BW224" s="65"/>
      <c r="BX224" s="84"/>
      <c r="BY224" s="71">
        <f t="shared" ref="BY224" ca="1" si="1221">SUM(BY220:BY223)</f>
        <v>4</v>
      </c>
      <c r="BZ224" s="65"/>
      <c r="CA224" s="84"/>
      <c r="CB224" s="71">
        <f t="shared" ref="CB224" ca="1" si="1222">SUM(CB220:CB223)</f>
        <v>1</v>
      </c>
      <c r="CC224" s="65"/>
      <c r="CD224" s="84"/>
      <c r="CE224" s="71">
        <f t="shared" ref="CE224" ca="1" si="1223">SUM(CE220:CE223)</f>
        <v>0</v>
      </c>
      <c r="CF224" s="65"/>
      <c r="CG224" s="84"/>
      <c r="CH224" s="71">
        <f t="shared" ref="CH224" ca="1" si="1224">SUM(CH220:CH223)</f>
        <v>0</v>
      </c>
      <c r="CI224" s="65"/>
      <c r="CJ224" s="84"/>
      <c r="CK224" s="71">
        <f t="shared" ref="CK224" ca="1" si="1225">SUM(CK220:CK223)</f>
        <v>4</v>
      </c>
      <c r="CL224" s="65"/>
      <c r="CM224" s="84"/>
      <c r="CN224" s="71">
        <f t="shared" ref="CN224" ca="1" si="1226">SUM(CN220:CN223)</f>
        <v>0</v>
      </c>
      <c r="CO224" s="65"/>
      <c r="CP224" s="84"/>
      <c r="CQ224" s="71">
        <f t="shared" ref="CQ224" ca="1" si="1227">SUM(CQ220:CQ223)</f>
        <v>2</v>
      </c>
      <c r="CR224" s="65"/>
      <c r="CS224" s="84"/>
      <c r="CT224" s="71">
        <f t="shared" ref="CT224" ca="1" si="1228">SUM(CT220:CT223)</f>
        <v>8</v>
      </c>
      <c r="CU224" s="65"/>
      <c r="CV224" s="84"/>
      <c r="CW224" s="71">
        <f t="shared" ref="CW224" ca="1" si="1229">SUM(CW220:CW223)</f>
        <v>3</v>
      </c>
      <c r="CX224" s="65"/>
      <c r="CY224" s="84"/>
      <c r="CZ224" s="71">
        <f t="shared" ref="CZ224" ca="1" si="1230">SUM(CZ220:CZ223)</f>
        <v>6</v>
      </c>
      <c r="DA224" s="65"/>
      <c r="DB224" s="84"/>
      <c r="DC224" s="71">
        <f t="shared" ref="DC224" ca="1" si="1231">SUM(DC220:DC223)</f>
        <v>2</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1</v>
      </c>
      <c r="DS224" s="65"/>
      <c r="DT224" s="84"/>
      <c r="DU224" s="71">
        <f t="shared" ref="DU224" ca="1" si="1237">SUM(DU220:DU223)</f>
        <v>1</v>
      </c>
      <c r="DV224" s="65"/>
      <c r="DW224" s="84"/>
      <c r="DX224" s="71">
        <f t="shared" ref="DX224" ca="1" si="1238">SUM(DX220:DX223)</f>
        <v>4</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 ca="1">WORLDCUP!AA139</f>
        <v>Inglaterra</v>
      </c>
      <c r="N227" s="25"/>
      <c r="O227" s="25"/>
      <c r="P227" s="25"/>
      <c r="Q227" s="25"/>
      <c r="R227" s="110"/>
      <c r="S227" s="74" t="s">
        <v>76</v>
      </c>
      <c r="T227" s="73">
        <f ca="1">COUNTIF($M$226:$M$229,S227)*$D$27</f>
        <v>5</v>
      </c>
      <c r="U227" s="64"/>
      <c r="V227" s="74" t="s">
        <v>76</v>
      </c>
      <c r="W227" s="73">
        <f t="shared" ref="W227" ca="1" si="1302">COUNTIF($M$226:$M$229,V227)*$D$27</f>
        <v>5</v>
      </c>
      <c r="X227" s="64"/>
      <c r="Y227" s="74" t="s">
        <v>1258</v>
      </c>
      <c r="Z227" s="73">
        <f t="shared" ref="Z227" ca="1" si="1303">COUNTIF($M$226:$M$229,Y227)*$D$27</f>
        <v>0</v>
      </c>
      <c r="AA227" s="64"/>
      <c r="AB227" s="74" t="s">
        <v>76</v>
      </c>
      <c r="AC227" s="73">
        <f t="shared" ref="AC227" ca="1" si="1304">COUNTIF($M$226:$M$229,AB227)*$D$27</f>
        <v>5</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5</v>
      </c>
      <c r="AM227" s="64"/>
      <c r="AN227" s="74" t="s">
        <v>76</v>
      </c>
      <c r="AO227" s="73">
        <f t="shared" ref="AO227" ca="1" si="1308">COUNTIF($M$226:$M$229,AN227)*$D$27</f>
        <v>5</v>
      </c>
      <c r="AP227" s="64"/>
      <c r="AQ227" s="74" t="s">
        <v>76</v>
      </c>
      <c r="AR227" s="73">
        <f t="shared" ref="AR227" ca="1" si="1309">COUNTIF($M$226:$M$229,AQ227)*$D$27</f>
        <v>5</v>
      </c>
      <c r="AS227" s="64"/>
      <c r="AT227" s="74" t="s">
        <v>76</v>
      </c>
      <c r="AU227" s="73">
        <f t="shared" ref="AU227" ca="1" si="1310">COUNTIF($M$226:$M$229,AT227)*$D$27</f>
        <v>5</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5</v>
      </c>
      <c r="BH227" s="64"/>
      <c r="BI227" s="74" t="s">
        <v>1258</v>
      </c>
      <c r="BJ227" s="73">
        <f t="shared" ref="BJ227" ca="1" si="1315">COUNTIF($M$226:$M$229,BI227)*$D$27</f>
        <v>0</v>
      </c>
      <c r="BK227" s="64"/>
      <c r="BL227" s="74" t="s">
        <v>76</v>
      </c>
      <c r="BM227" s="73">
        <f t="shared" ref="BM227" ca="1" si="1316">COUNTIF($M$226:$M$229,BL227)*$D$27</f>
        <v>5</v>
      </c>
      <c r="BN227" s="64"/>
      <c r="BO227" s="74" t="s">
        <v>76</v>
      </c>
      <c r="BP227" s="73">
        <f t="shared" ref="BP227" ca="1" si="1317">COUNTIF($M$226:$M$229,BO227)*$D$27</f>
        <v>5</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5</v>
      </c>
      <c r="BZ227" s="64"/>
      <c r="CA227" s="74" t="s">
        <v>76</v>
      </c>
      <c r="CB227" s="73">
        <f t="shared" ref="CB227" ca="1" si="1321">COUNTIF($M$226:$M$229,CA227)*$D$27</f>
        <v>5</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5</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5</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5</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5</v>
      </c>
      <c r="EH227" s="64"/>
      <c r="EI227" s="74" t="s">
        <v>76</v>
      </c>
      <c r="EJ227" s="73">
        <f t="shared" ref="EJ227" ca="1" si="1341">COUNTIF($M$226:$M$229,EI227)*$D$27</f>
        <v>5</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 ca="1">WORLDCUP!AF138</f>
        <v>España</v>
      </c>
      <c r="N228" s="25"/>
      <c r="O228" s="25"/>
      <c r="P228" s="25"/>
      <c r="Q228" s="25"/>
      <c r="R228" s="110"/>
      <c r="S228" s="74" t="s">
        <v>38</v>
      </c>
      <c r="T228" s="73">
        <f ca="1">COUNTIF($M$226:$M$229,S228)*$D$27</f>
        <v>5</v>
      </c>
      <c r="U228" s="64"/>
      <c r="V228" s="74" t="s">
        <v>38</v>
      </c>
      <c r="W228" s="73">
        <f t="shared" ref="W228" ca="1" si="1351">COUNTIF($M$226:$M$229,V228)*$D$27</f>
        <v>5</v>
      </c>
      <c r="X228" s="64"/>
      <c r="Y228" s="74" t="s">
        <v>38</v>
      </c>
      <c r="Z228" s="73">
        <f t="shared" ref="Z228" ca="1" si="1352">COUNTIF($M$226:$M$229,Y228)*$D$27</f>
        <v>5</v>
      </c>
      <c r="AA228" s="64"/>
      <c r="AB228" s="74" t="s">
        <v>38</v>
      </c>
      <c r="AC228" s="73">
        <f t="shared" ref="AC228" ca="1" si="1353">COUNTIF($M$226:$M$229,AB228)*$D$27</f>
        <v>5</v>
      </c>
      <c r="AD228" s="64"/>
      <c r="AE228" s="74" t="s">
        <v>38</v>
      </c>
      <c r="AF228" s="73">
        <f t="shared" ref="AF228" ca="1" si="1354">COUNTIF($M$226:$M$229,AE228)*$D$27</f>
        <v>5</v>
      </c>
      <c r="AG228" s="64"/>
      <c r="AH228" s="74" t="s">
        <v>38</v>
      </c>
      <c r="AI228" s="73">
        <f t="shared" ref="AI228" ca="1" si="1355">COUNTIF($M$226:$M$229,AH228)*$D$27</f>
        <v>5</v>
      </c>
      <c r="AJ228" s="64"/>
      <c r="AK228" s="74" t="s">
        <v>38</v>
      </c>
      <c r="AL228" s="73">
        <f t="shared" ref="AL228" ca="1" si="1356">COUNTIF($M$226:$M$229,AK228)*$D$27</f>
        <v>5</v>
      </c>
      <c r="AM228" s="64"/>
      <c r="AN228" s="74" t="s">
        <v>1320</v>
      </c>
      <c r="AO228" s="73">
        <f t="shared" ref="AO228" ca="1" si="1357">COUNTIF($M$226:$M$229,AN228)*$D$27</f>
        <v>0</v>
      </c>
      <c r="AP228" s="64"/>
      <c r="AQ228" s="74" t="s">
        <v>38</v>
      </c>
      <c r="AR228" s="73">
        <f t="shared" ref="AR228" ca="1" si="1358">COUNTIF($M$226:$M$229,AQ228)*$D$27</f>
        <v>5</v>
      </c>
      <c r="AS228" s="64"/>
      <c r="AT228" s="74" t="s">
        <v>38</v>
      </c>
      <c r="AU228" s="73">
        <f t="shared" ref="AU228" ca="1" si="1359">COUNTIF($M$226:$M$229,AT228)*$D$27</f>
        <v>5</v>
      </c>
      <c r="AV228" s="64"/>
      <c r="AW228" s="74" t="s">
        <v>38</v>
      </c>
      <c r="AX228" s="73">
        <f t="shared" ref="AX228" ca="1" si="1360">COUNTIF($M$226:$M$229,AW228)*$D$27</f>
        <v>5</v>
      </c>
      <c r="AY228" s="64"/>
      <c r="AZ228" s="74" t="s">
        <v>38</v>
      </c>
      <c r="BA228" s="73">
        <f t="shared" ref="BA228" ca="1" si="1361">COUNTIF($M$226:$M$229,AZ228)*$D$27</f>
        <v>5</v>
      </c>
      <c r="BB228" s="64"/>
      <c r="BC228" s="74" t="s">
        <v>38</v>
      </c>
      <c r="BD228" s="73">
        <f t="shared" ref="BD228" ca="1" si="1362">COUNTIF($M$226:$M$229,BC228)*$D$27</f>
        <v>5</v>
      </c>
      <c r="BE228" s="64"/>
      <c r="BF228" s="74" t="s">
        <v>38</v>
      </c>
      <c r="BG228" s="73">
        <f t="shared" ref="BG228" ca="1" si="1363">COUNTIF($M$226:$M$229,BF228)*$D$27</f>
        <v>5</v>
      </c>
      <c r="BH228" s="64"/>
      <c r="BI228" s="74" t="s">
        <v>38</v>
      </c>
      <c r="BJ228" s="73">
        <f t="shared" ref="BJ228" ca="1" si="1364">COUNTIF($M$226:$M$229,BI228)*$D$27</f>
        <v>5</v>
      </c>
      <c r="BK228" s="64"/>
      <c r="BL228" s="74" t="s">
        <v>38</v>
      </c>
      <c r="BM228" s="73">
        <f t="shared" ref="BM228" ca="1" si="1365">COUNTIF($M$226:$M$229,BL228)*$D$27</f>
        <v>5</v>
      </c>
      <c r="BN228" s="64"/>
      <c r="BO228" s="74" t="s">
        <v>38</v>
      </c>
      <c r="BP228" s="73">
        <f t="shared" ref="BP228" ca="1" si="1366">COUNTIF($M$226:$M$229,BO228)*$D$27</f>
        <v>5</v>
      </c>
      <c r="BQ228" s="64"/>
      <c r="BR228" s="74" t="s">
        <v>38</v>
      </c>
      <c r="BS228" s="73">
        <f t="shared" ref="BS228" ca="1" si="1367">COUNTIF($M$226:$M$229,BR228)*$D$27</f>
        <v>5</v>
      </c>
      <c r="BT228" s="64"/>
      <c r="BU228" s="74" t="s">
        <v>38</v>
      </c>
      <c r="BV228" s="73">
        <f t="shared" ref="BV228" ca="1" si="1368">COUNTIF($M$226:$M$229,BU228)*$D$27</f>
        <v>5</v>
      </c>
      <c r="BW228" s="64"/>
      <c r="BX228" s="74" t="s">
        <v>38</v>
      </c>
      <c r="BY228" s="73">
        <f t="shared" ref="BY228" ca="1" si="1369">COUNTIF($M$226:$M$229,BX228)*$D$27</f>
        <v>5</v>
      </c>
      <c r="BZ228" s="64"/>
      <c r="CA228" s="74" t="s">
        <v>38</v>
      </c>
      <c r="CB228" s="73">
        <f t="shared" ref="CB228" ca="1" si="1370">COUNTIF($M$226:$M$229,CA228)*$D$27</f>
        <v>5</v>
      </c>
      <c r="CC228" s="64"/>
      <c r="CD228" s="74" t="s">
        <v>38</v>
      </c>
      <c r="CE228" s="73">
        <f t="shared" ref="CE228" ca="1" si="1371">COUNTIF($M$226:$M$229,CD228)*$D$27</f>
        <v>5</v>
      </c>
      <c r="CF228" s="64"/>
      <c r="CG228" s="74" t="s">
        <v>38</v>
      </c>
      <c r="CH228" s="73">
        <f t="shared" ref="CH228" ca="1" si="1372">COUNTIF($M$226:$M$229,CG228)*$D$27</f>
        <v>5</v>
      </c>
      <c r="CI228" s="64"/>
      <c r="CJ228" s="74" t="s">
        <v>38</v>
      </c>
      <c r="CK228" s="73">
        <f t="shared" ref="CK228" ca="1" si="1373">COUNTIF($M$226:$M$229,CJ228)*$D$27</f>
        <v>5</v>
      </c>
      <c r="CL228" s="64"/>
      <c r="CM228" s="74" t="s">
        <v>38</v>
      </c>
      <c r="CN228" s="73">
        <f t="shared" ref="CN228" ca="1" si="1374">COUNTIF($M$226:$M$229,CM228)*$D$27</f>
        <v>5</v>
      </c>
      <c r="CO228" s="64"/>
      <c r="CP228" s="74" t="s">
        <v>38</v>
      </c>
      <c r="CQ228" s="73">
        <f t="shared" ref="CQ228" ca="1" si="1375">COUNTIF($M$226:$M$229,CP228)*$D$27</f>
        <v>5</v>
      </c>
      <c r="CR228" s="64"/>
      <c r="CS228" s="74" t="s">
        <v>38</v>
      </c>
      <c r="CT228" s="73">
        <f t="shared" ref="CT228" ca="1" si="1376">COUNTIF($M$226:$M$229,CS228)*$D$27</f>
        <v>5</v>
      </c>
      <c r="CU228" s="64"/>
      <c r="CV228" s="74" t="s">
        <v>38</v>
      </c>
      <c r="CW228" s="73">
        <f t="shared" ref="CW228" ca="1" si="1377">COUNTIF($M$226:$M$229,CV228)*$D$27</f>
        <v>5</v>
      </c>
      <c r="CX228" s="64"/>
      <c r="CY228" s="74" t="s">
        <v>38</v>
      </c>
      <c r="CZ228" s="73">
        <f t="shared" ref="CZ228" ca="1" si="1378">COUNTIF($M$226:$M$229,CY228)*$D$27</f>
        <v>5</v>
      </c>
      <c r="DA228" s="64"/>
      <c r="DB228" s="74" t="s">
        <v>38</v>
      </c>
      <c r="DC228" s="73">
        <f t="shared" ref="DC228" ca="1" si="1379">COUNTIF($M$226:$M$229,DB228)*$D$27</f>
        <v>5</v>
      </c>
      <c r="DD228" s="64"/>
      <c r="DE228" s="74" t="s">
        <v>1835</v>
      </c>
      <c r="DF228" s="73">
        <f t="shared" ref="DF228" ca="1" si="1380">COUNTIF($M$226:$M$229,DE228)*$D$27</f>
        <v>0</v>
      </c>
      <c r="DG228" s="64"/>
      <c r="DH228" s="74" t="s">
        <v>38</v>
      </c>
      <c r="DI228" s="73">
        <f t="shared" ref="DI228" ca="1" si="1381">COUNTIF($M$226:$M$229,DH228)*$D$27</f>
        <v>5</v>
      </c>
      <c r="DJ228" s="64"/>
      <c r="DK228" s="74" t="s">
        <v>38</v>
      </c>
      <c r="DL228" s="73">
        <f t="shared" ref="DL228" ca="1" si="1382">COUNTIF($M$226:$M$229,DK228)*$D$27</f>
        <v>5</v>
      </c>
      <c r="DM228" s="64"/>
      <c r="DN228" s="795" t="s">
        <v>38</v>
      </c>
      <c r="DO228" s="73">
        <f t="shared" ref="DO228" ca="1" si="1383">COUNTIF($M$226:$M$229,DN228)*$D$27</f>
        <v>5</v>
      </c>
      <c r="DP228" s="64"/>
      <c r="DQ228" s="795" t="s">
        <v>76</v>
      </c>
      <c r="DR228" s="73">
        <f t="shared" ref="DR228" ca="1" si="1384">COUNTIF($M$226:$M$229,DQ228)*$D$27</f>
        <v>5</v>
      </c>
      <c r="DS228" s="64"/>
      <c r="DT228" s="74" t="s">
        <v>38</v>
      </c>
      <c r="DU228" s="73">
        <f t="shared" ref="DU228" ca="1" si="1385">COUNTIF($M$226:$M$229,DT228)*$D$27</f>
        <v>5</v>
      </c>
      <c r="DV228" s="64"/>
      <c r="DW228" s="74" t="s">
        <v>38</v>
      </c>
      <c r="DX228" s="73">
        <f t="shared" ref="DX228" ca="1" si="1386">COUNTIF($M$226:$M$229,DW228)*$D$27</f>
        <v>5</v>
      </c>
      <c r="DY228" s="64"/>
      <c r="DZ228" s="74" t="s">
        <v>38</v>
      </c>
      <c r="EA228" s="73">
        <f t="shared" ref="EA228" ca="1" si="1387">COUNTIF($M$226:$M$229,DZ228)*$D$27</f>
        <v>5</v>
      </c>
      <c r="EB228" s="64"/>
      <c r="EC228" s="74" t="s">
        <v>38</v>
      </c>
      <c r="ED228" s="73">
        <f t="shared" ref="ED228" ca="1" si="1388">COUNTIF($M$226:$M$229,EC228)*$D$27</f>
        <v>5</v>
      </c>
      <c r="EE228" s="64"/>
      <c r="EF228" s="74" t="s">
        <v>38</v>
      </c>
      <c r="EG228" s="73">
        <f t="shared" ref="EG228" ca="1" si="1389">COUNTIF($M$226:$M$229,EF228)*$D$27</f>
        <v>5</v>
      </c>
      <c r="EH228" s="64"/>
      <c r="EI228" s="74" t="s">
        <v>38</v>
      </c>
      <c r="EJ228" s="73">
        <f t="shared" ref="EJ228" ca="1" si="1390">COUNTIF($M$226:$M$229,EI228)*$D$27</f>
        <v>5</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 ca="1">WORLDCUP!AF139</f>
        <v>Argentina</v>
      </c>
      <c r="N229" s="25"/>
      <c r="O229" s="25"/>
      <c r="P229" s="25"/>
      <c r="Q229" s="25"/>
      <c r="R229" s="110"/>
      <c r="S229" s="80" t="s">
        <v>1256</v>
      </c>
      <c r="T229" s="81">
        <f ca="1">COUNTIF($M$226:$M$229,S229)*$D$27</f>
        <v>5</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5</v>
      </c>
      <c r="AD229" s="64"/>
      <c r="AE229" s="80" t="s">
        <v>1256</v>
      </c>
      <c r="AF229" s="81">
        <f t="shared" ref="AF229" ca="1" si="1403">COUNTIF($M$226:$M$229,AE229)*$D$27</f>
        <v>5</v>
      </c>
      <c r="AG229" s="64"/>
      <c r="AH229" s="80" t="s">
        <v>1256</v>
      </c>
      <c r="AI229" s="81">
        <f t="shared" ref="AI229" ca="1" si="1404">COUNTIF($M$226:$M$229,AH229)*$D$27</f>
        <v>5</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5</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5</v>
      </c>
      <c r="BH229" s="64"/>
      <c r="BI229" s="80" t="s">
        <v>79</v>
      </c>
      <c r="BJ229" s="81">
        <f t="shared" ref="BJ229" ca="1" si="1413">COUNTIF($M$226:$M$229,BI229)*$D$27</f>
        <v>0</v>
      </c>
      <c r="BK229" s="64"/>
      <c r="BL229" s="80" t="s">
        <v>1256</v>
      </c>
      <c r="BM229" s="81">
        <f t="shared" ref="BM229" ca="1" si="1414">COUNTIF($M$226:$M$229,BL229)*$D$27</f>
        <v>5</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5</v>
      </c>
      <c r="CC229" s="64"/>
      <c r="CD229" s="80" t="s">
        <v>79</v>
      </c>
      <c r="CE229" s="81">
        <f t="shared" ref="CE229" ca="1" si="1420">COUNTIF($M$226:$M$229,CD229)*$D$27</f>
        <v>0</v>
      </c>
      <c r="CF229" s="64"/>
      <c r="CG229" s="80" t="s">
        <v>1256</v>
      </c>
      <c r="CH229" s="81">
        <f t="shared" ref="CH229" ca="1" si="1421">COUNTIF($M$226:$M$229,CG229)*$D$27</f>
        <v>5</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5</v>
      </c>
      <c r="CU229" s="64"/>
      <c r="CV229" s="80" t="s">
        <v>79</v>
      </c>
      <c r="CW229" s="81">
        <f t="shared" ref="CW229" ca="1" si="1426">COUNTIF($M$226:$M$229,CV229)*$D$27</f>
        <v>0</v>
      </c>
      <c r="CX229" s="64"/>
      <c r="CY229" s="80" t="s">
        <v>1256</v>
      </c>
      <c r="CZ229" s="81">
        <f t="shared" ref="CZ229" ca="1" si="1427">COUNTIF($M$226:$M$229,CY229)*$D$27</f>
        <v>5</v>
      </c>
      <c r="DA229" s="64"/>
      <c r="DB229" s="80" t="s">
        <v>1256</v>
      </c>
      <c r="DC229" s="81">
        <f t="shared" ref="DC229" ca="1" si="1428">COUNTIF($M$226:$M$229,DB229)*$D$27</f>
        <v>5</v>
      </c>
      <c r="DD229" s="64"/>
      <c r="DE229" s="80" t="s">
        <v>1256</v>
      </c>
      <c r="DF229" s="81">
        <f t="shared" ref="DF229" ca="1" si="1429">COUNTIF($M$226:$M$229,DE229)*$D$27</f>
        <v>5</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5</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15</v>
      </c>
      <c r="U230" s="65"/>
      <c r="V230" s="84"/>
      <c r="W230" s="71">
        <f t="shared" ref="W230" ca="1" si="1449">SUM(W226:W229)</f>
        <v>15</v>
      </c>
      <c r="X230" s="65"/>
      <c r="Y230" s="84"/>
      <c r="Z230" s="71">
        <f t="shared" ref="Z230" ca="1" si="1450">SUM(Z226:Z229)</f>
        <v>10</v>
      </c>
      <c r="AA230" s="65"/>
      <c r="AB230" s="84"/>
      <c r="AC230" s="71">
        <f t="shared" ref="AC230" ca="1" si="1451">SUM(AC226:AC229)</f>
        <v>20</v>
      </c>
      <c r="AD230" s="65"/>
      <c r="AE230" s="84"/>
      <c r="AF230" s="71">
        <f t="shared" ref="AF230" ca="1" si="1452">SUM(AF226:AF229)</f>
        <v>15</v>
      </c>
      <c r="AG230" s="65"/>
      <c r="AH230" s="84"/>
      <c r="AI230" s="71">
        <f t="shared" ref="AI230" ca="1" si="1453">SUM(AI226:AI229)</f>
        <v>15</v>
      </c>
      <c r="AJ230" s="65"/>
      <c r="AK230" s="84"/>
      <c r="AL230" s="71">
        <f t="shared" ref="AL230" ca="1" si="1454">SUM(AL226:AL229)</f>
        <v>10</v>
      </c>
      <c r="AM230" s="65"/>
      <c r="AN230" s="84"/>
      <c r="AO230" s="71">
        <f t="shared" ref="AO230" ca="1" si="1455">SUM(AO226:AO229)</f>
        <v>5</v>
      </c>
      <c r="AP230" s="65"/>
      <c r="AQ230" s="84"/>
      <c r="AR230" s="71">
        <f t="shared" ref="AR230" ca="1" si="1456">SUM(AR226:AR229)</f>
        <v>20</v>
      </c>
      <c r="AS230" s="65"/>
      <c r="AT230" s="84"/>
      <c r="AU230" s="71">
        <f t="shared" ref="AU230" ca="1" si="1457">SUM(AU226:AU229)</f>
        <v>15</v>
      </c>
      <c r="AV230" s="65"/>
      <c r="AW230" s="84"/>
      <c r="AX230" s="71">
        <f t="shared" ref="AX230" ca="1" si="1458">SUM(AX226:AX229)</f>
        <v>10</v>
      </c>
      <c r="AY230" s="65"/>
      <c r="AZ230" s="84"/>
      <c r="BA230" s="71">
        <f t="shared" ref="BA230" ca="1" si="1459">SUM(BA226:BA229)</f>
        <v>10</v>
      </c>
      <c r="BB230" s="65"/>
      <c r="BC230" s="84"/>
      <c r="BD230" s="71">
        <f t="shared" ref="BD230" ca="1" si="1460">SUM(BD226:BD229)</f>
        <v>10</v>
      </c>
      <c r="BE230" s="65"/>
      <c r="BF230" s="84"/>
      <c r="BG230" s="71">
        <f t="shared" ref="BG230" ca="1" si="1461">SUM(BG226:BG229)</f>
        <v>20</v>
      </c>
      <c r="BH230" s="65"/>
      <c r="BI230" s="84"/>
      <c r="BJ230" s="71">
        <f t="shared" ref="BJ230" ca="1" si="1462">SUM(BJ226:BJ229)</f>
        <v>10</v>
      </c>
      <c r="BK230" s="65"/>
      <c r="BL230" s="84"/>
      <c r="BM230" s="71">
        <f t="shared" ref="BM230" ca="1" si="1463">SUM(BM226:BM229)</f>
        <v>20</v>
      </c>
      <c r="BN230" s="65"/>
      <c r="BO230" s="84"/>
      <c r="BP230" s="71">
        <f t="shared" ref="BP230" ca="1" si="1464">SUM(BP226:BP229)</f>
        <v>15</v>
      </c>
      <c r="BQ230" s="65"/>
      <c r="BR230" s="84"/>
      <c r="BS230" s="71">
        <f t="shared" ref="BS230" ca="1" si="1465">SUM(BS226:BS229)</f>
        <v>10</v>
      </c>
      <c r="BT230" s="65"/>
      <c r="BU230" s="84"/>
      <c r="BV230" s="71">
        <f t="shared" ref="BV230" ca="1" si="1466">SUM(BV226:BV229)</f>
        <v>10</v>
      </c>
      <c r="BW230" s="65"/>
      <c r="BX230" s="84"/>
      <c r="BY230" s="71">
        <f t="shared" ref="BY230" ca="1" si="1467">SUM(BY226:BY229)</f>
        <v>15</v>
      </c>
      <c r="BZ230" s="65"/>
      <c r="CA230" s="84"/>
      <c r="CB230" s="71">
        <f t="shared" ref="CB230" ca="1" si="1468">SUM(CB226:CB229)</f>
        <v>15</v>
      </c>
      <c r="CC230" s="65"/>
      <c r="CD230" s="84"/>
      <c r="CE230" s="71">
        <f t="shared" ref="CE230" ca="1" si="1469">SUM(CE226:CE229)</f>
        <v>10</v>
      </c>
      <c r="CF230" s="65"/>
      <c r="CG230" s="84"/>
      <c r="CH230" s="71">
        <f t="shared" ref="CH230" ca="1" si="1470">SUM(CH226:CH229)</f>
        <v>15</v>
      </c>
      <c r="CI230" s="65"/>
      <c r="CJ230" s="84"/>
      <c r="CK230" s="71">
        <f t="shared" ref="CK230" ca="1" si="1471">SUM(CK226:CK229)</f>
        <v>15</v>
      </c>
      <c r="CL230" s="65"/>
      <c r="CM230" s="84"/>
      <c r="CN230" s="71">
        <f t="shared" ref="CN230" ca="1" si="1472">SUM(CN226:CN229)</f>
        <v>10</v>
      </c>
      <c r="CO230" s="65"/>
      <c r="CP230" s="84"/>
      <c r="CQ230" s="71">
        <f t="shared" ref="CQ230" ca="1" si="1473">SUM(CQ226:CQ229)</f>
        <v>10</v>
      </c>
      <c r="CR230" s="65"/>
      <c r="CS230" s="84"/>
      <c r="CT230" s="71">
        <f t="shared" ref="CT230" ca="1" si="1474">SUM(CT226:CT229)</f>
        <v>15</v>
      </c>
      <c r="CU230" s="65"/>
      <c r="CV230" s="84"/>
      <c r="CW230" s="71">
        <f t="shared" ref="CW230" ca="1" si="1475">SUM(CW226:CW229)</f>
        <v>10</v>
      </c>
      <c r="CX230" s="65"/>
      <c r="CY230" s="84"/>
      <c r="CZ230" s="71">
        <f t="shared" ref="CZ230" ca="1" si="1476">SUM(CZ226:CZ229)</f>
        <v>20</v>
      </c>
      <c r="DA230" s="65"/>
      <c r="DB230" s="84"/>
      <c r="DC230" s="71">
        <f t="shared" ref="DC230" ca="1" si="1477">SUM(DC226:DC229)</f>
        <v>15</v>
      </c>
      <c r="DD230" s="65"/>
      <c r="DE230" s="84"/>
      <c r="DF230" s="71">
        <f t="shared" ref="DF230" ca="1" si="1478">SUM(DF226:DF229)</f>
        <v>5</v>
      </c>
      <c r="DG230" s="65"/>
      <c r="DH230" s="84"/>
      <c r="DI230" s="71">
        <f t="shared" ref="DI230" ca="1" si="1479">SUM(DI226:DI229)</f>
        <v>10</v>
      </c>
      <c r="DJ230" s="65"/>
      <c r="DK230" s="84"/>
      <c r="DL230" s="71">
        <f t="shared" ref="DL230" ca="1" si="1480">SUM(DL226:DL229)</f>
        <v>10</v>
      </c>
      <c r="DM230" s="65"/>
      <c r="DN230" s="796"/>
      <c r="DO230" s="71">
        <f t="shared" ref="DO230" ca="1" si="1481">SUM(DO226:DO229)</f>
        <v>10</v>
      </c>
      <c r="DP230" s="65"/>
      <c r="DQ230" s="796"/>
      <c r="DR230" s="71">
        <f t="shared" ref="DR230" ca="1" si="1482">SUM(DR226:DR229)</f>
        <v>5</v>
      </c>
      <c r="DS230" s="65"/>
      <c r="DT230" s="84"/>
      <c r="DU230" s="71">
        <f t="shared" ref="DU230" ca="1" si="1483">SUM(DU226:DU229)</f>
        <v>5</v>
      </c>
      <c r="DV230" s="65"/>
      <c r="DW230" s="84"/>
      <c r="DX230" s="71">
        <f t="shared" ref="DX230" ca="1" si="1484">SUM(DX226:DX229)</f>
        <v>15</v>
      </c>
      <c r="DY230" s="65"/>
      <c r="DZ230" s="84"/>
      <c r="EA230" s="71">
        <f t="shared" ref="EA230" ca="1" si="1485">SUM(EA226:EA229)</f>
        <v>10</v>
      </c>
      <c r="EB230" s="65"/>
      <c r="EC230" s="84"/>
      <c r="ED230" s="71">
        <f t="shared" ref="ED230" ca="1" si="1486">SUM(ED226:ED229)</f>
        <v>5</v>
      </c>
      <c r="EE230" s="65"/>
      <c r="EF230" s="84"/>
      <c r="EG230" s="71">
        <f t="shared" ref="EG230" ca="1" si="1487">SUM(EG226:EG229)</f>
        <v>10</v>
      </c>
      <c r="EH230" s="65"/>
      <c r="EI230" s="84"/>
      <c r="EJ230" s="71">
        <f t="shared" ref="EJ230" ca="1" si="1488">SUM(EJ226:EJ229)</f>
        <v>15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2</v>
      </c>
      <c r="B232" s="25">
        <f>WORLDCUP!AC138</f>
        <v>0</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2-0</v>
      </c>
      <c r="F232" s="407">
        <f>SUM($D$28:$D$30)*I232</f>
        <v>4</v>
      </c>
      <c r="G232" s="407">
        <f ca="1">VLOOKUP(H232,Equipos!$Q$1:$R$25,2,0)</f>
        <v>23</v>
      </c>
      <c r="H232" s="65" t="str">
        <f>Idiomas!$D$263</f>
        <v>Semifinales</v>
      </c>
      <c r="I232" s="43">
        <v>1</v>
      </c>
      <c r="J232" s="852" t="s">
        <v>35</v>
      </c>
      <c r="K232" s="53" t="str">
        <f ca="1">CONCATENATE(WORLDCUP!AA138,"-",WORLDCUP!AF138)</f>
        <v>Francia-España</v>
      </c>
      <c r="L232" s="53">
        <f>IF(OR(WORLDCUP!AC138="",WORLDCUP!AD138=""),"PD",IF(WORLDCUP!AC138&gt;WORLDCUP!AD138,1,IF(WORLDCUP!AC138&lt;WORLDCUP!AD138,2,0)))</f>
        <v>2</v>
      </c>
      <c r="M232" s="55" t="str">
        <f t="shared" ref="M232:M233" si="1498">IF(L232="PD","-",N232&amp;"-"&amp;O232)</f>
        <v>0-2</v>
      </c>
      <c r="N232" s="25">
        <f>WORLDCUP!AC138</f>
        <v>0</v>
      </c>
      <c r="O232" s="25">
        <f>WORLDCUP!AD138</f>
        <v>2</v>
      </c>
      <c r="P232" s="25">
        <f>+N232-O232</f>
        <v>-2</v>
      </c>
      <c r="Q232" s="25">
        <f>+A232-B232</f>
        <v>2</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2029</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1</v>
      </c>
      <c r="X232" s="110"/>
      <c r="Y232" s="76" t="s">
        <v>2029</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1</v>
      </c>
      <c r="AA232" s="110"/>
      <c r="AB232" s="76" t="s">
        <v>2087</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2115</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2143</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1</v>
      </c>
      <c r="AJ232" s="110"/>
      <c r="AK232" s="76" t="s">
        <v>2169</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2200</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2115</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2247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2087</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2115</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2318</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4</v>
      </c>
      <c r="BE232" s="110"/>
      <c r="BF232" s="76" t="s">
        <v>2029</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1</v>
      </c>
      <c r="BH232" s="110"/>
      <c r="BI232" s="76" t="s">
        <v>2358</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1</v>
      </c>
      <c r="BK232" s="110"/>
      <c r="BL232" s="76" t="s">
        <v>2029</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1</v>
      </c>
      <c r="BN232" s="110"/>
      <c r="BO232" s="76" t="s">
        <v>2029</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1</v>
      </c>
      <c r="BQ232" s="110"/>
      <c r="BR232" s="76" t="s">
        <v>2399</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2318</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4</v>
      </c>
      <c r="BW232" s="110"/>
      <c r="BX232" s="76" t="s">
        <v>2087</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2458</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2247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2143</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1</v>
      </c>
      <c r="CI232" s="110"/>
      <c r="CJ232" s="76" t="s">
        <v>2115</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2399</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2143</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1</v>
      </c>
      <c r="CR232" s="110"/>
      <c r="CS232" s="76" t="s">
        <v>2029</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1</v>
      </c>
      <c r="CU232" s="110"/>
      <c r="CV232" s="76" t="s">
        <v>2115</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2087</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2029</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1</v>
      </c>
      <c r="DD232" s="110"/>
      <c r="DE232" s="76" t="s">
        <v>2603</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2618</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2087</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2399</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2670</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2693</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2029</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1</v>
      </c>
      <c r="DY232" s="110"/>
      <c r="DZ232" s="76" t="s">
        <v>2458</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2734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2748</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2143</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1</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2</v>
      </c>
      <c r="B233" s="25">
        <f>WORLDCUP!AC139</f>
        <v>1</v>
      </c>
      <c r="C233" s="25" t="str">
        <f ca="1">CONCATENATE(WORLDCUP!AF139,"-",WORLDCUP!AA139)</f>
        <v>Argentina-Inglaterra</v>
      </c>
      <c r="D233" s="25">
        <f>IF(WORLDCUP!AC139&gt;WORLDCUP!AD139,2,IF(WORLDCUP!AC139&lt;WORLDCUP!AD139,1,IF(AND(WORLDCUP!AC139=WORLDCUP!AD139,WORLDCUP!AC139&lt;&gt;"",WORLDCUP!AD139&lt;&gt;""),0,"PD")))</f>
        <v>1</v>
      </c>
      <c r="E233" s="25" t="str">
        <f>IF(OR(WORLDCUP!AD139="",WORLDCUP!AC139=""),"-",A233&amp;"-"&amp;B233)</f>
        <v>2-1</v>
      </c>
      <c r="F233" s="407">
        <f>SUM($D$28:$D$30)*I233</f>
        <v>4</v>
      </c>
      <c r="G233" s="407">
        <f ca="1">VLOOKUP(H233,Equipos!$Q$1:$R$25,2,0)</f>
        <v>23</v>
      </c>
      <c r="H233" s="65" t="str">
        <f>Idiomas!$D$263</f>
        <v>Semifinales</v>
      </c>
      <c r="I233" s="43">
        <v>1</v>
      </c>
      <c r="J233" s="852"/>
      <c r="K233" s="56" t="str">
        <f ca="1">CONCATENATE(WORLDCUP!AA139,"-",WORLDCUP!AF139)</f>
        <v>Inglaterra-Argentina</v>
      </c>
      <c r="L233" s="53">
        <f>IF(OR(WORLDCUP!AC139="",WORLDCUP!AD139=""),"PD",IF(WORLDCUP!AC139&gt;WORLDCUP!AD139,1,IF(WORLDCUP!AC139&lt;WORLDCUP!AD139,2,0)))</f>
        <v>2</v>
      </c>
      <c r="M233" s="55" t="str">
        <f t="shared" si="1498"/>
        <v>1-2</v>
      </c>
      <c r="N233" s="25">
        <f>WORLDCUP!AC139</f>
        <v>1</v>
      </c>
      <c r="O233" s="25">
        <f>WORLDCUP!AD139</f>
        <v>2</v>
      </c>
      <c r="P233" s="25">
        <f>+N233-O233</f>
        <v>-1</v>
      </c>
      <c r="Q233" s="25">
        <f>+A233-B233</f>
        <v>1</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2030</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2116</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2144</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2170</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2201</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2225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4</v>
      </c>
      <c r="AS233" s="110"/>
      <c r="AT233" s="80" t="s">
        <v>2170</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2273</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2293</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2319</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2225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4</v>
      </c>
      <c r="BH233" s="110"/>
      <c r="BI233" s="80" t="s">
        <v>2359</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2377</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2</v>
      </c>
      <c r="BN233" s="110"/>
      <c r="BO233" s="80" t="s">
        <v>2201</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2293</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2293</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2438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2225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4</v>
      </c>
      <c r="CC233" s="110"/>
      <c r="CD233" s="80" t="s">
        <v>2476</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2493</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2201</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2520</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2273</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2541</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2552</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2586</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2604</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2476</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2058</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2476</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2671</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2694</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2710</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2724</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2273</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2749</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2201</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1</v>
      </c>
      <c r="X234" s="49"/>
      <c r="Y234" s="84"/>
      <c r="Z234" s="71">
        <f t="shared" ref="Z234" ca="1" si="1598">SUM(Z232:Z233)</f>
        <v>1</v>
      </c>
      <c r="AA234" s="49"/>
      <c r="AB234" s="84"/>
      <c r="AC234" s="71">
        <f t="shared" ref="AC234" ca="1" si="1599">SUM(AC232:AC233)</f>
        <v>0</v>
      </c>
      <c r="AD234" s="111"/>
      <c r="AE234" s="84"/>
      <c r="AF234" s="71">
        <f t="shared" ref="AF234" ca="1" si="1600">SUM(AF232:AF233)</f>
        <v>0</v>
      </c>
      <c r="AG234" s="49"/>
      <c r="AH234" s="84"/>
      <c r="AI234" s="71">
        <f t="shared" ref="AI234" ca="1" si="1601">SUM(AI232:AI233)</f>
        <v>1</v>
      </c>
      <c r="AJ234" s="49"/>
      <c r="AK234" s="84"/>
      <c r="AL234" s="71">
        <f t="shared" ref="AL234" ca="1" si="1602">SUM(AL232:AL233)</f>
        <v>0</v>
      </c>
      <c r="AM234" s="49"/>
      <c r="AN234" s="84"/>
      <c r="AO234" s="71">
        <f t="shared" ref="AO234" ca="1" si="1603">SUM(AO232:AO233)</f>
        <v>0</v>
      </c>
      <c r="AP234" s="49"/>
      <c r="AQ234" s="84"/>
      <c r="AR234" s="71">
        <f t="shared" ref="AR234" ca="1" si="1604">SUM(AR232:AR233)</f>
        <v>4</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4</v>
      </c>
      <c r="BE234" s="49"/>
      <c r="BF234" s="84"/>
      <c r="BG234" s="71">
        <f t="shared" ref="BG234" ca="1" si="1609">SUM(BG232:BG233)</f>
        <v>5</v>
      </c>
      <c r="BH234" s="49"/>
      <c r="BI234" s="84"/>
      <c r="BJ234" s="71">
        <f t="shared" ref="BJ234" ca="1" si="1610">SUM(BJ232:BJ233)</f>
        <v>1</v>
      </c>
      <c r="BK234" s="49"/>
      <c r="BL234" s="84"/>
      <c r="BM234" s="71">
        <f t="shared" ref="BM234" ca="1" si="1611">SUM(BM232:BM233)</f>
        <v>3</v>
      </c>
      <c r="BN234" s="49"/>
      <c r="BO234" s="84"/>
      <c r="BP234" s="71">
        <f t="shared" ref="BP234" ca="1" si="1612">SUM(BP232:BP233)</f>
        <v>1</v>
      </c>
      <c r="BQ234" s="49"/>
      <c r="BR234" s="84"/>
      <c r="BS234" s="71">
        <f t="shared" ref="BS234" ca="1" si="1613">SUM(BS232:BS233)</f>
        <v>0</v>
      </c>
      <c r="BT234" s="49"/>
      <c r="BU234" s="84"/>
      <c r="BV234" s="71">
        <f t="shared" ref="BV234" ca="1" si="1614">SUM(BV232:BV233)</f>
        <v>4</v>
      </c>
      <c r="BW234" s="49"/>
      <c r="BX234" s="84"/>
      <c r="BY234" s="71">
        <f t="shared" ref="BY234" ca="1" si="1615">SUM(BY232:BY233)</f>
        <v>0</v>
      </c>
      <c r="BZ234" s="49"/>
      <c r="CA234" s="84"/>
      <c r="CB234" s="71">
        <f t="shared" ref="CB234" ca="1" si="1616">SUM(CB232:CB233)</f>
        <v>4</v>
      </c>
      <c r="CC234" s="49"/>
      <c r="CD234" s="84"/>
      <c r="CE234" s="71">
        <f t="shared" ref="CE234" ca="1" si="1617">SUM(CE232:CE233)</f>
        <v>0</v>
      </c>
      <c r="CF234" s="49"/>
      <c r="CG234" s="84"/>
      <c r="CH234" s="71">
        <f t="shared" ref="CH234" ca="1" si="1618">SUM(CH232:CH233)</f>
        <v>1</v>
      </c>
      <c r="CI234" s="49"/>
      <c r="CJ234" s="84"/>
      <c r="CK234" s="71">
        <f t="shared" ref="CK234" ca="1" si="1619">SUM(CK232:CK233)</f>
        <v>0</v>
      </c>
      <c r="CL234" s="49"/>
      <c r="CM234" s="84"/>
      <c r="CN234" s="71">
        <f t="shared" ref="CN234" ca="1" si="1620">SUM(CN232:CN233)</f>
        <v>0</v>
      </c>
      <c r="CO234" s="49"/>
      <c r="CP234" s="84"/>
      <c r="CQ234" s="71">
        <f t="shared" ref="CQ234" ca="1" si="1621">SUM(CQ232:CQ233)</f>
        <v>1</v>
      </c>
      <c r="CR234" s="49"/>
      <c r="CS234" s="84"/>
      <c r="CT234" s="71">
        <f t="shared" ref="CT234" ca="1" si="1622">SUM(CT232:CT233)</f>
        <v>1</v>
      </c>
      <c r="CU234" s="49"/>
      <c r="CV234" s="84"/>
      <c r="CW234" s="71">
        <f t="shared" ref="CW234" ca="1" si="1623">SUM(CW232:CW233)</f>
        <v>0</v>
      </c>
      <c r="CX234" s="49"/>
      <c r="CY234" s="84"/>
      <c r="CZ234" s="71">
        <f t="shared" ref="CZ234" ca="1" si="1624">SUM(CZ232:CZ233)</f>
        <v>0</v>
      </c>
      <c r="DA234" s="49"/>
      <c r="DB234" s="84"/>
      <c r="DC234" s="71">
        <f t="shared" ref="DC234" ca="1" si="1625">SUM(DC232:DC233)</f>
        <v>1</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1</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1</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 ca="1">WORLDCUP!AA143</f>
        <v>Francia</v>
      </c>
      <c r="N236" s="25"/>
      <c r="O236" s="25"/>
      <c r="P236" s="25"/>
      <c r="Q236" s="25"/>
      <c r="R236" s="17"/>
      <c r="S236" s="76" t="s">
        <v>38</v>
      </c>
      <c r="T236" s="77">
        <f ca="1">COUNTIF($M$236:$M$237,S236)*$D$31</f>
        <v>0</v>
      </c>
      <c r="U236" s="110"/>
      <c r="V236" s="76" t="s">
        <v>74</v>
      </c>
      <c r="W236" s="77">
        <f t="shared" ref="W236" ca="1" si="1646">COUNTIF($M$236:$M$237,V236)*$D$31</f>
        <v>6</v>
      </c>
      <c r="X236" s="110"/>
      <c r="Y236" s="76" t="s">
        <v>74</v>
      </c>
      <c r="Z236" s="77">
        <f t="shared" ref="Z236" ca="1" si="1647">COUNTIF($M$236:$M$237,Y236)*$D$31</f>
        <v>6</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6</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6</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6</v>
      </c>
      <c r="BB236" s="110"/>
      <c r="BC236" s="76" t="s">
        <v>74</v>
      </c>
      <c r="BD236" s="77">
        <f t="shared" ref="BD236" ca="1" si="1657">COUNTIF($M$236:$M$237,BC236)*$D$31</f>
        <v>6</v>
      </c>
      <c r="BE236" s="110"/>
      <c r="BF236" s="76" t="s">
        <v>74</v>
      </c>
      <c r="BG236" s="77">
        <f t="shared" ref="BG236" ca="1" si="1658">COUNTIF($M$236:$M$237,BF236)*$D$31</f>
        <v>6</v>
      </c>
      <c r="BH236" s="110"/>
      <c r="BI236" s="76" t="s">
        <v>74</v>
      </c>
      <c r="BJ236" s="77">
        <f t="shared" ref="BJ236" ca="1" si="1659">COUNTIF($M$236:$M$237,BI236)*$D$31</f>
        <v>6</v>
      </c>
      <c r="BK236" s="110"/>
      <c r="BL236" s="76" t="s">
        <v>74</v>
      </c>
      <c r="BM236" s="77">
        <f t="shared" ref="BM236" ca="1" si="1660">COUNTIF($M$236:$M$237,BL236)*$D$31</f>
        <v>6</v>
      </c>
      <c r="BN236" s="110"/>
      <c r="BO236" s="76" t="s">
        <v>74</v>
      </c>
      <c r="BP236" s="77">
        <f t="shared" ref="BP236" ca="1" si="1661">COUNTIF($M$236:$M$237,BO236)*$D$31</f>
        <v>6</v>
      </c>
      <c r="BQ236" s="110"/>
      <c r="BR236" s="76" t="s">
        <v>74</v>
      </c>
      <c r="BS236" s="77">
        <f t="shared" ref="BS236" ca="1" si="1662">COUNTIF($M$236:$M$237,BR236)*$D$31</f>
        <v>6</v>
      </c>
      <c r="BT236" s="110"/>
      <c r="BU236" s="76" t="s">
        <v>74</v>
      </c>
      <c r="BV236" s="77">
        <f t="shared" ref="BV236" ca="1" si="1663">COUNTIF($M$236:$M$237,BU236)*$D$31</f>
        <v>6</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6</v>
      </c>
      <c r="CI236" s="110"/>
      <c r="CJ236" s="76" t="s">
        <v>74</v>
      </c>
      <c r="CK236" s="77">
        <f t="shared" ref="CK236" ca="1" si="1668">COUNTIF($M$236:$M$237,CJ236)*$D$31</f>
        <v>6</v>
      </c>
      <c r="CL236" s="110"/>
      <c r="CM236" s="76" t="s">
        <v>74</v>
      </c>
      <c r="CN236" s="77">
        <f t="shared" ref="CN236" ca="1" si="1669">COUNTIF($M$236:$M$237,CM236)*$D$31</f>
        <v>6</v>
      </c>
      <c r="CO236" s="110"/>
      <c r="CP236" s="76" t="s">
        <v>74</v>
      </c>
      <c r="CQ236" s="77">
        <f t="shared" ref="CQ236" ca="1" si="1670">COUNTIF($M$236:$M$237,CP236)*$D$31</f>
        <v>6</v>
      </c>
      <c r="CR236" s="110"/>
      <c r="CS236" s="76" t="s">
        <v>74</v>
      </c>
      <c r="CT236" s="77">
        <f t="shared" ref="CT236" ca="1" si="1671">COUNTIF($M$236:$M$237,CS236)*$D$31</f>
        <v>6</v>
      </c>
      <c r="CU236" s="110"/>
      <c r="CV236" s="76" t="s">
        <v>74</v>
      </c>
      <c r="CW236" s="77">
        <f t="shared" ref="CW236" ca="1" si="1672">COUNTIF($M$236:$M$237,CV236)*$D$31</f>
        <v>6</v>
      </c>
      <c r="CX236" s="110"/>
      <c r="CY236" s="76" t="s">
        <v>38</v>
      </c>
      <c r="CZ236" s="77">
        <f t="shared" ref="CZ236" ca="1" si="1673">COUNTIF($M$236:$M$237,CY236)*$D$31</f>
        <v>0</v>
      </c>
      <c r="DA236" s="110"/>
      <c r="DB236" s="76" t="s">
        <v>74</v>
      </c>
      <c r="DC236" s="77">
        <f t="shared" ref="DC236" ca="1" si="1674">COUNTIF($M$236:$M$237,DB236)*$D$31</f>
        <v>6</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6</v>
      </c>
      <c r="DP236" s="110"/>
      <c r="DQ236" s="795" t="s">
        <v>76</v>
      </c>
      <c r="DR236" s="77">
        <f t="shared" ref="DR236" ca="1" si="1679">COUNTIF($M$236:$M$237,DQ236)*$D$31</f>
        <v>6</v>
      </c>
      <c r="DS236" s="110"/>
      <c r="DT236" s="76" t="s">
        <v>77</v>
      </c>
      <c r="DU236" s="77">
        <f t="shared" ref="DU236" ca="1" si="1680">COUNTIF($M$236:$M$237,DT236)*$D$31</f>
        <v>0</v>
      </c>
      <c r="DV236" s="110"/>
      <c r="DW236" s="76" t="s">
        <v>74</v>
      </c>
      <c r="DX236" s="77">
        <f t="shared" ref="DX236" ca="1" si="1681">COUNTIF($M$236:$M$237,DW236)*$D$31</f>
        <v>6</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6</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 ca="1">WORLDCUP!AF143</f>
        <v>Inglaterra</v>
      </c>
      <c r="N237" s="25"/>
      <c r="O237" s="25"/>
      <c r="P237" s="25"/>
      <c r="Q237" s="25"/>
      <c r="R237" s="17"/>
      <c r="S237" s="80" t="s">
        <v>1256</v>
      </c>
      <c r="T237" s="81">
        <f ca="1">COUNTIF($M$236:$M$237,S237)*$D$31</f>
        <v>0</v>
      </c>
      <c r="U237" s="110"/>
      <c r="V237" s="80" t="s">
        <v>76</v>
      </c>
      <c r="W237" s="81">
        <f t="shared" ref="W237" ca="1" si="1695">COUNTIF($M$236:$M$237,V237)*$D$31</f>
        <v>6</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6</v>
      </c>
      <c r="AM237" s="110"/>
      <c r="AN237" s="80" t="s">
        <v>76</v>
      </c>
      <c r="AO237" s="81">
        <f t="shared" ref="AO237" ca="1" si="1701">COUNTIF($M$236:$M$237,AN237)*$D$31</f>
        <v>6</v>
      </c>
      <c r="AP237" s="110"/>
      <c r="AQ237" s="80" t="s">
        <v>76</v>
      </c>
      <c r="AR237" s="81">
        <f t="shared" ref="AR237" ca="1" si="1702">COUNTIF($M$236:$M$237,AQ237)*$D$31</f>
        <v>6</v>
      </c>
      <c r="AS237" s="110"/>
      <c r="AT237" s="80" t="s">
        <v>76</v>
      </c>
      <c r="AU237" s="81">
        <f t="shared" ref="AU237" ca="1" si="1703">COUNTIF($M$236:$M$237,AT237)*$D$31</f>
        <v>6</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6</v>
      </c>
      <c r="BH237" s="110"/>
      <c r="BI237" s="80" t="s">
        <v>79</v>
      </c>
      <c r="BJ237" s="81">
        <f t="shared" ref="BJ237" ca="1" si="1708">COUNTIF($M$236:$M$237,BI237)*$D$31</f>
        <v>0</v>
      </c>
      <c r="BK237" s="110"/>
      <c r="BL237" s="80" t="s">
        <v>76</v>
      </c>
      <c r="BM237" s="81">
        <f t="shared" ref="BM237" ca="1" si="1709">COUNTIF($M$236:$M$237,BL237)*$D$31</f>
        <v>6</v>
      </c>
      <c r="BN237" s="110"/>
      <c r="BO237" s="80" t="s">
        <v>76</v>
      </c>
      <c r="BP237" s="81">
        <f t="shared" ref="BP237" ca="1" si="1710">COUNTIF($M$236:$M$237,BO237)*$D$31</f>
        <v>6</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6</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6</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6</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6</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12</v>
      </c>
      <c r="X238" s="49"/>
      <c r="Y238" s="84"/>
      <c r="Z238" s="71">
        <f t="shared" ref="Z238" ca="1" si="1745">SUM(Z236:Z237)</f>
        <v>6</v>
      </c>
      <c r="AA238" s="49"/>
      <c r="AB238" s="84"/>
      <c r="AC238" s="71">
        <f t="shared" ref="AC238" ca="1" si="1746">SUM(AC236:AC237)</f>
        <v>0</v>
      </c>
      <c r="AD238" s="49"/>
      <c r="AE238" s="84"/>
      <c r="AF238" s="71">
        <f t="shared" ref="AF238" ca="1" si="1747">SUM(AF236:AF237)</f>
        <v>0</v>
      </c>
      <c r="AG238" s="49"/>
      <c r="AH238" s="84"/>
      <c r="AI238" s="71">
        <f t="shared" ref="AI238" ca="1" si="1748">SUM(AI236:AI237)</f>
        <v>6</v>
      </c>
      <c r="AJ238" s="49"/>
      <c r="AK238" s="84"/>
      <c r="AL238" s="71">
        <f t="shared" ref="AL238" ca="1" si="1749">SUM(AL236:AL237)</f>
        <v>6</v>
      </c>
      <c r="AM238" s="49"/>
      <c r="AN238" s="84"/>
      <c r="AO238" s="71">
        <f t="shared" ref="AO238" ca="1" si="1750">SUM(AO236:AO237)</f>
        <v>6</v>
      </c>
      <c r="AP238" s="49"/>
      <c r="AQ238" s="84"/>
      <c r="AR238" s="71">
        <f t="shared" ref="AR238" ca="1" si="1751">SUM(AR236:AR237)</f>
        <v>12</v>
      </c>
      <c r="AS238" s="49"/>
      <c r="AT238" s="84"/>
      <c r="AU238" s="71">
        <f t="shared" ref="AU238" ca="1" si="1752">SUM(AU236:AU237)</f>
        <v>6</v>
      </c>
      <c r="AV238" s="49"/>
      <c r="AW238" s="84"/>
      <c r="AX238" s="71">
        <f t="shared" ref="AX238" ca="1" si="1753">SUM(AX236:AX237)</f>
        <v>0</v>
      </c>
      <c r="AY238" s="49"/>
      <c r="AZ238" s="84"/>
      <c r="BA238" s="71">
        <f t="shared" ref="BA238" ca="1" si="1754">SUM(BA236:BA237)</f>
        <v>6</v>
      </c>
      <c r="BB238" s="49"/>
      <c r="BC238" s="84"/>
      <c r="BD238" s="71">
        <f t="shared" ref="BD238" ca="1" si="1755">SUM(BD236:BD237)</f>
        <v>6</v>
      </c>
      <c r="BE238" s="49"/>
      <c r="BF238" s="84"/>
      <c r="BG238" s="71">
        <f t="shared" ref="BG238" ca="1" si="1756">SUM(BG236:BG237)</f>
        <v>12</v>
      </c>
      <c r="BH238" s="49"/>
      <c r="BI238" s="84"/>
      <c r="BJ238" s="71">
        <f t="shared" ref="BJ238" ca="1" si="1757">SUM(BJ236:BJ237)</f>
        <v>6</v>
      </c>
      <c r="BK238" s="49"/>
      <c r="BL238" s="84"/>
      <c r="BM238" s="71">
        <f t="shared" ref="BM238" ca="1" si="1758">SUM(BM236:BM237)</f>
        <v>12</v>
      </c>
      <c r="BN238" s="49"/>
      <c r="BO238" s="84"/>
      <c r="BP238" s="71">
        <f t="shared" ref="BP238" ca="1" si="1759">SUM(BP236:BP237)</f>
        <v>12</v>
      </c>
      <c r="BQ238" s="49"/>
      <c r="BR238" s="84"/>
      <c r="BS238" s="71">
        <f t="shared" ref="BS238" ca="1" si="1760">SUM(BS236:BS237)</f>
        <v>6</v>
      </c>
      <c r="BT238" s="49"/>
      <c r="BU238" s="84"/>
      <c r="BV238" s="71">
        <f t="shared" ref="BV238" ca="1" si="1761">SUM(BV236:BV237)</f>
        <v>6</v>
      </c>
      <c r="BW238" s="49"/>
      <c r="BX238" s="84"/>
      <c r="BY238" s="71">
        <f t="shared" ref="BY238" ca="1" si="1762">SUM(BY236:BY237)</f>
        <v>0</v>
      </c>
      <c r="BZ238" s="49"/>
      <c r="CA238" s="84"/>
      <c r="CB238" s="71">
        <f t="shared" ref="CB238" ca="1" si="1763">SUM(CB236:CB237)</f>
        <v>6</v>
      </c>
      <c r="CC238" s="49"/>
      <c r="CD238" s="84"/>
      <c r="CE238" s="71">
        <f t="shared" ref="CE238" ca="1" si="1764">SUM(CE236:CE237)</f>
        <v>0</v>
      </c>
      <c r="CF238" s="49"/>
      <c r="CG238" s="84"/>
      <c r="CH238" s="71">
        <f t="shared" ref="CH238" ca="1" si="1765">SUM(CH236:CH237)</f>
        <v>6</v>
      </c>
      <c r="CI238" s="49"/>
      <c r="CJ238" s="84"/>
      <c r="CK238" s="71">
        <f t="shared" ref="CK238" ca="1" si="1766">SUM(CK236:CK237)</f>
        <v>12</v>
      </c>
      <c r="CL238" s="49"/>
      <c r="CM238" s="84"/>
      <c r="CN238" s="71">
        <f t="shared" ref="CN238" ca="1" si="1767">SUM(CN236:CN237)</f>
        <v>6</v>
      </c>
      <c r="CO238" s="49"/>
      <c r="CP238" s="84"/>
      <c r="CQ238" s="71">
        <f t="shared" ref="CQ238" ca="1" si="1768">SUM(CQ236:CQ237)</f>
        <v>6</v>
      </c>
      <c r="CR238" s="49"/>
      <c r="CS238" s="84"/>
      <c r="CT238" s="71">
        <f t="shared" ref="CT238" ca="1" si="1769">SUM(CT236:CT237)</f>
        <v>6</v>
      </c>
      <c r="CU238" s="49"/>
      <c r="CV238" s="84"/>
      <c r="CW238" s="71">
        <f t="shared" ref="CW238" ca="1" si="1770">SUM(CW236:CW237)</f>
        <v>6</v>
      </c>
      <c r="CX238" s="49"/>
      <c r="CY238" s="84"/>
      <c r="CZ238" s="71">
        <f t="shared" ref="CZ238" ca="1" si="1771">SUM(CZ236:CZ237)</f>
        <v>0</v>
      </c>
      <c r="DA238" s="49"/>
      <c r="DB238" s="84"/>
      <c r="DC238" s="71">
        <f t="shared" ref="DC238" ca="1" si="1772">SUM(DC236:DC237)</f>
        <v>6</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6</v>
      </c>
      <c r="DP238" s="49"/>
      <c r="DQ238" s="796"/>
      <c r="DR238" s="71">
        <f t="shared" ref="DR238" ca="1" si="1777">SUM(DR236:DR237)</f>
        <v>6</v>
      </c>
      <c r="DS238" s="49"/>
      <c r="DT238" s="84"/>
      <c r="DU238" s="71">
        <f t="shared" ref="DU238" ca="1" si="1778">SUM(DU236:DU237)</f>
        <v>0</v>
      </c>
      <c r="DV238" s="49"/>
      <c r="DW238" s="84"/>
      <c r="DX238" s="71">
        <f t="shared" ref="DX238" ca="1" si="1779">SUM(DX236:DX237)</f>
        <v>12</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12</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 ca="1">WORLDCUP!AA147</f>
        <v>España</v>
      </c>
      <c r="N240" s="25"/>
      <c r="O240" s="25"/>
      <c r="P240" s="25"/>
      <c r="Q240" s="25"/>
      <c r="R240" s="17"/>
      <c r="S240" s="76" t="s">
        <v>77</v>
      </c>
      <c r="T240" s="77">
        <f ca="1">COUNTIF($M$240:$M$241,S240)*$D$32</f>
        <v>0</v>
      </c>
      <c r="U240" s="110"/>
      <c r="V240" s="76" t="s">
        <v>38</v>
      </c>
      <c r="W240" s="77">
        <f t="shared" ref="W240" ca="1" si="1793">COUNTIF($M$240:$M$241,V240)*$D$32</f>
        <v>7</v>
      </c>
      <c r="X240" s="110"/>
      <c r="Y240" s="76" t="s">
        <v>38</v>
      </c>
      <c r="Z240" s="77">
        <f t="shared" ref="Z240" ca="1" si="1794">COUNTIF($M$240:$M$241,Y240)*$D$32</f>
        <v>7</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7</v>
      </c>
      <c r="AJ240" s="110"/>
      <c r="AK240" s="76" t="s">
        <v>38</v>
      </c>
      <c r="AL240" s="77">
        <f t="shared" ref="AL240" ca="1" si="1798">COUNTIF($M$240:$M$241,AK240)*$D$32</f>
        <v>7</v>
      </c>
      <c r="AM240" s="110"/>
      <c r="AN240" s="76" t="s">
        <v>111</v>
      </c>
      <c r="AO240" s="77">
        <f t="shared" ref="AO240" ca="1" si="1799">COUNTIF($M$240:$M$241,AN240)*$D$32</f>
        <v>0</v>
      </c>
      <c r="AP240" s="110"/>
      <c r="AQ240" s="76" t="s">
        <v>38</v>
      </c>
      <c r="AR240" s="77">
        <f t="shared" ref="AR240" ca="1" si="1800">COUNTIF($M$240:$M$241,AQ240)*$D$32</f>
        <v>7</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7</v>
      </c>
      <c r="BB240" s="110"/>
      <c r="BC240" s="76" t="s">
        <v>38</v>
      </c>
      <c r="BD240" s="77">
        <f t="shared" ref="BD240" ca="1" si="1804">COUNTIF($M$240:$M$241,BC240)*$D$32</f>
        <v>7</v>
      </c>
      <c r="BE240" s="110"/>
      <c r="BF240" s="76" t="s">
        <v>38</v>
      </c>
      <c r="BG240" s="77">
        <f t="shared" ref="BG240" ca="1" si="1805">COUNTIF($M$240:$M$241,BF240)*$D$32</f>
        <v>7</v>
      </c>
      <c r="BH240" s="110"/>
      <c r="BI240" s="76" t="s">
        <v>38</v>
      </c>
      <c r="BJ240" s="77">
        <f t="shared" ref="BJ240" ca="1" si="1806">COUNTIF($M$240:$M$241,BI240)*$D$32</f>
        <v>7</v>
      </c>
      <c r="BK240" s="110"/>
      <c r="BL240" s="76" t="s">
        <v>38</v>
      </c>
      <c r="BM240" s="77">
        <f t="shared" ref="BM240" ca="1" si="1807">COUNTIF($M$240:$M$241,BL240)*$D$32</f>
        <v>7</v>
      </c>
      <c r="BN240" s="110"/>
      <c r="BO240" s="76" t="s">
        <v>38</v>
      </c>
      <c r="BP240" s="77">
        <f t="shared" ref="BP240" ca="1" si="1808">COUNTIF($M$240:$M$241,BO240)*$D$32</f>
        <v>7</v>
      </c>
      <c r="BQ240" s="110"/>
      <c r="BR240" s="76" t="s">
        <v>38</v>
      </c>
      <c r="BS240" s="77">
        <f t="shared" ref="BS240" ca="1" si="1809">COUNTIF($M$240:$M$241,BR240)*$D$32</f>
        <v>7</v>
      </c>
      <c r="BT240" s="110"/>
      <c r="BU240" s="76" t="s">
        <v>38</v>
      </c>
      <c r="BV240" s="77">
        <f t="shared" ref="BV240" ca="1" si="1810">COUNTIF($M$240:$M$241,BU240)*$D$32</f>
        <v>7</v>
      </c>
      <c r="BW240" s="110"/>
      <c r="BX240" s="76" t="s">
        <v>74</v>
      </c>
      <c r="BY240" s="77">
        <f t="shared" ref="BY240" ca="1" si="1811">COUNTIF($M$240:$M$241,BX240)*$D$32</f>
        <v>0</v>
      </c>
      <c r="BZ240" s="110"/>
      <c r="CA240" s="76" t="s">
        <v>38</v>
      </c>
      <c r="CB240" s="77">
        <f t="shared" ref="CB240" ca="1" si="1812">COUNTIF($M$240:$M$241,CA240)*$D$32</f>
        <v>7</v>
      </c>
      <c r="CC240" s="110"/>
      <c r="CD240" s="76" t="s">
        <v>74</v>
      </c>
      <c r="CE240" s="77">
        <f t="shared" ref="CE240" ca="1" si="1813">COUNTIF($M$240:$M$241,CD240)*$D$32</f>
        <v>0</v>
      </c>
      <c r="CF240" s="110"/>
      <c r="CG240" s="76" t="s">
        <v>38</v>
      </c>
      <c r="CH240" s="77">
        <f t="shared" ref="CH240" ca="1" si="1814">COUNTIF($M$240:$M$241,CG240)*$D$32</f>
        <v>7</v>
      </c>
      <c r="CI240" s="110"/>
      <c r="CJ240" s="76" t="s">
        <v>38</v>
      </c>
      <c r="CK240" s="77">
        <f t="shared" ref="CK240" ca="1" si="1815">COUNTIF($M$240:$M$241,CJ240)*$D$32</f>
        <v>7</v>
      </c>
      <c r="CL240" s="110"/>
      <c r="CM240" s="76" t="s">
        <v>38</v>
      </c>
      <c r="CN240" s="77">
        <f t="shared" ref="CN240" ca="1" si="1816">COUNTIF($M$240:$M$241,CM240)*$D$32</f>
        <v>7</v>
      </c>
      <c r="CO240" s="110"/>
      <c r="CP240" s="76" t="s">
        <v>38</v>
      </c>
      <c r="CQ240" s="77">
        <f t="shared" ref="CQ240" ca="1" si="1817">COUNTIF($M$240:$M$241,CP240)*$D$32</f>
        <v>7</v>
      </c>
      <c r="CR240" s="110"/>
      <c r="CS240" s="76" t="s">
        <v>38</v>
      </c>
      <c r="CT240" s="77">
        <f t="shared" ref="CT240" ca="1" si="1818">COUNTIF($M$240:$M$241,CS240)*$D$32</f>
        <v>7</v>
      </c>
      <c r="CU240" s="110"/>
      <c r="CV240" s="76" t="s">
        <v>38</v>
      </c>
      <c r="CW240" s="77">
        <f t="shared" ref="CW240" ca="1" si="1819">COUNTIF($M$240:$M$241,CV240)*$D$32</f>
        <v>7</v>
      </c>
      <c r="CX240" s="110"/>
      <c r="CY240" s="76" t="s">
        <v>74</v>
      </c>
      <c r="CZ240" s="77">
        <f t="shared" ref="CZ240" ca="1" si="1820">COUNTIF($M$240:$M$241,CY240)*$D$32</f>
        <v>0</v>
      </c>
      <c r="DA240" s="110"/>
      <c r="DB240" s="76" t="s">
        <v>38</v>
      </c>
      <c r="DC240" s="77">
        <f t="shared" ref="DC240" ca="1" si="1821">COUNTIF($M$240:$M$241,DB240)*$D$32</f>
        <v>7</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7</v>
      </c>
      <c r="DP240" s="110"/>
      <c r="DQ240" s="795" t="s">
        <v>1258</v>
      </c>
      <c r="DR240" s="77">
        <f t="shared" ref="DR240" ca="1" si="1826">COUNTIF($M$240:$M$241,DQ240)*$D$32</f>
        <v>0</v>
      </c>
      <c r="DS240" s="110"/>
      <c r="DT240" s="76" t="s">
        <v>38</v>
      </c>
      <c r="DU240" s="77">
        <f t="shared" ref="DU240" ca="1" si="1827">COUNTIF($M$240:$M$241,DT240)*$D$32</f>
        <v>7</v>
      </c>
      <c r="DV240" s="110"/>
      <c r="DW240" s="76" t="s">
        <v>38</v>
      </c>
      <c r="DX240" s="77">
        <f t="shared" ref="DX240" ca="1" si="1828">COUNTIF($M$240:$M$241,DW240)*$D$32</f>
        <v>7</v>
      </c>
      <c r="DY240" s="110"/>
      <c r="DZ240" s="76" t="s">
        <v>38</v>
      </c>
      <c r="EA240" s="77">
        <f t="shared" ref="EA240" ca="1" si="1829">COUNTIF($M$240:$M$241,DZ240)*$D$32</f>
        <v>7</v>
      </c>
      <c r="EB240" s="110"/>
      <c r="EC240" s="76" t="s">
        <v>38</v>
      </c>
      <c r="ED240" s="77">
        <f t="shared" ref="ED240" ca="1" si="1830">COUNTIF($M$240:$M$241,EC240)*$D$32</f>
        <v>7</v>
      </c>
      <c r="EE240" s="110"/>
      <c r="EF240" s="76" t="s">
        <v>38</v>
      </c>
      <c r="EG240" s="77">
        <f t="shared" ref="EG240" ca="1" si="1831">COUNTIF($M$240:$M$241,EF240)*$D$32</f>
        <v>7</v>
      </c>
      <c r="EH240" s="110"/>
      <c r="EI240" s="76" t="s">
        <v>38</v>
      </c>
      <c r="EJ240" s="77">
        <f t="shared" ref="EJ240" ca="1" si="1832">COUNTIF($M$240:$M$241,EI240)*$D$32</f>
        <v>7</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 ca="1">WORLDCUP!AF147</f>
        <v>Argentina</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7</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7</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7</v>
      </c>
      <c r="BH241" s="110"/>
      <c r="BI241" s="80" t="s">
        <v>1258</v>
      </c>
      <c r="BJ241" s="81">
        <f t="shared" ref="BJ241" ca="1" si="1855">COUNTIF($M$240:$M$241,BI241)*$D$32</f>
        <v>0</v>
      </c>
      <c r="BK241" s="110"/>
      <c r="BL241" s="80" t="s">
        <v>1256</v>
      </c>
      <c r="BM241" s="81">
        <f t="shared" ref="BM241" ca="1" si="1856">COUNTIF($M$240:$M$241,BL241)*$D$32</f>
        <v>7</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7</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7</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7</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7</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7</v>
      </c>
      <c r="X242" s="49"/>
      <c r="Y242" s="84"/>
      <c r="Z242" s="71">
        <f t="shared" ref="Z242" ca="1" si="1892">SUM(Z240:Z241)</f>
        <v>7</v>
      </c>
      <c r="AA242" s="49"/>
      <c r="AB242" s="84"/>
      <c r="AC242" s="71">
        <f t="shared" ref="AC242" ca="1" si="1893">SUM(AC240:AC241)</f>
        <v>0</v>
      </c>
      <c r="AD242" s="49"/>
      <c r="AE242" s="84"/>
      <c r="AF242" s="71">
        <f t="shared" ref="AF242" ca="1" si="1894">SUM(AF240:AF241)</f>
        <v>0</v>
      </c>
      <c r="AG242" s="49"/>
      <c r="AH242" s="84"/>
      <c r="AI242" s="71">
        <f t="shared" ref="AI242" ca="1" si="1895">SUM(AI240:AI241)</f>
        <v>14</v>
      </c>
      <c r="AJ242" s="49"/>
      <c r="AK242" s="84"/>
      <c r="AL242" s="71">
        <f t="shared" ref="AL242" ca="1" si="1896">SUM(AL240:AL241)</f>
        <v>7</v>
      </c>
      <c r="AM242" s="49"/>
      <c r="AN242" s="84"/>
      <c r="AO242" s="71">
        <f t="shared" ref="AO242" ca="1" si="1897">SUM(AO240:AO241)</f>
        <v>0</v>
      </c>
      <c r="AP242" s="49"/>
      <c r="AQ242" s="84"/>
      <c r="AR242" s="71">
        <f t="shared" ref="AR242" ca="1" si="1898">SUM(AR240:AR241)</f>
        <v>14</v>
      </c>
      <c r="AS242" s="49"/>
      <c r="AT242" s="84"/>
      <c r="AU242" s="71">
        <f t="shared" ref="AU242" ca="1" si="1899">SUM(AU240:AU241)</f>
        <v>0</v>
      </c>
      <c r="AV242" s="49"/>
      <c r="AW242" s="84"/>
      <c r="AX242" s="71">
        <f t="shared" ref="AX242" ca="1" si="1900">SUM(AX240:AX241)</f>
        <v>0</v>
      </c>
      <c r="AY242" s="49"/>
      <c r="AZ242" s="84"/>
      <c r="BA242" s="71">
        <f t="shared" ref="BA242" ca="1" si="1901">SUM(BA240:BA241)</f>
        <v>7</v>
      </c>
      <c r="BB242" s="49"/>
      <c r="BC242" s="84"/>
      <c r="BD242" s="71">
        <f t="shared" ref="BD242" ca="1" si="1902">SUM(BD240:BD241)</f>
        <v>7</v>
      </c>
      <c r="BE242" s="49"/>
      <c r="BF242" s="84"/>
      <c r="BG242" s="71">
        <f t="shared" ref="BG242" ca="1" si="1903">SUM(BG240:BG241)</f>
        <v>14</v>
      </c>
      <c r="BH242" s="49"/>
      <c r="BI242" s="84"/>
      <c r="BJ242" s="71">
        <f t="shared" ref="BJ242" ca="1" si="1904">SUM(BJ240:BJ241)</f>
        <v>7</v>
      </c>
      <c r="BK242" s="49"/>
      <c r="BL242" s="84"/>
      <c r="BM242" s="71">
        <f t="shared" ref="BM242" ca="1" si="1905">SUM(BM240:BM241)</f>
        <v>14</v>
      </c>
      <c r="BN242" s="49"/>
      <c r="BO242" s="84"/>
      <c r="BP242" s="71">
        <f t="shared" ref="BP242" ca="1" si="1906">SUM(BP240:BP241)</f>
        <v>7</v>
      </c>
      <c r="BQ242" s="49"/>
      <c r="BR242" s="84"/>
      <c r="BS242" s="71">
        <f t="shared" ref="BS242" ca="1" si="1907">SUM(BS240:BS241)</f>
        <v>7</v>
      </c>
      <c r="BT242" s="49"/>
      <c r="BU242" s="84"/>
      <c r="BV242" s="71">
        <f t="shared" ref="BV242" ca="1" si="1908">SUM(BV240:BV241)</f>
        <v>7</v>
      </c>
      <c r="BW242" s="49"/>
      <c r="BX242" s="84"/>
      <c r="BY242" s="71">
        <f t="shared" ref="BY242" ca="1" si="1909">SUM(BY240:BY241)</f>
        <v>0</v>
      </c>
      <c r="BZ242" s="49"/>
      <c r="CA242" s="84"/>
      <c r="CB242" s="71">
        <f t="shared" ref="CB242" ca="1" si="1910">SUM(CB240:CB241)</f>
        <v>14</v>
      </c>
      <c r="CC242" s="49"/>
      <c r="CD242" s="84"/>
      <c r="CE242" s="71">
        <f t="shared" ref="CE242" ca="1" si="1911">SUM(CE240:CE241)</f>
        <v>0</v>
      </c>
      <c r="CF242" s="49"/>
      <c r="CG242" s="84"/>
      <c r="CH242" s="71">
        <f t="shared" ref="CH242" ca="1" si="1912">SUM(CH240:CH241)</f>
        <v>7</v>
      </c>
      <c r="CI242" s="49"/>
      <c r="CJ242" s="84"/>
      <c r="CK242" s="71">
        <f t="shared" ref="CK242" ca="1" si="1913">SUM(CK240:CK241)</f>
        <v>7</v>
      </c>
      <c r="CL242" s="49"/>
      <c r="CM242" s="84"/>
      <c r="CN242" s="71">
        <f t="shared" ref="CN242" ca="1" si="1914">SUM(CN240:CN241)</f>
        <v>7</v>
      </c>
      <c r="CO242" s="49"/>
      <c r="CP242" s="84"/>
      <c r="CQ242" s="71">
        <f t="shared" ref="CQ242" ca="1" si="1915">SUM(CQ240:CQ241)</f>
        <v>7</v>
      </c>
      <c r="CR242" s="49"/>
      <c r="CS242" s="84"/>
      <c r="CT242" s="71">
        <f t="shared" ref="CT242" ca="1" si="1916">SUM(CT240:CT241)</f>
        <v>14</v>
      </c>
      <c r="CU242" s="49"/>
      <c r="CV242" s="84"/>
      <c r="CW242" s="71">
        <f t="shared" ref="CW242" ca="1" si="1917">SUM(CW240:CW241)</f>
        <v>7</v>
      </c>
      <c r="CX242" s="49"/>
      <c r="CY242" s="84"/>
      <c r="CZ242" s="71">
        <f t="shared" ref="CZ242" ca="1" si="1918">SUM(CZ240:CZ241)</f>
        <v>0</v>
      </c>
      <c r="DA242" s="49"/>
      <c r="DB242" s="84"/>
      <c r="DC242" s="71">
        <f t="shared" ref="DC242" ca="1" si="1919">SUM(DC240:DC241)</f>
        <v>14</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7</v>
      </c>
      <c r="DP242" s="49"/>
      <c r="DQ242" s="796"/>
      <c r="DR242" s="71">
        <f t="shared" ref="DR242" ca="1" si="1924">SUM(DR240:DR241)</f>
        <v>0</v>
      </c>
      <c r="DS242" s="49"/>
      <c r="DT242" s="84"/>
      <c r="DU242" s="71">
        <f t="shared" ref="DU242" ca="1" si="1925">SUM(DU240:DU241)</f>
        <v>7</v>
      </c>
      <c r="DV242" s="49"/>
      <c r="DW242" s="84"/>
      <c r="DX242" s="71">
        <f t="shared" ref="DX242" ca="1" si="1926">SUM(DX240:DX241)</f>
        <v>7</v>
      </c>
      <c r="DY242" s="49"/>
      <c r="DZ242" s="84"/>
      <c r="EA242" s="71">
        <f t="shared" ref="EA242" ca="1" si="1927">SUM(EA240:EA241)</f>
        <v>14</v>
      </c>
      <c r="EB242" s="49"/>
      <c r="EC242" s="84"/>
      <c r="ED242" s="71">
        <f t="shared" ref="ED242" ca="1" si="1928">SUM(ED240:ED241)</f>
        <v>7</v>
      </c>
      <c r="EE242" s="49"/>
      <c r="EF242" s="84"/>
      <c r="EG242" s="71">
        <f t="shared" ref="EG242" ca="1" si="1929">SUM(EG240:EG241)</f>
        <v>7</v>
      </c>
      <c r="EH242" s="49"/>
      <c r="EI242" s="84"/>
      <c r="EJ242" s="71">
        <f t="shared" ref="EJ242" ca="1" si="1930">SUM(EJ240:EJ241)</f>
        <v>7</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6</v>
      </c>
      <c r="B244" s="25">
        <f>WORLDCUP!AC143</f>
        <v>4</v>
      </c>
      <c r="C244" s="25" t="str">
        <f ca="1">CONCATENATE(WORLDCUP!AF143,"-",WORLDCUP!AA143)</f>
        <v>Inglaterra-Francia</v>
      </c>
      <c r="D244" s="25">
        <f>IF(WORLDCUP!AC143&gt;WORLDCUP!AD143,2,IF(WORLDCUP!AC143&lt;WORLDCUP!AD143,1,IF(AND(WORLDCUP!AC143=WORLDCUP!AD143,WORLDCUP!AC143&lt;&gt;"",WORLDCUP!AD143&lt;&gt;""),0,"PD")))</f>
        <v>1</v>
      </c>
      <c r="E244" s="25" t="str">
        <f>IF(OR(WORLDCUP!AD143="",WORLDCUP!AC143=""),"-",A244&amp;"-"&amp;B244)</f>
        <v>6-4</v>
      </c>
      <c r="F244" s="407">
        <f>SUM($D$33:$D$35)*$I$244</f>
        <v>4</v>
      </c>
      <c r="G244" s="407">
        <f ca="1">VLOOKUP(H244,Equipos!$Q$1:$R$25,2,0)</f>
        <v>24</v>
      </c>
      <c r="H244" s="65" t="str">
        <f>Idiomas!$D$264</f>
        <v>3-4 &amp; Final</v>
      </c>
      <c r="I244" s="43">
        <v>1</v>
      </c>
      <c r="J244" s="98" t="s">
        <v>493</v>
      </c>
      <c r="K244" s="114" t="str">
        <f ca="1">CONCATENATE(WORLDCUP!AA143,"-",WORLDCUP!AF143)</f>
        <v>Francia-Inglaterra</v>
      </c>
      <c r="L244" s="114">
        <f>IF(OR(WORLDCUP!AC143="",WORLDCUP!AD143=""),"PD",IF(WORLDCUP!AC143&gt;WORLDCUP!AD143,1,IF(WORLDCUP!AC143&lt;WORLDCUP!AD143,2,0)))</f>
        <v>2</v>
      </c>
      <c r="M244" s="117" t="str">
        <f>IF(L244="PD","-",N244&amp;"-"&amp;O244)</f>
        <v>4-6</v>
      </c>
      <c r="N244" s="25">
        <f>WORLDCUP!AC143</f>
        <v>4</v>
      </c>
      <c r="O244" s="25">
        <f>WORLDCUP!AD143</f>
        <v>6</v>
      </c>
      <c r="P244" s="25">
        <f>+N244-O244</f>
        <v>-2</v>
      </c>
      <c r="Q244" s="25">
        <f>+A244-B244</f>
        <v>2</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2031</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2117</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2145</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2171</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2202</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2226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2248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2274</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2294</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2320</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2031</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2249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2031</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2031</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2294</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2420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2439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2459</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2274</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2494</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2507</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2521</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2536</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2542</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2542</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2341</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2587</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2605</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2274</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2633</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2645</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2672</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2695</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2711</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2725</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2667</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2750</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2758</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1</v>
      </c>
      <c r="C247" s="25" t="str">
        <f ca="1">CONCATENATE(WORLDCUP!AF147,"-",WORLDCUP!AA147)</f>
        <v>Argentina-España</v>
      </c>
      <c r="D247" s="25">
        <f>IF(WORLDCUP!AC147&gt;WORLDCUP!AD147,2,IF(WORLDCUP!AC147&lt;WORLDCUP!AD147,1,IF(AND(WORLDCUP!AC147=WORLDCUP!AD147,WORLDCUP!AC147&lt;&gt;"",WORLDCUP!AD147&lt;&gt;""),0,"PD")))</f>
        <v>2</v>
      </c>
      <c r="E247" s="25" t="str">
        <f>IF(OR(WORLDCUP!AD147="",WORLDCUP!AC147=""),"-",A247&amp;"-"&amp;B247)</f>
        <v>0-1</v>
      </c>
      <c r="F247" s="407">
        <f>SUM($D$36:$D$38)*$I$247</f>
        <v>4</v>
      </c>
      <c r="G247" s="407">
        <f ca="1">VLOOKUP(H247,Equipos!$Q$1:$R$25,2,0)</f>
        <v>24</v>
      </c>
      <c r="H247" s="65" t="str">
        <f>Idiomas!$D$264</f>
        <v>3-4 &amp; Final</v>
      </c>
      <c r="I247" s="43">
        <v>1</v>
      </c>
      <c r="J247" s="98" t="s">
        <v>4</v>
      </c>
      <c r="K247" s="114" t="str">
        <f ca="1">CONCATENATE(WORLDCUP!AA147,"-",WORLDCUP!AF147)</f>
        <v>España-Argentina</v>
      </c>
      <c r="L247" s="114">
        <f>IF(OR(WORLDCUP!AC147="",WORLDCUP!AD147=""),"PD",IF(WORLDCUP!AC147&gt;WORLDCUP!AD147,1,IF(WORLDCUP!AC147&lt;WORLDCUP!AD147,2,0)))</f>
        <v>1</v>
      </c>
      <c r="M247" s="117" t="str">
        <f>IF(L247="PD","-",N247&amp;"-"&amp;O247)</f>
        <v>1-0</v>
      </c>
      <c r="N247" s="25">
        <f>WORLDCUP!AC147</f>
        <v>1</v>
      </c>
      <c r="O247" s="25">
        <f>WORLDCUP!AD147</f>
        <v>0</v>
      </c>
      <c r="P247" s="25">
        <f>+N247-O247</f>
        <v>1</v>
      </c>
      <c r="Q247" s="25">
        <f>+A247-B247</f>
        <v>-1</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2032</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2064</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2088</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2118</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2117</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4</v>
      </c>
      <c r="AJ247" s="110"/>
      <c r="AK247" s="66" t="s">
        <v>2172</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2203</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2117</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4</v>
      </c>
      <c r="AS247" s="110"/>
      <c r="AT247" s="66" t="s">
        <v>2249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2275</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2032</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2321</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2341</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2</v>
      </c>
      <c r="BH247" s="110"/>
      <c r="BI247" s="66" t="s">
        <v>2360</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2341</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2</v>
      </c>
      <c r="BN247" s="110"/>
      <c r="BO247" s="66" t="s">
        <v>2387</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2172</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2387</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2088</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2117</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4</v>
      </c>
      <c r="CC247" s="110"/>
      <c r="CD247" s="66" t="s">
        <v>2320</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2360</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2387</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2522</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2064</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2117</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4</v>
      </c>
      <c r="CU247" s="110"/>
      <c r="CV247" s="66" t="s">
        <v>2553</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2576</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1</v>
      </c>
      <c r="DD247" s="110"/>
      <c r="DE247" s="66" t="s">
        <v>2606</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2249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2634</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2553</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2673</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2696</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2172</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1</v>
      </c>
      <c r="EB247" s="110"/>
      <c r="EC247" s="66" t="s">
        <v>2387</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2751</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2387</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4</v>
      </c>
      <c r="AJ248" s="65"/>
      <c r="AK248" s="84"/>
      <c r="AL248" s="71">
        <f t="shared" ref="AL248" ca="1" si="2091">AL247</f>
        <v>0</v>
      </c>
      <c r="AM248" s="65"/>
      <c r="AN248" s="84"/>
      <c r="AO248" s="71">
        <f t="shared" ref="AO248" ca="1" si="2092">AO247</f>
        <v>0</v>
      </c>
      <c r="AP248" s="65"/>
      <c r="AQ248" s="84"/>
      <c r="AR248" s="71">
        <f t="shared" ref="AR248" ca="1" si="2093">AR247</f>
        <v>4</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2</v>
      </c>
      <c r="BH248" s="65"/>
      <c r="BI248" s="84"/>
      <c r="BJ248" s="71">
        <f t="shared" ref="BJ248" ca="1" si="2099">BJ247</f>
        <v>0</v>
      </c>
      <c r="BK248" s="65"/>
      <c r="BL248" s="84"/>
      <c r="BM248" s="71">
        <f t="shared" ref="BM248" ca="1" si="2100">BM247</f>
        <v>2</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4</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4</v>
      </c>
      <c r="CU248" s="65"/>
      <c r="CV248" s="84"/>
      <c r="CW248" s="71">
        <f t="shared" ref="CW248" ca="1" si="2112">CW247</f>
        <v>0</v>
      </c>
      <c r="CX248" s="65"/>
      <c r="CY248" s="84"/>
      <c r="CZ248" s="71">
        <f t="shared" ref="CZ248" ca="1" si="2113">CZ247</f>
        <v>0</v>
      </c>
      <c r="DA248" s="65"/>
      <c r="DB248" s="84"/>
      <c r="DC248" s="71">
        <f t="shared" ref="DC248" ca="1" si="2114">DC247</f>
        <v>1</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1</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 ca="1">WORLDCUP!AA150</f>
        <v>España</v>
      </c>
      <c r="N250" s="25"/>
      <c r="O250" s="25"/>
      <c r="P250" s="25"/>
      <c r="Q250" s="25"/>
      <c r="R250" s="17"/>
      <c r="S250" s="76" t="s">
        <v>77</v>
      </c>
      <c r="T250" s="77">
        <f ca="1">COUNTIF($M$250,S250)*$D$39</f>
        <v>0</v>
      </c>
      <c r="U250" s="64"/>
      <c r="V250" s="76" t="s">
        <v>38</v>
      </c>
      <c r="W250" s="77">
        <f t="shared" ref="W250" ca="1" si="2136">COUNTIF($M$250,V250)*$D$39</f>
        <v>20</v>
      </c>
      <c r="X250" s="64"/>
      <c r="Y250" s="76" t="s">
        <v>38</v>
      </c>
      <c r="Z250" s="77">
        <f t="shared" ref="Z250" ca="1" si="2137">COUNTIF($M$250,Y250)*$D$39</f>
        <v>20</v>
      </c>
      <c r="AA250" s="64"/>
      <c r="AB250" s="76" t="s">
        <v>74</v>
      </c>
      <c r="AC250" s="77">
        <f t="shared" ref="AC250" ca="1" si="2138">COUNTIF($M$250,AB250)*$D$39</f>
        <v>0</v>
      </c>
      <c r="AD250" s="64"/>
      <c r="AE250" s="76" t="s">
        <v>74</v>
      </c>
      <c r="AF250" s="77">
        <f t="shared" ref="AF250" ca="1" si="2139">COUNTIF($M$250,AE250)*$D$39</f>
        <v>0</v>
      </c>
      <c r="AG250" s="64"/>
      <c r="AH250" s="76" t="s">
        <v>38</v>
      </c>
      <c r="AI250" s="77">
        <f t="shared" ref="AI250" ca="1" si="2140">COUNTIF($M$250,AH250)*$D$39</f>
        <v>20</v>
      </c>
      <c r="AJ250" s="64"/>
      <c r="AK250" s="76" t="s">
        <v>79</v>
      </c>
      <c r="AL250" s="77">
        <f t="shared" ref="AL250" ca="1" si="2141">COUNTIF($M$250,AK250)*$D$39</f>
        <v>0</v>
      </c>
      <c r="AM250" s="64"/>
      <c r="AN250" s="76" t="s">
        <v>79</v>
      </c>
      <c r="AO250" s="77">
        <f t="shared" ref="AO250" ca="1" si="2142">COUNTIF($M$250,AN250)*$D$39</f>
        <v>0</v>
      </c>
      <c r="AP250" s="64"/>
      <c r="AQ250" s="76" t="s">
        <v>38</v>
      </c>
      <c r="AR250" s="77">
        <f t="shared" ref="AR250" ca="1" si="2143">COUNTIF($M$250,AQ250)*$D$39</f>
        <v>20</v>
      </c>
      <c r="AS250" s="64"/>
      <c r="AT250" s="76" t="s">
        <v>79</v>
      </c>
      <c r="AU250" s="77">
        <f t="shared" ref="AU250" ca="1" si="2144">COUNTIF($M$250,AT250)*$D$39</f>
        <v>0</v>
      </c>
      <c r="AV250" s="64"/>
      <c r="AW250" s="76" t="s">
        <v>79</v>
      </c>
      <c r="AX250" s="77">
        <f t="shared" ref="AX250" ca="1" si="2145">COUNTIF($M$250,AW250)*$D$39</f>
        <v>0</v>
      </c>
      <c r="AY250" s="64"/>
      <c r="AZ250" s="76" t="s">
        <v>38</v>
      </c>
      <c r="BA250" s="77">
        <f t="shared" ref="BA250" ca="1" si="2146">COUNTIF($M$250,AZ250)*$D$39</f>
        <v>20</v>
      </c>
      <c r="BB250" s="64"/>
      <c r="BC250" s="76" t="s">
        <v>1258</v>
      </c>
      <c r="BD250" s="77">
        <f t="shared" ref="BD250" ca="1" si="2147">COUNTIF($M$250,BC250)*$D$39</f>
        <v>0</v>
      </c>
      <c r="BE250" s="64"/>
      <c r="BF250" s="76" t="s">
        <v>38</v>
      </c>
      <c r="BG250" s="77">
        <f t="shared" ref="BG250" ca="1" si="2148">COUNTIF($M$250,BF250)*$D$39</f>
        <v>20</v>
      </c>
      <c r="BH250" s="64"/>
      <c r="BI250" s="76" t="s">
        <v>38</v>
      </c>
      <c r="BJ250" s="77">
        <f t="shared" ref="BJ250" ca="1" si="2149">COUNTIF($M$250,BI250)*$D$39</f>
        <v>20</v>
      </c>
      <c r="BK250" s="64"/>
      <c r="BL250" s="76" t="s">
        <v>38</v>
      </c>
      <c r="BM250" s="77">
        <f t="shared" ref="BM250" ca="1" si="2150">COUNTIF($M$250,BL250)*$D$39</f>
        <v>20</v>
      </c>
      <c r="BN250" s="64"/>
      <c r="BO250" s="76" t="s">
        <v>38</v>
      </c>
      <c r="BP250" s="77">
        <f t="shared" ref="BP250" ca="1" si="2151">COUNTIF($M$250,BO250)*$D$39</f>
        <v>20</v>
      </c>
      <c r="BQ250" s="64"/>
      <c r="BR250" s="76" t="s">
        <v>79</v>
      </c>
      <c r="BS250" s="77">
        <f t="shared" ref="BS250" ca="1" si="2152">COUNTIF($M$250,BR250)*$D$39</f>
        <v>0</v>
      </c>
      <c r="BT250" s="64"/>
      <c r="BU250" s="76" t="s">
        <v>38</v>
      </c>
      <c r="BV250" s="77">
        <f t="shared" ref="BV250" ca="1" si="2153">COUNTIF($M$250,BU250)*$D$39</f>
        <v>20</v>
      </c>
      <c r="BW250" s="64"/>
      <c r="BX250" s="76" t="s">
        <v>74</v>
      </c>
      <c r="BY250" s="77">
        <f t="shared" ref="BY250" ca="1" si="2154">COUNTIF($M$250,BX250)*$D$39</f>
        <v>0</v>
      </c>
      <c r="BZ250" s="64"/>
      <c r="CA250" s="76" t="s">
        <v>38</v>
      </c>
      <c r="CB250" s="77">
        <f t="shared" ref="CB250" ca="1" si="2155">COUNTIF($M$250,CA250)*$D$39</f>
        <v>20</v>
      </c>
      <c r="CC250" s="64"/>
      <c r="CD250" s="76" t="s">
        <v>79</v>
      </c>
      <c r="CE250" s="77">
        <f t="shared" ref="CE250" ca="1" si="2156">COUNTIF($M$250,CD250)*$D$39</f>
        <v>0</v>
      </c>
      <c r="CF250" s="64"/>
      <c r="CG250" s="76" t="s">
        <v>38</v>
      </c>
      <c r="CH250" s="77">
        <f t="shared" ref="CH250" ca="1" si="2157">COUNTIF($M$250,CG250)*$D$39</f>
        <v>20</v>
      </c>
      <c r="CI250" s="64"/>
      <c r="CJ250" s="76" t="s">
        <v>38</v>
      </c>
      <c r="CK250" s="77">
        <f t="shared" ref="CK250" ca="1" si="2158">COUNTIF($M$250,CJ250)*$D$39</f>
        <v>20</v>
      </c>
      <c r="CL250" s="64"/>
      <c r="CM250" s="76" t="s">
        <v>38</v>
      </c>
      <c r="CN250" s="77">
        <f t="shared" ref="CN250" ca="1" si="2159">COUNTIF($M$250,CM250)*$D$39</f>
        <v>20</v>
      </c>
      <c r="CO250" s="64"/>
      <c r="CP250" s="76" t="s">
        <v>38</v>
      </c>
      <c r="CQ250" s="77">
        <f t="shared" ref="CQ250" ca="1" si="2160">COUNTIF($M$250,CP250)*$D$39</f>
        <v>20</v>
      </c>
      <c r="CR250" s="64"/>
      <c r="CS250" s="76" t="s">
        <v>38</v>
      </c>
      <c r="CT250" s="77">
        <f t="shared" ref="CT250" ca="1" si="2161">COUNTIF($M$250,CS250)*$D$39</f>
        <v>20</v>
      </c>
      <c r="CU250" s="64"/>
      <c r="CV250" s="76" t="s">
        <v>79</v>
      </c>
      <c r="CW250" s="77">
        <f t="shared" ref="CW250" ca="1" si="2162">COUNTIF($M$250,CV250)*$D$39</f>
        <v>0</v>
      </c>
      <c r="CX250" s="64"/>
      <c r="CY250" s="76" t="s">
        <v>76</v>
      </c>
      <c r="CZ250" s="77">
        <f t="shared" ref="CZ250" ca="1" si="2163">COUNTIF($M$250,CY250)*$D$39</f>
        <v>0</v>
      </c>
      <c r="DA250" s="64"/>
      <c r="DB250" s="76" t="s">
        <v>38</v>
      </c>
      <c r="DC250" s="77">
        <f t="shared" ref="DC250" ca="1" si="2164">COUNTIF($M$250,DB250)*$D$39</f>
        <v>20</v>
      </c>
      <c r="DD250" s="64"/>
      <c r="DE250" s="76" t="s">
        <v>1258</v>
      </c>
      <c r="DF250" s="77">
        <f t="shared" ref="DF250" ca="1" si="2165">COUNTIF($M$250,DE250)*$D$39</f>
        <v>0</v>
      </c>
      <c r="DG250" s="64"/>
      <c r="DH250" s="76" t="s">
        <v>79</v>
      </c>
      <c r="DI250" s="77">
        <f t="shared" ref="DI250" ca="1" si="2166">COUNTIF($M$250,DH250)*$D$39</f>
        <v>0</v>
      </c>
      <c r="DJ250" s="64"/>
      <c r="DK250" s="76" t="s">
        <v>74</v>
      </c>
      <c r="DL250" s="77">
        <f t="shared" ref="DL250" ca="1" si="2167">COUNTIF($M$250,DK250)*$D$39</f>
        <v>0</v>
      </c>
      <c r="DM250" s="64"/>
      <c r="DN250" s="795" t="s">
        <v>38</v>
      </c>
      <c r="DO250" s="77">
        <f t="shared" ref="DO250" ca="1" si="2168">COUNTIF($M$250,DN250)*$D$39</f>
        <v>20</v>
      </c>
      <c r="DP250" s="64"/>
      <c r="DQ250" s="795" t="s">
        <v>1258</v>
      </c>
      <c r="DR250" s="77">
        <f t="shared" ref="DR250" ca="1" si="2169">COUNTIF($M$250,DQ250)*$D$39</f>
        <v>0</v>
      </c>
      <c r="DS250" s="64"/>
      <c r="DT250" s="76" t="s">
        <v>38</v>
      </c>
      <c r="DU250" s="77">
        <f t="shared" ref="DU250" ca="1" si="2170">COUNTIF($M$250,DT250)*$D$39</f>
        <v>20</v>
      </c>
      <c r="DV250" s="64"/>
      <c r="DW250" s="76" t="s">
        <v>79</v>
      </c>
      <c r="DX250" s="77">
        <f t="shared" ref="DX250" ca="1" si="2171">COUNTIF($M$250,DW250)*$D$39</f>
        <v>0</v>
      </c>
      <c r="DY250" s="64"/>
      <c r="DZ250" s="76" t="s">
        <v>38</v>
      </c>
      <c r="EA250" s="77">
        <f t="shared" ref="EA250" ca="1" si="2172">COUNTIF($M$250,DZ250)*$D$39</f>
        <v>20</v>
      </c>
      <c r="EB250" s="64"/>
      <c r="EC250" s="76" t="s">
        <v>38</v>
      </c>
      <c r="ED250" s="77">
        <f t="shared" ref="ED250" ca="1" si="2173">COUNTIF($M$250,EC250)*$D$39</f>
        <v>20</v>
      </c>
      <c r="EE250" s="64"/>
      <c r="EF250" s="76" t="s">
        <v>38</v>
      </c>
      <c r="EG250" s="77">
        <f t="shared" ref="EG250" ca="1" si="2174">COUNTIF($M$250,EF250)*$D$39</f>
        <v>20</v>
      </c>
      <c r="EH250" s="64"/>
      <c r="EI250" s="76" t="s">
        <v>38</v>
      </c>
      <c r="EJ250" s="77">
        <f t="shared" ref="EJ250" ca="1" si="2175">COUNTIF($M$250,EI250)*$D$39</f>
        <v>20</v>
      </c>
      <c r="EK250" s="64"/>
      <c r="EL250" s="76"/>
      <c r="EM250" s="77">
        <f t="shared" ref="EM250" ca="1" si="2176">COUNTIF($M$250,EL250)*$D$39</f>
        <v>0</v>
      </c>
      <c r="EN250" s="64"/>
      <c r="EO250" s="76"/>
      <c r="EP250" s="77">
        <f t="shared" ref="EP250" ca="1" si="2177">COUNTIF($M$250,EO250)*$D$39</f>
        <v>0</v>
      </c>
      <c r="EQ250" s="64"/>
      <c r="ER250" s="76"/>
      <c r="ES250" s="77">
        <f t="shared" ref="ES250" ca="1" si="2178">COUNTIF($M$250,ER250)*$D$39</f>
        <v>0</v>
      </c>
      <c r="ET250" s="64"/>
      <c r="EU250" s="76"/>
      <c r="EV250" s="77">
        <f t="shared" ref="EV250" ca="1" si="2179">COUNTIF($M$250,EU250)*$D$39</f>
        <v>0</v>
      </c>
      <c r="EW250" s="64"/>
      <c r="EX250" s="76"/>
      <c r="EY250" s="77">
        <f t="shared" ref="EY250" ca="1" si="2180">COUNTIF($M$250,EX250)*$D$39</f>
        <v>0</v>
      </c>
      <c r="EZ250" s="64"/>
      <c r="FA250" s="76"/>
      <c r="FB250" s="77">
        <f t="shared" ref="FB250" ca="1" si="2181">COUNTIF($M$250,FA250)*$D$39</f>
        <v>0</v>
      </c>
      <c r="FC250" s="64"/>
      <c r="FD250" s="76"/>
      <c r="FE250" s="77">
        <f t="shared" ref="FE250" ca="1" si="2182">COUNTIF($M$250,FD250)*$D$39</f>
        <v>0</v>
      </c>
      <c r="FF250" s="64"/>
      <c r="FG250" s="76"/>
      <c r="FH250" s="77">
        <f t="shared" ref="FH250" ca="1" si="2183">COUNTIF($M$250,FG250)*$D$39</f>
        <v>0</v>
      </c>
      <c r="FI250" s="64"/>
      <c r="FJ250" s="76"/>
      <c r="FK250" s="77">
        <f t="shared" ref="FK250" ca="1"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 ca="1">WORLDCUP!AA151</f>
        <v>Argentina</v>
      </c>
      <c r="N251" s="25"/>
      <c r="O251" s="25"/>
      <c r="P251" s="25"/>
      <c r="Q251" s="25"/>
      <c r="R251" s="17"/>
      <c r="S251" s="74" t="s">
        <v>76</v>
      </c>
      <c r="T251" s="73">
        <f ca="1">COUNTIF($M$251,S251)*$D$40</f>
        <v>0</v>
      </c>
      <c r="U251" s="64"/>
      <c r="V251" s="74" t="s">
        <v>79</v>
      </c>
      <c r="W251" s="73">
        <f t="shared" ref="W251" ca="1" si="2185">COUNTIF($M$251,V251)*$D$40</f>
        <v>0</v>
      </c>
      <c r="X251" s="64"/>
      <c r="Y251" s="74" t="s">
        <v>79</v>
      </c>
      <c r="Z251" s="73">
        <f t="shared" ref="Z251" ca="1" si="2186">COUNTIF($M$251,Y251)*$D$40</f>
        <v>0</v>
      </c>
      <c r="AA251" s="64"/>
      <c r="AB251" s="74" t="s">
        <v>76</v>
      </c>
      <c r="AC251" s="73">
        <f t="shared" ref="AC251" ca="1" si="2187">COUNTIF($M$251,AB251)*$D$40</f>
        <v>0</v>
      </c>
      <c r="AD251" s="64"/>
      <c r="AE251" s="74" t="s">
        <v>1258</v>
      </c>
      <c r="AF251" s="73">
        <f t="shared" ref="AF251" ca="1" si="2188">COUNTIF($M$251,AE251)*$D$40</f>
        <v>0</v>
      </c>
      <c r="AG251" s="64"/>
      <c r="AH251" s="74" t="s">
        <v>1256</v>
      </c>
      <c r="AI251" s="73">
        <f t="shared" ref="AI251" ca="1" si="2189">COUNTIF($M$251,AH251)*$D$40</f>
        <v>15</v>
      </c>
      <c r="AJ251" s="64"/>
      <c r="AK251" s="74" t="s">
        <v>38</v>
      </c>
      <c r="AL251" s="73">
        <f t="shared" ref="AL251" ca="1" si="2190">COUNTIF($M$251,AK251)*$D$40</f>
        <v>0</v>
      </c>
      <c r="AM251" s="64"/>
      <c r="AN251" s="74" t="s">
        <v>111</v>
      </c>
      <c r="AO251" s="73">
        <f t="shared" ref="AO251" ca="1" si="2191">COUNTIF($M$251,AN251)*$D$40</f>
        <v>0</v>
      </c>
      <c r="AP251" s="64"/>
      <c r="AQ251" s="74" t="s">
        <v>1256</v>
      </c>
      <c r="AR251" s="73">
        <f t="shared" ref="AR251" ca="1" si="2192">COUNTIF($M$251,AQ251)*$D$40</f>
        <v>15</v>
      </c>
      <c r="AS251" s="64"/>
      <c r="AT251" s="74" t="s">
        <v>74</v>
      </c>
      <c r="AU251" s="73">
        <f t="shared" ref="AU251" ca="1" si="2193">COUNTIF($M$251,AT251)*$D$40</f>
        <v>0</v>
      </c>
      <c r="AV251" s="64"/>
      <c r="AW251" s="74" t="s">
        <v>74</v>
      </c>
      <c r="AX251" s="73">
        <f t="shared" ref="AX251" ca="1" si="2194">COUNTIF($M$251,AW251)*$D$40</f>
        <v>0</v>
      </c>
      <c r="AY251" s="64"/>
      <c r="AZ251" s="74" t="s">
        <v>79</v>
      </c>
      <c r="BA251" s="73">
        <f t="shared" ref="BA251" ca="1" si="2195">COUNTIF($M$251,AZ251)*$D$40</f>
        <v>0</v>
      </c>
      <c r="BB251" s="64"/>
      <c r="BC251" s="74" t="s">
        <v>38</v>
      </c>
      <c r="BD251" s="73">
        <f t="shared" ref="BD251" ca="1" si="2196">COUNTIF($M$251,BC251)*$D$40</f>
        <v>0</v>
      </c>
      <c r="BE251" s="64"/>
      <c r="BF251" s="74" t="s">
        <v>1256</v>
      </c>
      <c r="BG251" s="73">
        <f t="shared" ref="BG251" ca="1" si="2197">COUNTIF($M$251,BF251)*$D$40</f>
        <v>15</v>
      </c>
      <c r="BH251" s="64"/>
      <c r="BI251" s="74" t="s">
        <v>1258</v>
      </c>
      <c r="BJ251" s="73">
        <f t="shared" ref="BJ251" ca="1" si="2198">COUNTIF($M$251,BI251)*$D$40</f>
        <v>0</v>
      </c>
      <c r="BK251" s="64"/>
      <c r="BL251" s="74" t="s">
        <v>1256</v>
      </c>
      <c r="BM251" s="73">
        <f t="shared" ref="BM251" ca="1" si="2199">COUNTIF($M$251,BL251)*$D$40</f>
        <v>15</v>
      </c>
      <c r="BN251" s="64"/>
      <c r="BO251" s="74" t="s">
        <v>79</v>
      </c>
      <c r="BP251" s="73">
        <f t="shared" ref="BP251" ca="1" si="2200">COUNTIF($M$251,BO251)*$D$40</f>
        <v>0</v>
      </c>
      <c r="BQ251" s="64"/>
      <c r="BR251" s="74" t="s">
        <v>38</v>
      </c>
      <c r="BS251" s="73">
        <f t="shared" ref="BS251" ca="1" si="2201">COUNTIF($M$251,BR251)*$D$40</f>
        <v>0</v>
      </c>
      <c r="BT251" s="64"/>
      <c r="BU251" s="74" t="s">
        <v>79</v>
      </c>
      <c r="BV251" s="73">
        <f t="shared" ref="BV251" ca="1" si="2202">COUNTIF($M$251,BU251)*$D$40</f>
        <v>0</v>
      </c>
      <c r="BW251" s="64"/>
      <c r="BX251" s="74" t="s">
        <v>76</v>
      </c>
      <c r="BY251" s="73">
        <f t="shared" ref="BY251" ca="1" si="2203">COUNTIF($M$251,BX251)*$D$40</f>
        <v>0</v>
      </c>
      <c r="BZ251" s="64"/>
      <c r="CA251" s="74" t="s">
        <v>1256</v>
      </c>
      <c r="CB251" s="73">
        <f t="shared" ref="CB251" ca="1" si="2204">COUNTIF($M$251,CA251)*$D$40</f>
        <v>15</v>
      </c>
      <c r="CC251" s="64"/>
      <c r="CD251" s="74" t="s">
        <v>74</v>
      </c>
      <c r="CE251" s="73">
        <f t="shared" ref="CE251" ca="1" si="2205">COUNTIF($M$251,CD251)*$D$40</f>
        <v>0</v>
      </c>
      <c r="CF251" s="64"/>
      <c r="CG251" s="74" t="s">
        <v>1258</v>
      </c>
      <c r="CH251" s="73">
        <f t="shared" ref="CH251" ca="1" si="2206">COUNTIF($M$251,CG251)*$D$40</f>
        <v>0</v>
      </c>
      <c r="CI251" s="64"/>
      <c r="CJ251" s="74" t="s">
        <v>79</v>
      </c>
      <c r="CK251" s="73">
        <f t="shared" ref="CK251" ca="1" si="2207">COUNTIF($M$251,CJ251)*$D$40</f>
        <v>0</v>
      </c>
      <c r="CL251" s="64"/>
      <c r="CM251" s="74" t="s">
        <v>79</v>
      </c>
      <c r="CN251" s="73">
        <f t="shared" ref="CN251" ca="1" si="2208">COUNTIF($M$251,CM251)*$D$40</f>
        <v>0</v>
      </c>
      <c r="CO251" s="64"/>
      <c r="CP251" s="74" t="s">
        <v>79</v>
      </c>
      <c r="CQ251" s="73">
        <f t="shared" ref="CQ251" ca="1" si="2209">COUNTIF($M$251,CP251)*$D$40</f>
        <v>0</v>
      </c>
      <c r="CR251" s="64"/>
      <c r="CS251" s="74" t="s">
        <v>1256</v>
      </c>
      <c r="CT251" s="73">
        <f t="shared" ref="CT251" ca="1" si="2210">COUNTIF($M$251,CS251)*$D$40</f>
        <v>15</v>
      </c>
      <c r="CU251" s="64"/>
      <c r="CV251" s="74" t="s">
        <v>38</v>
      </c>
      <c r="CW251" s="73">
        <f t="shared" ref="CW251" ca="1" si="2211">COUNTIF($M$251,CV251)*$D$40</f>
        <v>0</v>
      </c>
      <c r="CX251" s="64"/>
      <c r="CY251" s="74" t="s">
        <v>74</v>
      </c>
      <c r="CZ251" s="73">
        <f t="shared" ref="CZ251" ca="1" si="2212">COUNTIF($M$251,CY251)*$D$40</f>
        <v>0</v>
      </c>
      <c r="DA251" s="64"/>
      <c r="DB251" s="74" t="s">
        <v>1256</v>
      </c>
      <c r="DC251" s="73">
        <f t="shared" ref="DC251" ca="1" si="2213">COUNTIF($M$251,DB251)*$D$40</f>
        <v>15</v>
      </c>
      <c r="DD251" s="64"/>
      <c r="DE251" s="74" t="s">
        <v>77</v>
      </c>
      <c r="DF251" s="73">
        <f t="shared" ref="DF251" ca="1" si="2214">COUNTIF($M$251,DE251)*$D$40</f>
        <v>0</v>
      </c>
      <c r="DG251" s="64"/>
      <c r="DH251" s="74" t="s">
        <v>74</v>
      </c>
      <c r="DI251" s="73">
        <f t="shared" ref="DI251" ca="1" si="2215">COUNTIF($M$251,DH251)*$D$40</f>
        <v>0</v>
      </c>
      <c r="DJ251" s="64"/>
      <c r="DK251" s="74" t="s">
        <v>79</v>
      </c>
      <c r="DL251" s="73">
        <f t="shared" ref="DL251" ca="1" si="2216">COUNTIF($M$251,DK251)*$D$40</f>
        <v>0</v>
      </c>
      <c r="DM251" s="64"/>
      <c r="DN251" s="795" t="s">
        <v>79</v>
      </c>
      <c r="DO251" s="73">
        <f t="shared" ref="DO251" ca="1" si="2217">COUNTIF($M$251,DN251)*$D$40</f>
        <v>0</v>
      </c>
      <c r="DP251" s="64"/>
      <c r="DQ251" s="795" t="s">
        <v>79</v>
      </c>
      <c r="DR251" s="73">
        <f t="shared" ref="DR251" ca="1" si="2218">COUNTIF($M$251,DQ251)*$D$40</f>
        <v>0</v>
      </c>
      <c r="DS251" s="64"/>
      <c r="DT251" s="74" t="s">
        <v>1258</v>
      </c>
      <c r="DU251" s="73">
        <f t="shared" ref="DU251" ca="1" si="2219">COUNTIF($M$251,DT251)*$D$40</f>
        <v>0</v>
      </c>
      <c r="DV251" s="64"/>
      <c r="DW251" s="74" t="s">
        <v>38</v>
      </c>
      <c r="DX251" s="73">
        <f t="shared" ref="DX251" ca="1" si="2220">COUNTIF($M$251,DW251)*$D$40</f>
        <v>0</v>
      </c>
      <c r="DY251" s="64"/>
      <c r="DZ251" s="74" t="s">
        <v>1256</v>
      </c>
      <c r="EA251" s="73">
        <f t="shared" ref="EA251" ca="1" si="2221">COUNTIF($M$251,DZ251)*$D$40</f>
        <v>15</v>
      </c>
      <c r="EB251" s="64"/>
      <c r="EC251" s="74" t="s">
        <v>79</v>
      </c>
      <c r="ED251" s="73">
        <f t="shared" ref="ED251" ca="1" si="2222">COUNTIF($M$251,EC251)*$D$40</f>
        <v>0</v>
      </c>
      <c r="EE251" s="64"/>
      <c r="EF251" s="74" t="s">
        <v>76</v>
      </c>
      <c r="EG251" s="73">
        <f t="shared" ref="EG251" ca="1" si="2223">COUNTIF($M$251,EF251)*$D$40</f>
        <v>0</v>
      </c>
      <c r="EH251" s="64"/>
      <c r="EI251" s="74" t="s">
        <v>79</v>
      </c>
      <c r="EJ251" s="73">
        <f t="shared" ref="EJ251" ca="1" si="2224">COUNTIF($M$251,EI251)*$D$40</f>
        <v>0</v>
      </c>
      <c r="EK251" s="64"/>
      <c r="EL251" s="74"/>
      <c r="EM251" s="73">
        <f t="shared" ref="EM251" ca="1" si="2225">COUNTIF($M$251,EL251)*$D$40</f>
        <v>0</v>
      </c>
      <c r="EN251" s="64"/>
      <c r="EO251" s="74"/>
      <c r="EP251" s="73">
        <f t="shared" ref="EP251" ca="1" si="2226">COUNTIF($M$251,EO251)*$D$40</f>
        <v>0</v>
      </c>
      <c r="EQ251" s="64"/>
      <c r="ER251" s="74"/>
      <c r="ES251" s="73">
        <f t="shared" ref="ES251" ca="1" si="2227">COUNTIF($M$251,ER251)*$D$40</f>
        <v>0</v>
      </c>
      <c r="ET251" s="64"/>
      <c r="EU251" s="74"/>
      <c r="EV251" s="73">
        <f t="shared" ref="EV251" ca="1" si="2228">COUNTIF($M$251,EU251)*$D$40</f>
        <v>0</v>
      </c>
      <c r="EW251" s="64"/>
      <c r="EX251" s="74"/>
      <c r="EY251" s="73">
        <f t="shared" ref="EY251" ca="1" si="2229">COUNTIF($M$251,EX251)*$D$40</f>
        <v>0</v>
      </c>
      <c r="EZ251" s="64"/>
      <c r="FA251" s="74"/>
      <c r="FB251" s="73">
        <f t="shared" ref="FB251" ca="1" si="2230">COUNTIF($M$251,FA251)*$D$40</f>
        <v>0</v>
      </c>
      <c r="FC251" s="64"/>
      <c r="FD251" s="74"/>
      <c r="FE251" s="73">
        <f t="shared" ref="FE251" ca="1" si="2231">COUNTIF($M$251,FD251)*$D$40</f>
        <v>0</v>
      </c>
      <c r="FF251" s="64"/>
      <c r="FG251" s="74"/>
      <c r="FH251" s="73">
        <f t="shared" ref="FH251" ca="1" si="2232">COUNTIF($M$251,FG251)*$D$40</f>
        <v>0</v>
      </c>
      <c r="FI251" s="64"/>
      <c r="FJ251" s="74"/>
      <c r="FK251" s="73">
        <f t="shared" ref="FK251" ca="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 ca="1">WORLDCUP!AA152</f>
        <v>Inglaterra</v>
      </c>
      <c r="N252" s="25"/>
      <c r="O252" s="25"/>
      <c r="P252" s="25"/>
      <c r="Q252" s="25"/>
      <c r="R252" s="17"/>
      <c r="S252" s="74" t="s">
        <v>38</v>
      </c>
      <c r="T252" s="73">
        <f ca="1">COUNTIF($M$252,S252)*$D$41</f>
        <v>0</v>
      </c>
      <c r="U252" s="64"/>
      <c r="V252" s="74" t="s">
        <v>74</v>
      </c>
      <c r="W252" s="73">
        <f t="shared" ref="W252" ca="1" si="2234">COUNTIF($M$252,V252)*$D$41</f>
        <v>0</v>
      </c>
      <c r="X252" s="64"/>
      <c r="Y252" s="74" t="s">
        <v>1258</v>
      </c>
      <c r="Z252" s="73">
        <f t="shared" ref="Z252" ca="1" si="2235">COUNTIF($M$252,Y252)*$D$41</f>
        <v>0</v>
      </c>
      <c r="AA252" s="64"/>
      <c r="AB252" s="74" t="s">
        <v>38</v>
      </c>
      <c r="AC252" s="73">
        <f t="shared" ref="AC252" ca="1" si="2236">COUNTIF($M$252,AB252)*$D$41</f>
        <v>0</v>
      </c>
      <c r="AD252" s="64"/>
      <c r="AE252" s="74" t="s">
        <v>38</v>
      </c>
      <c r="AF252" s="73">
        <f t="shared" ref="AF252" ca="1" si="2237">COUNTIF($M$252,AE252)*$D$41</f>
        <v>0</v>
      </c>
      <c r="AG252" s="64"/>
      <c r="AH252" s="74" t="s">
        <v>74</v>
      </c>
      <c r="AI252" s="73">
        <f t="shared" ref="AI252" ca="1" si="2238">COUNTIF($M$252,AH252)*$D$41</f>
        <v>0</v>
      </c>
      <c r="AJ252" s="64"/>
      <c r="AK252" s="74" t="s">
        <v>111</v>
      </c>
      <c r="AL252" s="73">
        <f t="shared" ref="AL252" ca="1" si="2239">COUNTIF($M$252,AK252)*$D$41</f>
        <v>0</v>
      </c>
      <c r="AM252" s="64"/>
      <c r="AN252" s="74" t="s">
        <v>76</v>
      </c>
      <c r="AO252" s="73">
        <f t="shared" ref="AO252" ca="1" si="2240">COUNTIF($M$252,AN252)*$D$41</f>
        <v>10</v>
      </c>
      <c r="AP252" s="64"/>
      <c r="AQ252" s="74" t="s">
        <v>74</v>
      </c>
      <c r="AR252" s="73">
        <f t="shared" ref="AR252" ca="1" si="2241">COUNTIF($M$252,AQ252)*$D$41</f>
        <v>0</v>
      </c>
      <c r="AS252" s="64"/>
      <c r="AT252" s="74" t="s">
        <v>38</v>
      </c>
      <c r="AU252" s="73">
        <f t="shared" ref="AU252" ca="1" si="2242">COUNTIF($M$252,AT252)*$D$41</f>
        <v>0</v>
      </c>
      <c r="AV252" s="64"/>
      <c r="AW252" s="74" t="s">
        <v>38</v>
      </c>
      <c r="AX252" s="73">
        <f t="shared" ref="AX252" ca="1" si="2243">COUNTIF($M$252,AW252)*$D$41</f>
        <v>0</v>
      </c>
      <c r="AY252" s="64"/>
      <c r="AZ252" s="74" t="s">
        <v>1258</v>
      </c>
      <c r="BA252" s="73">
        <f t="shared" ref="BA252" ca="1" si="2244">COUNTIF($M$252,AZ252)*$D$41</f>
        <v>0</v>
      </c>
      <c r="BB252" s="64"/>
      <c r="BC252" s="74" t="s">
        <v>79</v>
      </c>
      <c r="BD252" s="73">
        <f t="shared" ref="BD252" ca="1" si="2245">COUNTIF($M$252,BC252)*$D$41</f>
        <v>0</v>
      </c>
      <c r="BE252" s="64"/>
      <c r="BF252" s="74" t="s">
        <v>74</v>
      </c>
      <c r="BG252" s="73">
        <f t="shared" ref="BG252" ca="1" si="2246">COUNTIF($M$252,BF252)*$D$41</f>
        <v>0</v>
      </c>
      <c r="BH252" s="64"/>
      <c r="BI252" s="74" t="s">
        <v>79</v>
      </c>
      <c r="BJ252" s="73">
        <f t="shared" ref="BJ252" ca="1" si="2247">COUNTIF($M$252,BI252)*$D$41</f>
        <v>0</v>
      </c>
      <c r="BK252" s="64"/>
      <c r="BL252" s="74" t="s">
        <v>74</v>
      </c>
      <c r="BM252" s="73">
        <f t="shared" ref="BM252" ca="1" si="2248">COUNTIF($M$252,BL252)*$D$41</f>
        <v>0</v>
      </c>
      <c r="BN252" s="64"/>
      <c r="BO252" s="74" t="s">
        <v>74</v>
      </c>
      <c r="BP252" s="73">
        <f t="shared" ref="BP252" ca="1" si="2249">COUNTIF($M$252,BO252)*$D$41</f>
        <v>0</v>
      </c>
      <c r="BQ252" s="64"/>
      <c r="BR252" s="74" t="s">
        <v>1258</v>
      </c>
      <c r="BS252" s="73">
        <f t="shared" ref="BS252" ca="1" si="2250">COUNTIF($M$252,BR252)*$D$41</f>
        <v>0</v>
      </c>
      <c r="BT252" s="64"/>
      <c r="BU252" s="74" t="s">
        <v>74</v>
      </c>
      <c r="BV252" s="73">
        <f t="shared" ref="BV252" ca="1" si="2251">COUNTIF($M$252,BU252)*$D$41</f>
        <v>0</v>
      </c>
      <c r="BW252" s="64"/>
      <c r="BX252" s="74" t="s">
        <v>38</v>
      </c>
      <c r="BY252" s="73">
        <f t="shared" ref="BY252" ca="1" si="2252">COUNTIF($M$252,BX252)*$D$41</f>
        <v>0</v>
      </c>
      <c r="BZ252" s="64"/>
      <c r="CA252" s="74" t="s">
        <v>76</v>
      </c>
      <c r="CB252" s="73">
        <f t="shared" ref="CB252" ca="1" si="2253">COUNTIF($M$252,CA252)*$D$41</f>
        <v>10</v>
      </c>
      <c r="CC252" s="64"/>
      <c r="CD252" s="74" t="s">
        <v>38</v>
      </c>
      <c r="CE252" s="73">
        <f t="shared" ref="CE252" ca="1" si="2254">COUNTIF($M$252,CD252)*$D$41</f>
        <v>0</v>
      </c>
      <c r="CF252" s="64"/>
      <c r="CG252" s="74" t="s">
        <v>74</v>
      </c>
      <c r="CH252" s="73">
        <f t="shared" ref="CH252" ca="1" si="2255">COUNTIF($M$252,CG252)*$D$41</f>
        <v>0</v>
      </c>
      <c r="CI252" s="64"/>
      <c r="CJ252" s="74" t="s">
        <v>74</v>
      </c>
      <c r="CK252" s="73">
        <f t="shared" ref="CK252" ca="1" si="2256">COUNTIF($M$252,CJ252)*$D$41</f>
        <v>0</v>
      </c>
      <c r="CL252" s="64"/>
      <c r="CM252" s="74" t="s">
        <v>74</v>
      </c>
      <c r="CN252" s="73">
        <f t="shared" ref="CN252" ca="1" si="2257">COUNTIF($M$252,CM252)*$D$41</f>
        <v>0</v>
      </c>
      <c r="CO252" s="64"/>
      <c r="CP252" s="74" t="s">
        <v>74</v>
      </c>
      <c r="CQ252" s="73">
        <f t="shared" ref="CQ252" ca="1" si="2258">COUNTIF($M$252,CP252)*$D$41</f>
        <v>0</v>
      </c>
      <c r="CR252" s="64"/>
      <c r="CS252" s="74" t="s">
        <v>74</v>
      </c>
      <c r="CT252" s="73">
        <f t="shared" ref="CT252" ca="1" si="2259">COUNTIF($M$252,CS252)*$D$41</f>
        <v>0</v>
      </c>
      <c r="CU252" s="64"/>
      <c r="CV252" s="74" t="s">
        <v>74</v>
      </c>
      <c r="CW252" s="73">
        <f t="shared" ref="CW252" ca="1" si="2260">COUNTIF($M$252,CV252)*$D$41</f>
        <v>0</v>
      </c>
      <c r="CX252" s="64"/>
      <c r="CY252" s="74" t="s">
        <v>38</v>
      </c>
      <c r="CZ252" s="73">
        <f t="shared" ref="CZ252" ca="1" si="2261">COUNTIF($M$252,CY252)*$D$41</f>
        <v>0</v>
      </c>
      <c r="DA252" s="64"/>
      <c r="DB252" s="74" t="s">
        <v>74</v>
      </c>
      <c r="DC252" s="73">
        <f t="shared" ref="DC252" ca="1" si="2262">COUNTIF($M$252,DB252)*$D$41</f>
        <v>0</v>
      </c>
      <c r="DD252" s="64"/>
      <c r="DE252" s="74" t="s">
        <v>1256</v>
      </c>
      <c r="DF252" s="73">
        <f t="shared" ref="DF252" ca="1" si="2263">COUNTIF($M$252,DE252)*$D$41</f>
        <v>0</v>
      </c>
      <c r="DG252" s="64"/>
      <c r="DH252" s="74" t="s">
        <v>38</v>
      </c>
      <c r="DI252" s="73">
        <f t="shared" ref="DI252" ca="1" si="2264">COUNTIF($M$252,DH252)*$D$41</f>
        <v>0</v>
      </c>
      <c r="DJ252" s="64"/>
      <c r="DK252" s="74" t="s">
        <v>1261</v>
      </c>
      <c r="DL252" s="73">
        <f t="shared" ref="DL252" ca="1" si="2265">COUNTIF($M$252,DK252)*$D$41</f>
        <v>0</v>
      </c>
      <c r="DM252" s="64"/>
      <c r="DN252" s="795" t="s">
        <v>1258</v>
      </c>
      <c r="DO252" s="73">
        <f t="shared" ref="DO252" ca="1" si="2266">COUNTIF($M$252,DN252)*$D$41</f>
        <v>0</v>
      </c>
      <c r="DP252" s="64"/>
      <c r="DQ252" s="795" t="s">
        <v>76</v>
      </c>
      <c r="DR252" s="73">
        <f t="shared" ref="DR252" ca="1" si="2267">COUNTIF($M$252,DQ252)*$D$41</f>
        <v>10</v>
      </c>
      <c r="DS252" s="64"/>
      <c r="DT252" s="74" t="s">
        <v>77</v>
      </c>
      <c r="DU252" s="73">
        <f t="shared" ref="DU252" ca="1" si="2268">COUNTIF($M$252,DT252)*$D$41</f>
        <v>0</v>
      </c>
      <c r="DV252" s="64"/>
      <c r="DW252" s="74" t="s">
        <v>74</v>
      </c>
      <c r="DX252" s="73">
        <f t="shared" ref="DX252" ca="1" si="2269">COUNTIF($M$252,DW252)*$D$41</f>
        <v>0</v>
      </c>
      <c r="DY252" s="64"/>
      <c r="DZ252" s="74" t="s">
        <v>77</v>
      </c>
      <c r="EA252" s="73">
        <f t="shared" ref="EA252" ca="1" si="2270">COUNTIF($M$252,DZ252)*$D$41</f>
        <v>0</v>
      </c>
      <c r="EB252" s="64"/>
      <c r="EC252" s="74" t="s">
        <v>1258</v>
      </c>
      <c r="ED252" s="73">
        <f t="shared" ref="ED252" ca="1" si="2271">COUNTIF($M$252,EC252)*$D$41</f>
        <v>0</v>
      </c>
      <c r="EE252" s="64"/>
      <c r="EF252" s="74" t="s">
        <v>1318</v>
      </c>
      <c r="EG252" s="73">
        <f t="shared" ref="EG252" ca="1" si="2272">COUNTIF($M$252,EF252)*$D$41</f>
        <v>0</v>
      </c>
      <c r="EH252" s="64"/>
      <c r="EI252" s="74" t="s">
        <v>74</v>
      </c>
      <c r="EJ252" s="73">
        <f t="shared" ref="EJ252" ca="1" si="2273">COUNTIF($M$252,EI252)*$D$41</f>
        <v>0</v>
      </c>
      <c r="EK252" s="64"/>
      <c r="EL252" s="74"/>
      <c r="EM252" s="73">
        <f t="shared" ref="EM252" ca="1" si="2274">COUNTIF($M$252,EL252)*$D$41</f>
        <v>0</v>
      </c>
      <c r="EN252" s="64"/>
      <c r="EO252" s="74"/>
      <c r="EP252" s="73">
        <f t="shared" ref="EP252" ca="1" si="2275">COUNTIF($M$252,EO252)*$D$41</f>
        <v>0</v>
      </c>
      <c r="EQ252" s="64"/>
      <c r="ER252" s="74"/>
      <c r="ES252" s="73">
        <f t="shared" ref="ES252" ca="1" si="2276">COUNTIF($M$252,ER252)*$D$41</f>
        <v>0</v>
      </c>
      <c r="ET252" s="64"/>
      <c r="EU252" s="74"/>
      <c r="EV252" s="73">
        <f t="shared" ref="EV252" ca="1" si="2277">COUNTIF($M$252,EU252)*$D$41</f>
        <v>0</v>
      </c>
      <c r="EW252" s="64"/>
      <c r="EX252" s="74"/>
      <c r="EY252" s="73">
        <f t="shared" ref="EY252" ca="1" si="2278">COUNTIF($M$252,EX252)*$D$41</f>
        <v>0</v>
      </c>
      <c r="EZ252" s="64"/>
      <c r="FA252" s="74"/>
      <c r="FB252" s="73">
        <f t="shared" ref="FB252" ca="1" si="2279">COUNTIF($M$252,FA252)*$D$41</f>
        <v>0</v>
      </c>
      <c r="FC252" s="64"/>
      <c r="FD252" s="74"/>
      <c r="FE252" s="73">
        <f t="shared" ref="FE252" ca="1" si="2280">COUNTIF($M$252,FD252)*$D$41</f>
        <v>0</v>
      </c>
      <c r="FF252" s="64"/>
      <c r="FG252" s="74"/>
      <c r="FH252" s="73">
        <f t="shared" ref="FH252" ca="1" si="2281">COUNTIF($M$252,FG252)*$D$41</f>
        <v>0</v>
      </c>
      <c r="FI252" s="64"/>
      <c r="FJ252" s="74"/>
      <c r="FK252" s="73">
        <f t="shared" ref="FK252" ca="1"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Mbappe</v>
      </c>
      <c r="N253" s="25"/>
      <c r="O253" s="25"/>
      <c r="P253" s="25"/>
      <c r="Q253" s="25"/>
      <c r="R253" s="17"/>
      <c r="S253" s="74" t="s">
        <v>2034</v>
      </c>
      <c r="T253" s="73">
        <f>COUNTIF($M$253,S253)*$D$42</f>
        <v>0</v>
      </c>
      <c r="U253" s="64"/>
      <c r="V253" s="74" t="s">
        <v>2033</v>
      </c>
      <c r="W253" s="73">
        <f t="shared" ref="W253" si="2283">COUNTIF($M$253,V253)*$D$42</f>
        <v>20</v>
      </c>
      <c r="X253" s="64"/>
      <c r="Y253" s="74" t="s">
        <v>2065</v>
      </c>
      <c r="Z253" s="73">
        <f t="shared" ref="Z253" si="2284">COUNTIF($M$253,Y253)*$D$42</f>
        <v>0</v>
      </c>
      <c r="AA253" s="64"/>
      <c r="AB253" s="74" t="s">
        <v>2033</v>
      </c>
      <c r="AC253" s="73">
        <f t="shared" ref="AC253" si="2285">COUNTIF($M$253,AB253)*$D$42</f>
        <v>20</v>
      </c>
      <c r="AD253" s="64"/>
      <c r="AE253" s="74" t="s">
        <v>2033</v>
      </c>
      <c r="AF253" s="73">
        <f t="shared" ref="AF253" si="2286">COUNTIF($M$253,AE253)*$D$42</f>
        <v>20</v>
      </c>
      <c r="AG253" s="64"/>
      <c r="AH253" s="74" t="s">
        <v>2033</v>
      </c>
      <c r="AI253" s="73">
        <f t="shared" ref="AI253" si="2287">COUNTIF($M$253,AH253)*$D$42</f>
        <v>20</v>
      </c>
      <c r="AJ253" s="64"/>
      <c r="AK253" s="74" t="s">
        <v>2034</v>
      </c>
      <c r="AL253" s="73">
        <f t="shared" ref="AL253" si="2288">COUNTIF($M$253,AK253)*$D$42</f>
        <v>0</v>
      </c>
      <c r="AM253" s="64"/>
      <c r="AN253" s="74" t="s">
        <v>2034</v>
      </c>
      <c r="AO253" s="73">
        <f t="shared" ref="AO253" si="2289">COUNTIF($M$253,AN253)*$D$42</f>
        <v>0</v>
      </c>
      <c r="AP253" s="64"/>
      <c r="AQ253" s="74" t="s">
        <v>2227</v>
      </c>
      <c r="AR253" s="73">
        <f t="shared" ref="AR253" si="2290">COUNTIF($M$253,AQ253)*$D$42</f>
        <v>0</v>
      </c>
      <c r="AS253" s="64"/>
      <c r="AT253" s="74" t="s">
        <v>2033</v>
      </c>
      <c r="AU253" s="73">
        <f t="shared" ref="AU253" si="2291">COUNTIF($M$253,AT253)*$D$42</f>
        <v>20</v>
      </c>
      <c r="AV253" s="64"/>
      <c r="AW253" s="74" t="s">
        <v>2033</v>
      </c>
      <c r="AX253" s="73">
        <f t="shared" ref="AX253" si="2292">COUNTIF($M$253,AW253)*$D$42</f>
        <v>20</v>
      </c>
      <c r="AY253" s="64"/>
      <c r="AZ253" s="74" t="s">
        <v>2065</v>
      </c>
      <c r="BA253" s="73">
        <f t="shared" ref="BA253" si="2293">COUNTIF($M$253,AZ253)*$D$42</f>
        <v>0</v>
      </c>
      <c r="BB253" s="64"/>
      <c r="BC253" s="74" t="s">
        <v>2322</v>
      </c>
      <c r="BD253" s="73">
        <f t="shared" ref="BD253" si="2294">COUNTIF($M$253,BC253)*$D$42</f>
        <v>0</v>
      </c>
      <c r="BE253" s="64"/>
      <c r="BF253" s="74" t="s">
        <v>2033</v>
      </c>
      <c r="BG253" s="73">
        <f t="shared" ref="BG253" si="2295">COUNTIF($M$253,BF253)*$D$42</f>
        <v>20</v>
      </c>
      <c r="BH253" s="64"/>
      <c r="BI253" s="74" t="s">
        <v>2034</v>
      </c>
      <c r="BJ253" s="73">
        <f t="shared" ref="BJ253" si="2296">COUNTIF($M$253,BI253)*$D$42</f>
        <v>0</v>
      </c>
      <c r="BK253" s="64"/>
      <c r="BL253" s="74" t="s">
        <v>2033</v>
      </c>
      <c r="BM253" s="73">
        <f t="shared" ref="BM253" si="2297">COUNTIF($M$253,BL253)*$D$42</f>
        <v>20</v>
      </c>
      <c r="BN253" s="64"/>
      <c r="BO253" s="74" t="s">
        <v>2033</v>
      </c>
      <c r="BP253" s="73">
        <f t="shared" ref="BP253" si="2298">COUNTIF($M$253,BO253)*$D$42</f>
        <v>20</v>
      </c>
      <c r="BQ253" s="64"/>
      <c r="BR253" s="74" t="s">
        <v>2033</v>
      </c>
      <c r="BS253" s="73">
        <f t="shared" ref="BS253" si="2299">COUNTIF($M$253,BR253)*$D$42</f>
        <v>20</v>
      </c>
      <c r="BT253" s="64"/>
      <c r="BU253" s="74" t="s">
        <v>2066</v>
      </c>
      <c r="BV253" s="73">
        <f t="shared" ref="BV253" si="2300">COUNTIF($M$253,BU253)*$D$42</f>
        <v>0</v>
      </c>
      <c r="BW253" s="64"/>
      <c r="BX253" s="74" t="s">
        <v>2034</v>
      </c>
      <c r="BY253" s="73">
        <f t="shared" ref="BY253" si="2301">COUNTIF($M$253,BX253)*$D$42</f>
        <v>0</v>
      </c>
      <c r="BZ253" s="64"/>
      <c r="CA253" s="74" t="s">
        <v>2034</v>
      </c>
      <c r="CB253" s="73">
        <f t="shared" ref="CB253" si="2302">COUNTIF($M$253,CA253)*$D$42</f>
        <v>0</v>
      </c>
      <c r="CC253" s="64"/>
      <c r="CD253" s="74" t="s">
        <v>2065</v>
      </c>
      <c r="CE253" s="73">
        <f t="shared" ref="CE253" si="2303">COUNTIF($M$253,CD253)*$D$42</f>
        <v>0</v>
      </c>
      <c r="CF253" s="64"/>
      <c r="CG253" s="74" t="s">
        <v>2119</v>
      </c>
      <c r="CH253" s="73">
        <f t="shared" ref="CH253" si="2304">COUNTIF($M$253,CG253)*$D$42</f>
        <v>0</v>
      </c>
      <c r="CI253" s="64"/>
      <c r="CJ253" s="74" t="s">
        <v>2033</v>
      </c>
      <c r="CK253" s="73">
        <f t="shared" ref="CK253" si="2305">COUNTIF($M$253,CJ253)*$D$42</f>
        <v>20</v>
      </c>
      <c r="CL253" s="64"/>
      <c r="CM253" s="74" t="s">
        <v>2524</v>
      </c>
      <c r="CN253" s="73">
        <f t="shared" ref="CN253" si="2306">COUNTIF($M$253,CM253)*$D$42</f>
        <v>0</v>
      </c>
      <c r="CO253" s="64"/>
      <c r="CP253" s="74" t="s">
        <v>2066</v>
      </c>
      <c r="CQ253" s="73">
        <f t="shared" ref="CQ253" si="2307">COUNTIF($M$253,CP253)*$D$42</f>
        <v>0</v>
      </c>
      <c r="CR253" s="64"/>
      <c r="CS253" s="74" t="s">
        <v>2760</v>
      </c>
      <c r="CT253" s="73">
        <f t="shared" ref="CT253" si="2308">COUNTIF($M$253,CS253)*$D$42</f>
        <v>0</v>
      </c>
      <c r="CU253" s="64"/>
      <c r="CV253" s="74" t="s">
        <v>2033</v>
      </c>
      <c r="CW253" s="73">
        <f t="shared" ref="CW253" si="2309">COUNTIF($M$253,CV253)*$D$42</f>
        <v>20</v>
      </c>
      <c r="CX253" s="64"/>
      <c r="CY253" s="74" t="s">
        <v>2524</v>
      </c>
      <c r="CZ253" s="73">
        <f t="shared" ref="CZ253" si="2310">COUNTIF($M$253,CY253)*$D$42</f>
        <v>0</v>
      </c>
      <c r="DA253" s="64"/>
      <c r="DB253" s="74" t="s">
        <v>2066</v>
      </c>
      <c r="DC253" s="73">
        <f t="shared" ref="DC253" si="2311">COUNTIF($M$253,DB253)*$D$42</f>
        <v>0</v>
      </c>
      <c r="DD253" s="64"/>
      <c r="DE253" s="74" t="s">
        <v>2323</v>
      </c>
      <c r="DF253" s="73">
        <f t="shared" ref="DF253" si="2312">COUNTIF($M$253,DE253)*$D$42</f>
        <v>0</v>
      </c>
      <c r="DG253" s="64"/>
      <c r="DH253" s="74" t="s">
        <v>2619</v>
      </c>
      <c r="DI253" s="73">
        <f t="shared" ref="DI253" si="2313">COUNTIF($M$253,DH253)*$D$42</f>
        <v>0</v>
      </c>
      <c r="DJ253" s="64"/>
      <c r="DK253" s="74" t="s">
        <v>2066</v>
      </c>
      <c r="DL253" s="73">
        <f t="shared" ref="DL253" si="2314">COUNTIF($M$253,DK253)*$D$42</f>
        <v>0</v>
      </c>
      <c r="DM253" s="64"/>
      <c r="DN253" s="795" t="s">
        <v>2033</v>
      </c>
      <c r="DO253" s="73">
        <f t="shared" ref="DO253" si="2315">COUNTIF($M$253,DN253)*$D$42</f>
        <v>20</v>
      </c>
      <c r="DP253" s="64"/>
      <c r="DQ253" s="795" t="s">
        <v>2033</v>
      </c>
      <c r="DR253" s="73">
        <f t="shared" ref="DR253" si="2316">COUNTIF($M$253,DQ253)*$D$42</f>
        <v>20</v>
      </c>
      <c r="DS253" s="64"/>
      <c r="DT253" s="74" t="s">
        <v>2066</v>
      </c>
      <c r="DU253" s="73">
        <f t="shared" ref="DU253" si="2317">COUNTIF($M$253,DT253)*$D$42</f>
        <v>0</v>
      </c>
      <c r="DV253" s="64"/>
      <c r="DW253" s="74" t="s">
        <v>2033</v>
      </c>
      <c r="DX253" s="73">
        <f t="shared" ref="DX253" si="2318">COUNTIF($M$253,DW253)*$D$42</f>
        <v>20</v>
      </c>
      <c r="DY253" s="64"/>
      <c r="DZ253" s="74" t="s">
        <v>2066</v>
      </c>
      <c r="EA253" s="73">
        <f t="shared" ref="EA253" si="2319">COUNTIF($M$253,DZ253)*$D$42</f>
        <v>0</v>
      </c>
      <c r="EB253" s="64"/>
      <c r="EC253" s="74" t="s">
        <v>2065</v>
      </c>
      <c r="ED253" s="73">
        <f t="shared" ref="ED253" si="2320">COUNTIF($M$253,EC253)*$D$42</f>
        <v>0</v>
      </c>
      <c r="EE253" s="64"/>
      <c r="EF253" s="74" t="s">
        <v>2034</v>
      </c>
      <c r="EG253" s="73">
        <f t="shared" ref="EG253" si="2321">COUNTIF($M$253,EF253)*$D$42</f>
        <v>0</v>
      </c>
      <c r="EH253" s="64"/>
      <c r="EI253" s="74" t="s">
        <v>2033</v>
      </c>
      <c r="EJ253" s="73">
        <f t="shared" ref="EJ253" si="2322">COUNTIF($M$253,EI253)*$D$42</f>
        <v>20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Messi</v>
      </c>
      <c r="N254" s="25"/>
      <c r="O254" s="25"/>
      <c r="P254" s="25"/>
      <c r="Q254" s="25"/>
      <c r="R254" s="17"/>
      <c r="S254" s="74" t="s">
        <v>1996</v>
      </c>
      <c r="T254" s="73">
        <f>COUNTIF($M$254,S254)*$D$43</f>
        <v>0</v>
      </c>
      <c r="U254" s="64"/>
      <c r="V254" s="74" t="s">
        <v>2034</v>
      </c>
      <c r="W254" s="73">
        <f t="shared" ref="W254" si="2332">COUNTIF($M$254,V254)*$D$43</f>
        <v>0</v>
      </c>
      <c r="X254" s="64"/>
      <c r="Y254" s="74" t="s">
        <v>2033</v>
      </c>
      <c r="Z254" s="73">
        <f t="shared" ref="Z254" si="2333">COUNTIF($M$254,Y254)*$D$43</f>
        <v>0</v>
      </c>
      <c r="AA254" s="64"/>
      <c r="AB254" s="74" t="s">
        <v>2034</v>
      </c>
      <c r="AC254" s="73">
        <f t="shared" ref="AC254" si="2334">COUNTIF($M$254,AB254)*$D$43</f>
        <v>0</v>
      </c>
      <c r="AD254" s="64"/>
      <c r="AE254" s="74" t="s">
        <v>2034</v>
      </c>
      <c r="AF254" s="73">
        <f t="shared" ref="AF254" si="2335">COUNTIF($M$254,AE254)*$D$43</f>
        <v>0</v>
      </c>
      <c r="AG254" s="64"/>
      <c r="AH254" s="74" t="s">
        <v>2228</v>
      </c>
      <c r="AI254" s="73">
        <f t="shared" ref="AI254" si="2336">COUNTIF($M$254,AH254)*$D$43</f>
        <v>0</v>
      </c>
      <c r="AJ254" s="64"/>
      <c r="AK254" s="74" t="s">
        <v>2066</v>
      </c>
      <c r="AL254" s="73">
        <f t="shared" ref="AL254" si="2337">COUNTIF($M$254,AK254)*$D$43</f>
        <v>0</v>
      </c>
      <c r="AM254" s="64"/>
      <c r="AN254" s="74" t="s">
        <v>2524</v>
      </c>
      <c r="AO254" s="73">
        <f t="shared" ref="AO254" si="2338">COUNTIF($M$254,AN254)*$D$43</f>
        <v>0</v>
      </c>
      <c r="AP254" s="64"/>
      <c r="AQ254" s="74" t="s">
        <v>2228</v>
      </c>
      <c r="AR254" s="73">
        <f t="shared" ref="AR254" si="2339">COUNTIF($M$254,AQ254)*$D$43</f>
        <v>0</v>
      </c>
      <c r="AS254" s="64"/>
      <c r="AT254" s="74" t="s">
        <v>2034</v>
      </c>
      <c r="AU254" s="73">
        <f t="shared" ref="AU254" si="2340">COUNTIF($M$254,AT254)*$D$43</f>
        <v>0</v>
      </c>
      <c r="AV254" s="64"/>
      <c r="AW254" s="74" t="s">
        <v>2065</v>
      </c>
      <c r="AX254" s="73">
        <f t="shared" ref="AX254" si="2341">COUNTIF($M$254,AW254)*$D$43</f>
        <v>0</v>
      </c>
      <c r="AY254" s="64"/>
      <c r="AZ254" s="74" t="s">
        <v>2033</v>
      </c>
      <c r="BA254" s="73">
        <f t="shared" ref="BA254" si="2342">COUNTIF($M$254,AZ254)*$D$43</f>
        <v>0</v>
      </c>
      <c r="BB254" s="64"/>
      <c r="BC254" s="74" t="s">
        <v>2065</v>
      </c>
      <c r="BD254" s="73">
        <f t="shared" ref="BD254" si="2343">COUNTIF($M$254,BC254)*$D$43</f>
        <v>0</v>
      </c>
      <c r="BE254" s="64"/>
      <c r="BF254" s="74" t="s">
        <v>2034</v>
      </c>
      <c r="BG254" s="73">
        <f t="shared" ref="BG254" si="2344">COUNTIF($M$254,BF254)*$D$43</f>
        <v>0</v>
      </c>
      <c r="BH254" s="64"/>
      <c r="BI254" s="74" t="s">
        <v>2524</v>
      </c>
      <c r="BJ254" s="73">
        <f t="shared" ref="BJ254" si="2345">COUNTIF($M$254,BI254)*$D$43</f>
        <v>0</v>
      </c>
      <c r="BK254" s="64"/>
      <c r="BL254" s="74" t="s">
        <v>2227</v>
      </c>
      <c r="BM254" s="73">
        <f t="shared" ref="BM254" si="2346">COUNTIF($M$254,BL254)*$D$43</f>
        <v>0</v>
      </c>
      <c r="BN254" s="64"/>
      <c r="BO254" s="74" t="s">
        <v>2034</v>
      </c>
      <c r="BP254" s="73">
        <f t="shared" ref="BP254" si="2347">COUNTIF($M$254,BO254)*$D$43</f>
        <v>0</v>
      </c>
      <c r="BQ254" s="64"/>
      <c r="BR254" s="74" t="s">
        <v>2066</v>
      </c>
      <c r="BS254" s="73">
        <f t="shared" ref="BS254" si="2348">COUNTIF($M$254,BR254)*$D$43</f>
        <v>0</v>
      </c>
      <c r="BT254" s="64"/>
      <c r="BU254" s="74" t="s">
        <v>2421</v>
      </c>
      <c r="BV254" s="73">
        <f t="shared" ref="BV254" si="2349">COUNTIF($M$254,BU254)*$D$43</f>
        <v>0</v>
      </c>
      <c r="BW254" s="64"/>
      <c r="BX254" s="74" t="s">
        <v>2033</v>
      </c>
      <c r="BY254" s="73">
        <f t="shared" ref="BY254" si="2350">COUNTIF($M$254,BX254)*$D$43</f>
        <v>0</v>
      </c>
      <c r="BZ254" s="64"/>
      <c r="CA254" s="74" t="s">
        <v>2760</v>
      </c>
      <c r="CB254" s="73">
        <f t="shared" ref="CB254" si="2351">COUNTIF($M$254,CA254)*$D$43</f>
        <v>0</v>
      </c>
      <c r="CC254" s="64"/>
      <c r="CD254" s="74" t="s">
        <v>2760</v>
      </c>
      <c r="CE254" s="73">
        <f t="shared" ref="CE254" si="2352">COUNTIF($M$254,CD254)*$D$43</f>
        <v>0</v>
      </c>
      <c r="CF254" s="64"/>
      <c r="CG254" s="74" t="s">
        <v>2760</v>
      </c>
      <c r="CH254" s="73">
        <f t="shared" ref="CH254" si="2353">COUNTIF($M$254,CG254)*$D$43</f>
        <v>0</v>
      </c>
      <c r="CI254" s="64"/>
      <c r="CJ254" s="74" t="s">
        <v>2034</v>
      </c>
      <c r="CK254" s="73">
        <f t="shared" ref="CK254" si="2354">COUNTIF($M$254,CJ254)*$D$43</f>
        <v>0</v>
      </c>
      <c r="CL254" s="64"/>
      <c r="CM254" s="74" t="s">
        <v>2033</v>
      </c>
      <c r="CN254" s="73">
        <f t="shared" ref="CN254" si="2355">COUNTIF($M$254,CM254)*$D$43</f>
        <v>0</v>
      </c>
      <c r="CO254" s="64"/>
      <c r="CP254" s="74" t="s">
        <v>2228</v>
      </c>
      <c r="CQ254" s="73">
        <f t="shared" ref="CQ254" si="2356">COUNTIF($M$254,CP254)*$D$43</f>
        <v>0</v>
      </c>
      <c r="CR254" s="64"/>
      <c r="CS254" s="74" t="s">
        <v>2227</v>
      </c>
      <c r="CT254" s="73">
        <f t="shared" ref="CT254" si="2357">COUNTIF($M$254,CS254)*$D$43</f>
        <v>0</v>
      </c>
      <c r="CU254" s="64"/>
      <c r="CV254" s="74" t="s">
        <v>2034</v>
      </c>
      <c r="CW254" s="73">
        <f t="shared" ref="CW254" si="2358">COUNTIF($M$254,CV254)*$D$43</f>
        <v>0</v>
      </c>
      <c r="CX254" s="64"/>
      <c r="CY254" s="74" t="s">
        <v>2228</v>
      </c>
      <c r="CZ254" s="73">
        <f t="shared" ref="CZ254" si="2359">COUNTIF($M$254,CY254)*$D$43</f>
        <v>0</v>
      </c>
      <c r="DA254" s="64"/>
      <c r="DB254" s="74" t="s">
        <v>2034</v>
      </c>
      <c r="DC254" s="73">
        <f t="shared" ref="DC254" si="2360">COUNTIF($M$254,DB254)*$D$43</f>
        <v>0</v>
      </c>
      <c r="DD254" s="64"/>
      <c r="DE254" s="74" t="s">
        <v>2228</v>
      </c>
      <c r="DF254" s="73">
        <f t="shared" ref="DF254" si="2361">COUNTIF($M$254,DE254)*$D$43</f>
        <v>0</v>
      </c>
      <c r="DG254" s="64"/>
      <c r="DH254" s="74" t="s">
        <v>2620</v>
      </c>
      <c r="DI254" s="73">
        <f t="shared" ref="DI254" si="2362">COUNTIF($M$254,DH254)*$D$43</f>
        <v>0</v>
      </c>
      <c r="DJ254" s="64"/>
      <c r="DK254" s="74" t="s">
        <v>2033</v>
      </c>
      <c r="DL254" s="73">
        <f t="shared" ref="DL254" si="2363">COUNTIF($M$254,DK254)*$D$43</f>
        <v>0</v>
      </c>
      <c r="DM254" s="64"/>
      <c r="DN254" s="795" t="s">
        <v>2761</v>
      </c>
      <c r="DO254" s="73">
        <f t="shared" ref="DO254" si="2364">COUNTIF($M$254,DN254)*$D$43</f>
        <v>0</v>
      </c>
      <c r="DP254" s="64"/>
      <c r="DQ254" s="795" t="s">
        <v>2034</v>
      </c>
      <c r="DR254" s="73">
        <f t="shared" ref="DR254" si="2365">COUNTIF($M$254,DQ254)*$D$43</f>
        <v>0</v>
      </c>
      <c r="DS254" s="64"/>
      <c r="DT254" s="74" t="s">
        <v>2322</v>
      </c>
      <c r="DU254" s="73">
        <f t="shared" ref="DU254" si="2366">COUNTIF($M$254,DT254)*$D$43</f>
        <v>0</v>
      </c>
      <c r="DV254" s="64"/>
      <c r="DW254" s="74" t="s">
        <v>2524</v>
      </c>
      <c r="DX254" s="73">
        <f t="shared" ref="DX254" si="2367">COUNTIF($M$254,DW254)*$D$43</f>
        <v>0</v>
      </c>
      <c r="DY254" s="64"/>
      <c r="DZ254" s="74" t="s">
        <v>2227</v>
      </c>
      <c r="EA254" s="73">
        <f t="shared" ref="EA254" si="2368">COUNTIF($M$254,DZ254)*$D$43</f>
        <v>0</v>
      </c>
      <c r="EB254" s="64"/>
      <c r="EC254" s="74" t="s">
        <v>2322</v>
      </c>
      <c r="ED254" s="73">
        <f t="shared" ref="ED254" si="2369">COUNTIF($M$254,EC254)*$D$43</f>
        <v>0</v>
      </c>
      <c r="EE254" s="64"/>
      <c r="EF254" s="74" t="s">
        <v>1996</v>
      </c>
      <c r="EG254" s="73">
        <f t="shared" ref="EG254" si="2370">COUNTIF($M$254,EF254)*$D$43</f>
        <v>0</v>
      </c>
      <c r="EH254" s="64"/>
      <c r="EI254" s="74" t="s">
        <v>2034</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Bellingham</v>
      </c>
      <c r="N255" s="25"/>
      <c r="O255" s="25"/>
      <c r="P255" s="25"/>
      <c r="Q255" s="25"/>
      <c r="R255" s="17"/>
      <c r="S255" s="74" t="s">
        <v>2760</v>
      </c>
      <c r="T255" s="73">
        <f>COUNTIF($M$255,S255)*$D$44</f>
        <v>0</v>
      </c>
      <c r="U255" s="64"/>
      <c r="V255" s="74" t="s">
        <v>2760</v>
      </c>
      <c r="W255" s="73">
        <f t="shared" ref="W255" si="2381">COUNTIF($M$255,V255)*$D$44</f>
        <v>0</v>
      </c>
      <c r="X255" s="64"/>
      <c r="Y255" s="74" t="s">
        <v>2066</v>
      </c>
      <c r="Z255" s="73">
        <f t="shared" ref="Z255" si="2382">COUNTIF($M$255,Y255)*$D$44</f>
        <v>0</v>
      </c>
      <c r="AA255" s="64"/>
      <c r="AB255" s="74" t="s">
        <v>2089</v>
      </c>
      <c r="AC255" s="73">
        <f t="shared" ref="AC255" si="2383">COUNTIF($M$255,AB255)*$D$44</f>
        <v>0</v>
      </c>
      <c r="AD255" s="64"/>
      <c r="AE255" s="74" t="s">
        <v>2524</v>
      </c>
      <c r="AF255" s="73">
        <f t="shared" ref="AF255" si="2384">COUNTIF($M$255,AE255)*$D$44</f>
        <v>0</v>
      </c>
      <c r="AG255" s="64"/>
      <c r="AH255" s="74" t="s">
        <v>2034</v>
      </c>
      <c r="AI255" s="73">
        <f t="shared" ref="AI255" si="2385">COUNTIF($M$255,AH255)*$D$44</f>
        <v>0</v>
      </c>
      <c r="AJ255" s="64"/>
      <c r="AK255" s="74" t="s">
        <v>2065</v>
      </c>
      <c r="AL255" s="73">
        <f t="shared" ref="AL255" si="2386">COUNTIF($M$255,AK255)*$D$44</f>
        <v>0</v>
      </c>
      <c r="AM255" s="64"/>
      <c r="AN255" s="74" t="s">
        <v>2119</v>
      </c>
      <c r="AO255" s="73">
        <f t="shared" ref="AO255" si="2387">COUNTIF($M$255,AN255)*$D$44</f>
        <v>0</v>
      </c>
      <c r="AP255" s="64"/>
      <c r="AQ255" s="74" t="s">
        <v>2066</v>
      </c>
      <c r="AR255" s="73">
        <f t="shared" ref="AR255" si="2388">COUNTIF($M$255,AQ255)*$D$44</f>
        <v>0</v>
      </c>
      <c r="AS255" s="64"/>
      <c r="AT255" s="74" t="s">
        <v>2066</v>
      </c>
      <c r="AU255" s="73">
        <f t="shared" ref="AU255" si="2389">COUNTIF($M$255,AT255)*$D$44</f>
        <v>0</v>
      </c>
      <c r="AV255" s="64"/>
      <c r="AW255" s="74" t="s">
        <v>2066</v>
      </c>
      <c r="AX255" s="73">
        <f t="shared" ref="AX255" si="2390">COUNTIF($M$255,AW255)*$D$44</f>
        <v>0</v>
      </c>
      <c r="AY255" s="64"/>
      <c r="AZ255" s="74" t="s">
        <v>2763</v>
      </c>
      <c r="BA255" s="73">
        <f t="shared" ref="BA255" si="2391">COUNTIF($M$255,AZ255)*$D$44</f>
        <v>0</v>
      </c>
      <c r="BB255" s="64"/>
      <c r="BC255" s="74" t="s">
        <v>2033</v>
      </c>
      <c r="BD255" s="73">
        <f t="shared" ref="BD255" si="2392">COUNTIF($M$255,BC255)*$D$44</f>
        <v>0</v>
      </c>
      <c r="BE255" s="64"/>
      <c r="BF255" s="74" t="s">
        <v>2760</v>
      </c>
      <c r="BG255" s="73">
        <f t="shared" ref="BG255" si="2393">COUNTIF($M$255,BF255)*$D$44</f>
        <v>0</v>
      </c>
      <c r="BH255" s="64"/>
      <c r="BI255" s="74" t="s">
        <v>2066</v>
      </c>
      <c r="BJ255" s="73">
        <f t="shared" ref="BJ255" si="2394">COUNTIF($M$255,BI255)*$D$44</f>
        <v>0</v>
      </c>
      <c r="BK255" s="64"/>
      <c r="BL255" s="74" t="s">
        <v>2760</v>
      </c>
      <c r="BM255" s="73">
        <f t="shared" ref="BM255" si="2395">COUNTIF($M$255,BL255)*$D$44</f>
        <v>0</v>
      </c>
      <c r="BN255" s="64"/>
      <c r="BO255" s="74" t="s">
        <v>2066</v>
      </c>
      <c r="BP255" s="73">
        <f t="shared" ref="BP255" si="2396">COUNTIF($M$255,BO255)*$D$44</f>
        <v>0</v>
      </c>
      <c r="BQ255" s="64"/>
      <c r="BR255" s="74" t="s">
        <v>2763</v>
      </c>
      <c r="BS255" s="73">
        <f t="shared" ref="BS255" si="2397">COUNTIF($M$255,BR255)*$D$44</f>
        <v>0</v>
      </c>
      <c r="BT255" s="64"/>
      <c r="BU255" s="74" t="s">
        <v>2760</v>
      </c>
      <c r="BV255" s="73">
        <f t="shared" ref="BV255" si="2398">COUNTIF($M$255,BU255)*$D$44</f>
        <v>0</v>
      </c>
      <c r="BW255" s="64"/>
      <c r="BX255" s="74" t="s">
        <v>2460</v>
      </c>
      <c r="BY255" s="73">
        <f t="shared" ref="BY255" si="2399">COUNTIF($M$255,BX255)*$D$44</f>
        <v>0</v>
      </c>
      <c r="BZ255" s="64"/>
      <c r="CA255" s="74" t="s">
        <v>2421</v>
      </c>
      <c r="CB255" s="73">
        <f t="shared" ref="CB255" si="2400">COUNTIF($M$255,CA255)*$D$44</f>
        <v>0</v>
      </c>
      <c r="CC255" s="64"/>
      <c r="CD255" s="74" t="s">
        <v>2460</v>
      </c>
      <c r="CE255" s="73">
        <f t="shared" ref="CE255" si="2401">COUNTIF($M$255,CD255)*$D$44</f>
        <v>0</v>
      </c>
      <c r="CF255" s="64"/>
      <c r="CG255" s="74" t="s">
        <v>2524</v>
      </c>
      <c r="CH255" s="73">
        <f t="shared" ref="CH255" si="2402">COUNTIF($M$255,CG255)*$D$44</f>
        <v>0</v>
      </c>
      <c r="CI255" s="64"/>
      <c r="CJ255" s="74" t="s">
        <v>2065</v>
      </c>
      <c r="CK255" s="73">
        <f t="shared" ref="CK255" si="2403">COUNTIF($M$255,CJ255)*$D$44</f>
        <v>0</v>
      </c>
      <c r="CL255" s="64"/>
      <c r="CM255" s="74" t="s">
        <v>2523</v>
      </c>
      <c r="CN255" s="73">
        <f t="shared" ref="CN255" si="2404">COUNTIF($M$255,CM255)*$D$44</f>
        <v>0</v>
      </c>
      <c r="CO255" s="64"/>
      <c r="CP255" s="74" t="s">
        <v>2034</v>
      </c>
      <c r="CQ255" s="73">
        <f t="shared" ref="CQ255" si="2405">COUNTIF($M$255,CP255)*$D$44</f>
        <v>0</v>
      </c>
      <c r="CR255" s="64"/>
      <c r="CS255" s="74" t="s">
        <v>2033</v>
      </c>
      <c r="CT255" s="73">
        <f t="shared" ref="CT255" si="2406">COUNTIF($M$255,CS255)*$D$44</f>
        <v>0</v>
      </c>
      <c r="CU255" s="64"/>
      <c r="CV255" s="74" t="s">
        <v>2227</v>
      </c>
      <c r="CW255" s="73">
        <f t="shared" ref="CW255" si="2407">COUNTIF($M$255,CV255)*$D$44</f>
        <v>0</v>
      </c>
      <c r="CX255" s="64"/>
      <c r="CY255" s="74" t="s">
        <v>2034</v>
      </c>
      <c r="CZ255" s="73">
        <f t="shared" ref="CZ255" si="2408">COUNTIF($M$255,CY255)*$D$44</f>
        <v>0</v>
      </c>
      <c r="DA255" s="64"/>
      <c r="DB255" s="74" t="s">
        <v>2588</v>
      </c>
      <c r="DC255" s="73">
        <f t="shared" ref="DC255" si="2409">COUNTIF($M$255,DB255)*$D$44</f>
        <v>0</v>
      </c>
      <c r="DD255" s="64"/>
      <c r="DE255" s="74" t="s">
        <v>2460</v>
      </c>
      <c r="DF255" s="73">
        <f t="shared" ref="DF255" si="2410">COUNTIF($M$255,DE255)*$D$44</f>
        <v>0</v>
      </c>
      <c r="DG255" s="64"/>
      <c r="DH255" s="74" t="s">
        <v>2034</v>
      </c>
      <c r="DI255" s="73">
        <f t="shared" ref="DI255" si="2411">COUNTIF($M$255,DH255)*$D$44</f>
        <v>0</v>
      </c>
      <c r="DJ255" s="64"/>
      <c r="DK255" s="74" t="s">
        <v>2065</v>
      </c>
      <c r="DL255" s="73">
        <f t="shared" ref="DL255" si="2412">COUNTIF($M$255,DK255)*$D$44</f>
        <v>0</v>
      </c>
      <c r="DM255" s="64"/>
      <c r="DN255" s="795" t="s">
        <v>2763</v>
      </c>
      <c r="DO255" s="73">
        <f t="shared" ref="DO255" si="2413">COUNTIF($M$255,DN255)*$D$44</f>
        <v>0</v>
      </c>
      <c r="DP255" s="64"/>
      <c r="DQ255" s="795" t="s">
        <v>2065</v>
      </c>
      <c r="DR255" s="73">
        <f t="shared" ref="DR255" si="2414">COUNTIF($M$255,DQ255)*$D$44</f>
        <v>0</v>
      </c>
      <c r="DS255" s="64"/>
      <c r="DT255" s="74" t="s">
        <v>2697</v>
      </c>
      <c r="DU255" s="73">
        <f t="shared" ref="DU255" si="2415">COUNTIF($M$255,DT255)*$D$44</f>
        <v>0</v>
      </c>
      <c r="DV255" s="64"/>
      <c r="DW255" s="74" t="s">
        <v>2034</v>
      </c>
      <c r="DX255" s="73">
        <f t="shared" ref="DX255" si="2416">COUNTIF($M$255,DW255)*$D$44</f>
        <v>0</v>
      </c>
      <c r="DY255" s="64"/>
      <c r="DZ255" s="74" t="s">
        <v>2726</v>
      </c>
      <c r="EA255" s="73">
        <f t="shared" ref="EA255" si="2417">COUNTIF($M$255,DZ255)*$D$44</f>
        <v>0</v>
      </c>
      <c r="EB255" s="64"/>
      <c r="EC255" s="74" t="s">
        <v>2033</v>
      </c>
      <c r="ED255" s="73">
        <f t="shared" ref="ED255" si="2418">COUNTIF($M$255,EC255)*$D$44</f>
        <v>0</v>
      </c>
      <c r="EE255" s="64"/>
      <c r="EF255" s="74" t="s">
        <v>2065</v>
      </c>
      <c r="EG255" s="73">
        <f t="shared" ref="EG255" si="2419">COUNTIF($M$255,EF255)*$D$44</f>
        <v>0</v>
      </c>
      <c r="EH255" s="64"/>
      <c r="EI255" s="74" t="s">
        <v>2066</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Rodri</v>
      </c>
      <c r="N256" s="25"/>
      <c r="O256" s="25"/>
      <c r="P256" s="25"/>
      <c r="Q256" s="25"/>
      <c r="R256" s="17"/>
      <c r="S256" s="74" t="s">
        <v>2034</v>
      </c>
      <c r="T256" s="73">
        <f>COUNTIF($M$256,S256)*$D$45</f>
        <v>0</v>
      </c>
      <c r="U256" s="64"/>
      <c r="V256" s="74" t="s">
        <v>2760</v>
      </c>
      <c r="W256" s="73">
        <f t="shared" ref="W256" si="2430">COUNTIF($M$256,V256)*$D$45</f>
        <v>0</v>
      </c>
      <c r="X256" s="64"/>
      <c r="Y256" s="74" t="s">
        <v>2065</v>
      </c>
      <c r="Z256" s="73">
        <f t="shared" ref="Z256" si="2431">COUNTIF($M$256,Y256)*$D$45</f>
        <v>0</v>
      </c>
      <c r="AA256" s="64"/>
      <c r="AB256" s="74" t="s">
        <v>2033</v>
      </c>
      <c r="AC256" s="73">
        <f t="shared" ref="AC256" si="2432">COUNTIF($M$256,AB256)*$D$45</f>
        <v>0</v>
      </c>
      <c r="AD256" s="64"/>
      <c r="AE256" s="74" t="s">
        <v>2033</v>
      </c>
      <c r="AF256" s="73">
        <f t="shared" ref="AF256" si="2433">COUNTIF($M$256,AE256)*$D$45</f>
        <v>0</v>
      </c>
      <c r="AG256" s="64"/>
      <c r="AH256" s="74" t="s">
        <v>2035</v>
      </c>
      <c r="AI256" s="73">
        <f t="shared" ref="AI256" si="2434">COUNTIF($M$256,AH256)*$D$45</f>
        <v>0</v>
      </c>
      <c r="AJ256" s="64"/>
      <c r="AK256" s="74" t="s">
        <v>2173</v>
      </c>
      <c r="AL256" s="73">
        <f t="shared" ref="AL256" si="2435">COUNTIF($M$256,AK256)*$D$45</f>
        <v>0</v>
      </c>
      <c r="AM256" s="64"/>
      <c r="AN256" s="74" t="s">
        <v>2761</v>
      </c>
      <c r="AO256" s="73">
        <f t="shared" ref="AO256" si="2436">COUNTIF($M$256,AN256)*$D$45</f>
        <v>0</v>
      </c>
      <c r="AP256" s="64"/>
      <c r="AQ256" s="74" t="s">
        <v>2760</v>
      </c>
      <c r="AR256" s="73">
        <f t="shared" ref="AR256" si="2437">COUNTIF($M$256,AQ256)*$D$45</f>
        <v>0</v>
      </c>
      <c r="AS256" s="64"/>
      <c r="AT256" s="74" t="s">
        <v>2065</v>
      </c>
      <c r="AU256" s="73">
        <f t="shared" ref="AU256" si="2438">COUNTIF($M$256,AT256)*$D$45</f>
        <v>0</v>
      </c>
      <c r="AV256" s="64"/>
      <c r="AW256" s="74" t="s">
        <v>2065</v>
      </c>
      <c r="AX256" s="73">
        <f t="shared" ref="AX256" si="2439">COUNTIF($M$256,AW256)*$D$45</f>
        <v>0</v>
      </c>
      <c r="AY256" s="64"/>
      <c r="AZ256" s="74" t="s">
        <v>2035</v>
      </c>
      <c r="BA256" s="73">
        <f t="shared" ref="BA256" si="2440">COUNTIF($M$256,AZ256)*$D$45</f>
        <v>0</v>
      </c>
      <c r="BB256" s="64"/>
      <c r="BC256" s="74" t="s">
        <v>2760</v>
      </c>
      <c r="BD256" s="73">
        <f t="shared" ref="BD256" si="2441">COUNTIF($M$256,BC256)*$D$45</f>
        <v>0</v>
      </c>
      <c r="BE256" s="64"/>
      <c r="BF256" s="74" t="s">
        <v>2760</v>
      </c>
      <c r="BG256" s="73">
        <f t="shared" ref="BG256" si="2442">COUNTIF($M$256,BF256)*$D$45</f>
        <v>0</v>
      </c>
      <c r="BH256" s="64"/>
      <c r="BI256" s="74" t="s">
        <v>2760</v>
      </c>
      <c r="BJ256" s="73">
        <f t="shared" ref="BJ256" si="2443">COUNTIF($M$256,BI256)*$D$45</f>
        <v>0</v>
      </c>
      <c r="BK256" s="64"/>
      <c r="BL256" s="74" t="s">
        <v>2760</v>
      </c>
      <c r="BM256" s="73">
        <f t="shared" ref="BM256" si="2444">COUNTIF($M$256,BL256)*$D$45</f>
        <v>0</v>
      </c>
      <c r="BN256" s="64"/>
      <c r="BO256" s="74" t="s">
        <v>2090</v>
      </c>
      <c r="BP256" s="73">
        <f t="shared" ref="BP256" si="2445">COUNTIF($M$256,BO256)*$D$45</f>
        <v>0</v>
      </c>
      <c r="BQ256" s="64"/>
      <c r="BR256" s="74" t="s">
        <v>2760</v>
      </c>
      <c r="BS256" s="73">
        <f t="shared" ref="BS256" si="2446">COUNTIF($M$256,BR256)*$D$45</f>
        <v>0</v>
      </c>
      <c r="BT256" s="64"/>
      <c r="BU256" s="74" t="s">
        <v>2760</v>
      </c>
      <c r="BV256" s="73">
        <f t="shared" ref="BV256" si="2447">COUNTIF($M$256,BU256)*$D$45</f>
        <v>0</v>
      </c>
      <c r="BW256" s="64"/>
      <c r="BX256" s="74" t="s">
        <v>2760</v>
      </c>
      <c r="BY256" s="73">
        <f t="shared" ref="BY256" si="2448">COUNTIF($M$256,BX256)*$D$45</f>
        <v>0</v>
      </c>
      <c r="BZ256" s="64"/>
      <c r="CA256" s="74" t="s">
        <v>2460</v>
      </c>
      <c r="CB256" s="73">
        <f t="shared" ref="CB256" si="2449">COUNTIF($M$256,CA256)*$D$45</f>
        <v>0</v>
      </c>
      <c r="CC256" s="64"/>
      <c r="CD256" s="74" t="s">
        <v>2065</v>
      </c>
      <c r="CE256" s="73">
        <f t="shared" ref="CE256" si="2450">COUNTIF($M$256,CD256)*$D$45</f>
        <v>0</v>
      </c>
      <c r="CF256" s="64"/>
      <c r="CG256" s="74" t="s">
        <v>2760</v>
      </c>
      <c r="CH256" s="73">
        <f t="shared" ref="CH256" si="2451">COUNTIF($M$256,CG256)*$D$45</f>
        <v>0</v>
      </c>
      <c r="CI256" s="64"/>
      <c r="CJ256" s="74" t="s">
        <v>2760</v>
      </c>
      <c r="CK256" s="73">
        <f t="shared" ref="CK256" si="2452">COUNTIF($M$256,CJ256)*$D$45</f>
        <v>0</v>
      </c>
      <c r="CL256" s="64"/>
      <c r="CM256" s="74" t="s">
        <v>2760</v>
      </c>
      <c r="CN256" s="73">
        <f t="shared" ref="CN256" si="2453">COUNTIF($M$256,CM256)*$D$45</f>
        <v>0</v>
      </c>
      <c r="CO256" s="64"/>
      <c r="CP256" s="74" t="s">
        <v>2035</v>
      </c>
      <c r="CQ256" s="73">
        <f t="shared" ref="CQ256" si="2454">COUNTIF($M$256,CP256)*$D$45</f>
        <v>0</v>
      </c>
      <c r="CR256" s="64"/>
      <c r="CS256" s="74" t="s">
        <v>2760</v>
      </c>
      <c r="CT256" s="73">
        <f t="shared" ref="CT256" si="2455">COUNTIF($M$256,CS256)*$D$45</f>
        <v>0</v>
      </c>
      <c r="CU256" s="64"/>
      <c r="CV256" s="74" t="s">
        <v>2760</v>
      </c>
      <c r="CW256" s="73">
        <f t="shared" ref="CW256" si="2456">COUNTIF($M$256,CV256)*$D$45</f>
        <v>0</v>
      </c>
      <c r="CX256" s="64"/>
      <c r="CY256" s="74" t="s">
        <v>2034</v>
      </c>
      <c r="CZ256" s="73">
        <f t="shared" ref="CZ256" si="2457">COUNTIF($M$256,CY256)*$D$45</f>
        <v>0</v>
      </c>
      <c r="DA256" s="64"/>
      <c r="DB256" s="74" t="s">
        <v>2760</v>
      </c>
      <c r="DC256" s="73">
        <f t="shared" ref="DC256" si="2458">COUNTIF($M$256,DB256)*$D$45</f>
        <v>0</v>
      </c>
      <c r="DD256" s="64"/>
      <c r="DE256" s="74" t="s">
        <v>2588</v>
      </c>
      <c r="DF256" s="73">
        <f t="shared" ref="DF256" si="2459">COUNTIF($M$256,DE256)*$D$45</f>
        <v>0</v>
      </c>
      <c r="DG256" s="64"/>
      <c r="DH256" s="74" t="s">
        <v>2065</v>
      </c>
      <c r="DI256" s="73">
        <f t="shared" ref="DI256" si="2460">COUNTIF($M$256,DH256)*$D$45</f>
        <v>0</v>
      </c>
      <c r="DJ256" s="64"/>
      <c r="DK256" s="74" t="s">
        <v>2228</v>
      </c>
      <c r="DL256" s="73">
        <f t="shared" ref="DL256" si="2461">COUNTIF($M$256,DK256)*$D$45</f>
        <v>0</v>
      </c>
      <c r="DM256" s="64"/>
      <c r="DN256" s="795" t="s">
        <v>2035</v>
      </c>
      <c r="DO256" s="73">
        <f t="shared" ref="DO256" si="2462">COUNTIF($M$256,DN256)*$D$45</f>
        <v>0</v>
      </c>
      <c r="DP256" s="64"/>
      <c r="DQ256" s="795" t="s">
        <v>2763</v>
      </c>
      <c r="DR256" s="73">
        <f t="shared" ref="DR256" si="2463">COUNTIF($M$256,DQ256)*$D$45</f>
        <v>0</v>
      </c>
      <c r="DS256" s="64"/>
      <c r="DT256" s="74" t="s">
        <v>2760</v>
      </c>
      <c r="DU256" s="73">
        <f t="shared" ref="DU256" si="2464">COUNTIF($M$256,DT256)*$D$45</f>
        <v>0</v>
      </c>
      <c r="DV256" s="64"/>
      <c r="DW256" s="74" t="s">
        <v>2760</v>
      </c>
      <c r="DX256" s="73">
        <f t="shared" ref="DX256" si="2465">COUNTIF($M$256,DW256)*$D$45</f>
        <v>0</v>
      </c>
      <c r="DY256" s="64"/>
      <c r="DZ256" s="74" t="s">
        <v>2727</v>
      </c>
      <c r="EA256" s="73">
        <f t="shared" ref="EA256" si="2466">COUNTIF($M$256,DZ256)*$D$45</f>
        <v>0</v>
      </c>
      <c r="EB256" s="64"/>
      <c r="EC256" s="74" t="s">
        <v>2760</v>
      </c>
      <c r="ED256" s="73">
        <f t="shared" ref="ED256" si="2467">COUNTIF($M$256,EC256)*$D$45</f>
        <v>0</v>
      </c>
      <c r="EE256" s="64"/>
      <c r="EF256" s="74" t="s">
        <v>2035</v>
      </c>
      <c r="EG256" s="73">
        <f t="shared" ref="EG256" si="2468">COUNTIF($M$256,EF256)*$D$45</f>
        <v>0</v>
      </c>
      <c r="EH256" s="64"/>
      <c r="EI256" s="74" t="s">
        <v>2760</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Messi</v>
      </c>
      <c r="N257" s="25"/>
      <c r="O257" s="25"/>
      <c r="P257" s="25"/>
      <c r="Q257" s="25"/>
      <c r="R257" s="17"/>
      <c r="S257" s="74" t="s">
        <v>2760</v>
      </c>
      <c r="T257" s="73">
        <f>COUNTIF($M$257,S257)*$D$46</f>
        <v>0</v>
      </c>
      <c r="U257" s="64"/>
      <c r="V257" s="74" t="s">
        <v>2761</v>
      </c>
      <c r="W257" s="73">
        <f t="shared" ref="W257" si="2479">COUNTIF($M$257,V257)*$D$46</f>
        <v>0</v>
      </c>
      <c r="X257" s="64"/>
      <c r="Y257" s="74" t="s">
        <v>2067</v>
      </c>
      <c r="Z257" s="73">
        <f t="shared" ref="Z257" si="2480">COUNTIF($M$257,Y257)*$D$46</f>
        <v>0</v>
      </c>
      <c r="AA257" s="64"/>
      <c r="AB257" s="74" t="s">
        <v>2034</v>
      </c>
      <c r="AC257" s="73">
        <f t="shared" ref="AC257" si="2481">COUNTIF($M$257,AB257)*$D$46</f>
        <v>0</v>
      </c>
      <c r="AD257" s="64"/>
      <c r="AE257" s="74" t="s">
        <v>2760</v>
      </c>
      <c r="AF257" s="73">
        <f t="shared" ref="AF257" si="2482">COUNTIF($M$257,AE257)*$D$46</f>
        <v>0</v>
      </c>
      <c r="AG257" s="64"/>
      <c r="AH257" s="74" t="s">
        <v>2228</v>
      </c>
      <c r="AI257" s="73">
        <f t="shared" ref="AI257" si="2483">COUNTIF($M$257,AH257)*$D$46</f>
        <v>0</v>
      </c>
      <c r="AJ257" s="64"/>
      <c r="AK257" s="74" t="s">
        <v>2035</v>
      </c>
      <c r="AL257" s="73">
        <f t="shared" ref="AL257" si="2484">COUNTIF($M$257,AK257)*$D$46</f>
        <v>0</v>
      </c>
      <c r="AM257" s="64"/>
      <c r="AN257" s="74" t="s">
        <v>2034</v>
      </c>
      <c r="AO257" s="73">
        <f t="shared" ref="AO257" si="2485">COUNTIF($M$257,AN257)*$D$46</f>
        <v>0</v>
      </c>
      <c r="AP257" s="64"/>
      <c r="AQ257" s="74" t="s">
        <v>2227</v>
      </c>
      <c r="AR257" s="73">
        <f t="shared" ref="AR257" si="2486">COUNTIF($M$257,AQ257)*$D$46</f>
        <v>0</v>
      </c>
      <c r="AS257" s="64"/>
      <c r="AT257" s="74" t="s">
        <v>2033</v>
      </c>
      <c r="AU257" s="73">
        <f t="shared" ref="AU257" si="2487">COUNTIF($M$257,AT257)*$D$46</f>
        <v>0</v>
      </c>
      <c r="AV257" s="64"/>
      <c r="AW257" s="74" t="s">
        <v>2033</v>
      </c>
      <c r="AX257" s="73">
        <f t="shared" ref="AX257" si="2488">COUNTIF($M$257,AW257)*$D$46</f>
        <v>0</v>
      </c>
      <c r="AY257" s="64"/>
      <c r="AZ257" s="74" t="s">
        <v>2173</v>
      </c>
      <c r="BA257" s="73">
        <f t="shared" ref="BA257" si="2489">COUNTIF($M$257,AZ257)*$D$46</f>
        <v>0</v>
      </c>
      <c r="BB257" s="64"/>
      <c r="BC257" s="74" t="s">
        <v>2322</v>
      </c>
      <c r="BD257" s="73">
        <f t="shared" ref="BD257" si="2490">COUNTIF($M$257,BC257)*$D$46</f>
        <v>0</v>
      </c>
      <c r="BE257" s="64"/>
      <c r="BF257" s="74" t="s">
        <v>2460</v>
      </c>
      <c r="BG257" s="73">
        <f t="shared" ref="BG257" si="2491">COUNTIF($M$257,BF257)*$D$46</f>
        <v>10</v>
      </c>
      <c r="BH257" s="64"/>
      <c r="BI257" s="74" t="s">
        <v>2361</v>
      </c>
      <c r="BJ257" s="73">
        <f t="shared" ref="BJ257" si="2492">COUNTIF($M$257,BI257)*$D$46</f>
        <v>0</v>
      </c>
      <c r="BK257" s="64"/>
      <c r="BL257" s="74" t="s">
        <v>2227</v>
      </c>
      <c r="BM257" s="73">
        <f t="shared" ref="BM257" si="2493">COUNTIF($M$257,BL257)*$D$46</f>
        <v>0</v>
      </c>
      <c r="BN257" s="64"/>
      <c r="BO257" s="74" t="s">
        <v>2761</v>
      </c>
      <c r="BP257" s="73">
        <f t="shared" ref="BP257" si="2494">COUNTIF($M$257,BO257)*$D$46</f>
        <v>0</v>
      </c>
      <c r="BQ257" s="64"/>
      <c r="BR257" s="74" t="s">
        <v>2173</v>
      </c>
      <c r="BS257" s="73">
        <f t="shared" ref="BS257" si="2495">COUNTIF($M$257,BR257)*$D$46</f>
        <v>0</v>
      </c>
      <c r="BT257" s="64"/>
      <c r="BU257" s="74" t="s">
        <v>2035</v>
      </c>
      <c r="BV257" s="73">
        <f t="shared" ref="BV257" si="2496">COUNTIF($M$257,BU257)*$D$46</f>
        <v>0</v>
      </c>
      <c r="BW257" s="64"/>
      <c r="BX257" s="74" t="s">
        <v>2033</v>
      </c>
      <c r="BY257" s="73">
        <f t="shared" ref="BY257" si="2497">COUNTIF($M$257,BX257)*$D$46</f>
        <v>0</v>
      </c>
      <c r="BZ257" s="64"/>
      <c r="CA257" s="74" t="s">
        <v>2760</v>
      </c>
      <c r="CB257" s="73">
        <f t="shared" ref="CB257" si="2498">COUNTIF($M$257,CA257)*$D$46</f>
        <v>0</v>
      </c>
      <c r="CC257" s="64"/>
      <c r="CD257" s="74" t="s">
        <v>2589</v>
      </c>
      <c r="CE257" s="73">
        <f t="shared" ref="CE257" si="2499">COUNTIF($M$257,CD257)*$D$46</f>
        <v>0</v>
      </c>
      <c r="CF257" s="64"/>
      <c r="CG257" s="74" t="s">
        <v>2119</v>
      </c>
      <c r="CH257" s="73">
        <f t="shared" ref="CH257" si="2500">COUNTIF($M$257,CG257)*$D$46</f>
        <v>0</v>
      </c>
      <c r="CI257" s="64"/>
      <c r="CJ257" s="74" t="s">
        <v>2761</v>
      </c>
      <c r="CK257" s="73">
        <f t="shared" ref="CK257" si="2501">COUNTIF($M$257,CJ257)*$D$46</f>
        <v>0</v>
      </c>
      <c r="CL257" s="64"/>
      <c r="CM257" s="74" t="s">
        <v>2524</v>
      </c>
      <c r="CN257" s="73">
        <f t="shared" ref="CN257" si="2502">COUNTIF($M$257,CM257)*$D$46</f>
        <v>0</v>
      </c>
      <c r="CO257" s="64"/>
      <c r="CP257" s="74" t="s">
        <v>2761</v>
      </c>
      <c r="CQ257" s="73">
        <f t="shared" ref="CQ257" si="2503">COUNTIF($M$257,CP257)*$D$46</f>
        <v>0</v>
      </c>
      <c r="CR257" s="64"/>
      <c r="CS257" s="74" t="s">
        <v>2227</v>
      </c>
      <c r="CT257" s="73">
        <f t="shared" ref="CT257" si="2504">COUNTIF($M$257,CS257)*$D$46</f>
        <v>0</v>
      </c>
      <c r="CU257" s="64"/>
      <c r="CV257" s="74" t="s">
        <v>2173</v>
      </c>
      <c r="CW257" s="73">
        <f t="shared" ref="CW257" si="2505">COUNTIF($M$257,CV257)*$D$46</f>
        <v>0</v>
      </c>
      <c r="CX257" s="64"/>
      <c r="CY257" s="74" t="s">
        <v>2228</v>
      </c>
      <c r="CZ257" s="73">
        <f t="shared" ref="CZ257" si="2506">COUNTIF($M$257,CY257)*$D$46</f>
        <v>0</v>
      </c>
      <c r="DA257" s="64"/>
      <c r="DB257" s="74" t="s">
        <v>2460</v>
      </c>
      <c r="DC257" s="73">
        <f t="shared" ref="DC257" si="2507">COUNTIF($M$257,DB257)*$D$46</f>
        <v>10</v>
      </c>
      <c r="DD257" s="64"/>
      <c r="DE257" s="74" t="s">
        <v>2607</v>
      </c>
      <c r="DF257" s="73">
        <f t="shared" ref="DF257" si="2508">COUNTIF($M$257,DE257)*$D$46</f>
        <v>0</v>
      </c>
      <c r="DG257" s="64"/>
      <c r="DH257" s="74" t="s">
        <v>2619</v>
      </c>
      <c r="DI257" s="73">
        <f t="shared" ref="DI257" si="2509">COUNTIF($M$257,DH257)*$D$46</f>
        <v>0</v>
      </c>
      <c r="DJ257" s="64"/>
      <c r="DK257" s="74" t="s">
        <v>2173</v>
      </c>
      <c r="DL257" s="73">
        <f t="shared" ref="DL257" si="2510">COUNTIF($M$257,DK257)*$D$46</f>
        <v>0</v>
      </c>
      <c r="DM257" s="64"/>
      <c r="DN257" s="795" t="s">
        <v>2761</v>
      </c>
      <c r="DO257" s="73">
        <f t="shared" ref="DO257" si="2511">COUNTIF($M$257,DN257)*$D$46</f>
        <v>0</v>
      </c>
      <c r="DP257" s="64"/>
      <c r="DQ257" s="795" t="s">
        <v>2065</v>
      </c>
      <c r="DR257" s="73">
        <f t="shared" ref="DR257" si="2512">COUNTIF($M$257,DQ257)*$D$46</f>
        <v>0</v>
      </c>
      <c r="DS257" s="64"/>
      <c r="DT257" s="74" t="s">
        <v>2697</v>
      </c>
      <c r="DU257" s="73">
        <f t="shared" ref="DU257" si="2513">COUNTIF($M$257,DT257)*$D$46</f>
        <v>0</v>
      </c>
      <c r="DV257" s="64"/>
      <c r="DW257" s="74" t="s">
        <v>2033</v>
      </c>
      <c r="DX257" s="73">
        <f t="shared" ref="DX257" si="2514">COUNTIF($M$257,DW257)*$D$46</f>
        <v>0</v>
      </c>
      <c r="DY257" s="64"/>
      <c r="DZ257" s="74" t="s">
        <v>2460</v>
      </c>
      <c r="EA257" s="73">
        <f t="shared" ref="EA257" si="2515">COUNTIF($M$257,DZ257)*$D$46</f>
        <v>10</v>
      </c>
      <c r="EB257" s="64"/>
      <c r="EC257" s="74" t="s">
        <v>2173</v>
      </c>
      <c r="ED257" s="73">
        <f t="shared" ref="ED257" si="2516">COUNTIF($M$257,EC257)*$D$46</f>
        <v>0</v>
      </c>
      <c r="EE257" s="64"/>
      <c r="EF257" s="74" t="s">
        <v>2034</v>
      </c>
      <c r="EG257" s="73">
        <f t="shared" ref="EG257" si="2517">COUNTIF($M$257,EF257)*$D$46</f>
        <v>0</v>
      </c>
      <c r="EH257" s="64"/>
      <c r="EI257" s="74" t="s">
        <v>2033</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Mbappe</v>
      </c>
      <c r="N258" s="25"/>
      <c r="O258" s="25"/>
      <c r="P258" s="25"/>
      <c r="Q258" s="25"/>
      <c r="R258" s="17"/>
      <c r="S258" s="80" t="s">
        <v>1997</v>
      </c>
      <c r="T258" s="81">
        <f>COUNTIF($M$258,S258)*$D$47</f>
        <v>0</v>
      </c>
      <c r="U258" s="64"/>
      <c r="V258" s="80" t="s">
        <v>2035</v>
      </c>
      <c r="W258" s="81">
        <f t="shared" ref="W258" si="2528">COUNTIF($M$258,V258)*$D$47</f>
        <v>0</v>
      </c>
      <c r="X258" s="64"/>
      <c r="Y258" s="80" t="s">
        <v>2035</v>
      </c>
      <c r="Z258" s="81">
        <f t="shared" ref="Z258" si="2529">COUNTIF($M$258,Y258)*$D$47</f>
        <v>0</v>
      </c>
      <c r="AA258" s="64"/>
      <c r="AB258" s="80" t="s">
        <v>2760</v>
      </c>
      <c r="AC258" s="81">
        <f t="shared" ref="AC258" si="2530">COUNTIF($M$258,AB258)*$D$47</f>
        <v>0</v>
      </c>
      <c r="AD258" s="64"/>
      <c r="AE258" s="80" t="s">
        <v>2119</v>
      </c>
      <c r="AF258" s="81">
        <f t="shared" ref="AF258" si="2531">COUNTIF($M$258,AE258)*$D$47</f>
        <v>0</v>
      </c>
      <c r="AG258" s="64"/>
      <c r="AH258" s="80" t="s">
        <v>2760</v>
      </c>
      <c r="AI258" s="81">
        <f t="shared" ref="AI258" si="2532">COUNTIF($M$258,AH258)*$D$47</f>
        <v>0</v>
      </c>
      <c r="AJ258" s="64"/>
      <c r="AK258" s="80" t="s">
        <v>2760</v>
      </c>
      <c r="AL258" s="81">
        <f t="shared" ref="AL258" si="2533">COUNTIF($M$258,AK258)*$D$47</f>
        <v>0</v>
      </c>
      <c r="AM258" s="64"/>
      <c r="AN258" s="80" t="s">
        <v>2762</v>
      </c>
      <c r="AO258" s="81">
        <f t="shared" ref="AO258" si="2534">COUNTIF($M$258,AN258)*$D$47</f>
        <v>0</v>
      </c>
      <c r="AP258" s="64"/>
      <c r="AQ258" s="80" t="s">
        <v>2035</v>
      </c>
      <c r="AR258" s="81">
        <f t="shared" ref="AR258" si="2535">COUNTIF($M$258,AQ258)*$D$47</f>
        <v>0</v>
      </c>
      <c r="AS258" s="64"/>
      <c r="AT258" s="80" t="s">
        <v>2250</v>
      </c>
      <c r="AU258" s="81">
        <f t="shared" ref="AU258" si="2536">COUNTIF($M$258,AT258)*$D$47</f>
        <v>0</v>
      </c>
      <c r="AV258" s="64"/>
      <c r="AW258" s="80" t="s">
        <v>2173</v>
      </c>
      <c r="AX258" s="81">
        <f t="shared" ref="AX258" si="2537">COUNTIF($M$258,AW258)*$D$47</f>
        <v>0</v>
      </c>
      <c r="AY258" s="64"/>
      <c r="AZ258" s="80" t="s">
        <v>2760</v>
      </c>
      <c r="BA258" s="81">
        <f t="shared" ref="BA258" si="2538">COUNTIF($M$258,AZ258)*$D$47</f>
        <v>0</v>
      </c>
      <c r="BB258" s="64"/>
      <c r="BC258" s="80" t="s">
        <v>2323</v>
      </c>
      <c r="BD258" s="81">
        <f t="shared" ref="BD258" si="2539">COUNTIF($M$258,BC258)*$D$47</f>
        <v>0</v>
      </c>
      <c r="BE258" s="64"/>
      <c r="BF258" s="80" t="s">
        <v>2035</v>
      </c>
      <c r="BG258" s="81">
        <f t="shared" ref="BG258" si="2540">COUNTIF($M$258,BF258)*$D$47</f>
        <v>0</v>
      </c>
      <c r="BH258" s="64"/>
      <c r="BI258" s="80" t="s">
        <v>2035</v>
      </c>
      <c r="BJ258" s="81">
        <f t="shared" ref="BJ258" si="2541">COUNTIF($M$258,BI258)*$D$47</f>
        <v>0</v>
      </c>
      <c r="BK258" s="64"/>
      <c r="BL258" s="80" t="s">
        <v>2033</v>
      </c>
      <c r="BM258" s="81">
        <f t="shared" ref="BM258" si="2542">COUNTIF($M$258,BL258)*$D$47</f>
        <v>5</v>
      </c>
      <c r="BN258" s="64"/>
      <c r="BO258" s="80" t="s">
        <v>2033</v>
      </c>
      <c r="BP258" s="81">
        <f t="shared" ref="BP258" si="2543">COUNTIF($M$258,BO258)*$D$47</f>
        <v>5</v>
      </c>
      <c r="BQ258" s="64"/>
      <c r="BR258" s="80" t="s">
        <v>2033</v>
      </c>
      <c r="BS258" s="81">
        <f t="shared" ref="BS258" si="2544">COUNTIF($M$258,BR258)*$D$47</f>
        <v>5</v>
      </c>
      <c r="BT258" s="64"/>
      <c r="BU258" s="80" t="s">
        <v>2173</v>
      </c>
      <c r="BV258" s="81">
        <f t="shared" ref="BV258" si="2545">COUNTIF($M$258,BU258)*$D$47</f>
        <v>0</v>
      </c>
      <c r="BW258" s="64"/>
      <c r="BX258" s="80" t="s">
        <v>2034</v>
      </c>
      <c r="BY258" s="81">
        <f t="shared" ref="BY258" si="2546">COUNTIF($M$258,BX258)*$D$47</f>
        <v>0</v>
      </c>
      <c r="BZ258" s="64"/>
      <c r="CA258" s="80" t="s">
        <v>2461</v>
      </c>
      <c r="CB258" s="81">
        <f t="shared" ref="CB258" si="2547">COUNTIF($M$258,CA258)*$D$47</f>
        <v>0</v>
      </c>
      <c r="CC258" s="64"/>
      <c r="CD258" s="80" t="s">
        <v>2461</v>
      </c>
      <c r="CE258" s="81">
        <f t="shared" ref="CE258" si="2548">COUNTIF($M$258,CD258)*$D$47</f>
        <v>0</v>
      </c>
      <c r="CF258" s="64"/>
      <c r="CG258" s="80" t="s">
        <v>2033</v>
      </c>
      <c r="CH258" s="81">
        <f t="shared" ref="CH258" si="2549">COUNTIF($M$258,CG258)*$D$47</f>
        <v>5</v>
      </c>
      <c r="CI258" s="64"/>
      <c r="CJ258" s="80" t="s">
        <v>2461</v>
      </c>
      <c r="CK258" s="81">
        <f t="shared" ref="CK258" si="2550">COUNTIF($M$258,CJ258)*$D$47</f>
        <v>0</v>
      </c>
      <c r="CL258" s="64"/>
      <c r="CM258" s="80" t="s">
        <v>2173</v>
      </c>
      <c r="CN258" s="81">
        <f t="shared" ref="CN258" si="2551">COUNTIF($M$258,CM258)*$D$47</f>
        <v>0</v>
      </c>
      <c r="CO258" s="64"/>
      <c r="CP258" s="80" t="s">
        <v>2760</v>
      </c>
      <c r="CQ258" s="81">
        <f t="shared" ref="CQ258" si="2552">COUNTIF($M$258,CP258)*$D$47</f>
        <v>0</v>
      </c>
      <c r="CR258" s="64"/>
      <c r="CS258" s="80" t="s">
        <v>2033</v>
      </c>
      <c r="CT258" s="81">
        <f t="shared" ref="CT258" si="2553">COUNTIF($M$258,CS258)*$D$47</f>
        <v>5</v>
      </c>
      <c r="CU258" s="64"/>
      <c r="CV258" s="80" t="s">
        <v>2228</v>
      </c>
      <c r="CW258" s="81">
        <f t="shared" ref="CW258" si="2554">COUNTIF($M$258,CV258)*$D$47</f>
        <v>0</v>
      </c>
      <c r="CX258" s="64"/>
      <c r="CY258" s="80" t="s">
        <v>2760</v>
      </c>
      <c r="CZ258" s="81">
        <f t="shared" ref="CZ258" si="2555">COUNTIF($M$258,CY258)*$D$47</f>
        <v>0</v>
      </c>
      <c r="DA258" s="64"/>
      <c r="DB258" s="80" t="s">
        <v>2589</v>
      </c>
      <c r="DC258" s="81">
        <f t="shared" ref="DC258" si="2556">COUNTIF($M$258,DB258)*$D$47</f>
        <v>0</v>
      </c>
      <c r="DD258" s="64"/>
      <c r="DE258" s="80" t="s">
        <v>2460</v>
      </c>
      <c r="DF258" s="81">
        <f t="shared" ref="DF258" si="2557">COUNTIF($M$258,DE258)*$D$47</f>
        <v>0</v>
      </c>
      <c r="DG258" s="64"/>
      <c r="DH258" s="80" t="s">
        <v>2760</v>
      </c>
      <c r="DI258" s="81">
        <f t="shared" ref="DI258" si="2558">COUNTIF($M$258,DH258)*$D$47</f>
        <v>0</v>
      </c>
      <c r="DJ258" s="64"/>
      <c r="DK258" s="80" t="s">
        <v>2119</v>
      </c>
      <c r="DL258" s="81">
        <f t="shared" ref="DL258" si="2559">COUNTIF($M$258,DK258)*$D$47</f>
        <v>0</v>
      </c>
      <c r="DM258" s="64"/>
      <c r="DN258" s="795" t="s">
        <v>2760</v>
      </c>
      <c r="DO258" s="81">
        <f t="shared" ref="DO258" si="2560">COUNTIF($M$258,DN258)*$D$47</f>
        <v>0</v>
      </c>
      <c r="DP258" s="64"/>
      <c r="DQ258" s="795" t="s">
        <v>2034</v>
      </c>
      <c r="DR258" s="81">
        <f t="shared" ref="DR258" si="2561">COUNTIF($M$258,DQ258)*$D$47</f>
        <v>0</v>
      </c>
      <c r="DS258" s="64"/>
      <c r="DT258" s="80" t="s">
        <v>1997</v>
      </c>
      <c r="DU258" s="81">
        <f t="shared" ref="DU258" si="2562">COUNTIF($M$258,DT258)*$D$47</f>
        <v>0</v>
      </c>
      <c r="DV258" s="64"/>
      <c r="DW258" s="80" t="s">
        <v>2524</v>
      </c>
      <c r="DX258" s="81">
        <f t="shared" ref="DX258" si="2563">COUNTIF($M$258,DW258)*$D$47</f>
        <v>0</v>
      </c>
      <c r="DY258" s="64"/>
      <c r="DZ258" s="80" t="s">
        <v>2763</v>
      </c>
      <c r="EA258" s="81">
        <f t="shared" ref="EA258" si="2564">COUNTIF($M$258,DZ258)*$D$47</f>
        <v>0</v>
      </c>
      <c r="EB258" s="64"/>
      <c r="EC258" s="80" t="s">
        <v>2322</v>
      </c>
      <c r="ED258" s="81">
        <f t="shared" ref="ED258" si="2565">COUNTIF($M$258,EC258)*$D$47</f>
        <v>0</v>
      </c>
      <c r="EE258" s="64"/>
      <c r="EF258" s="80" t="s">
        <v>2752</v>
      </c>
      <c r="EG258" s="81">
        <f t="shared" ref="EG258" si="2566">COUNTIF($M$258,EF258)*$D$47</f>
        <v>0</v>
      </c>
      <c r="EH258" s="64"/>
      <c r="EI258" s="80" t="s">
        <v>2173</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 ca="1">SUM(T250:T258)</f>
        <v>0</v>
      </c>
      <c r="U259" s="65"/>
      <c r="V259" s="71"/>
      <c r="W259" s="71">
        <f t="shared" ref="W259" ca="1" si="2577">SUM(W250:W258)</f>
        <v>40</v>
      </c>
      <c r="X259" s="65"/>
      <c r="Y259" s="71"/>
      <c r="Z259" s="71">
        <f t="shared" ref="Z259" ca="1" si="2578">SUM(Z250:Z258)</f>
        <v>20</v>
      </c>
      <c r="AA259" s="65"/>
      <c r="AB259" s="71"/>
      <c r="AC259" s="71">
        <f t="shared" ref="AC259" ca="1" si="2579">SUM(AC250:AC258)</f>
        <v>20</v>
      </c>
      <c r="AD259" s="65"/>
      <c r="AE259" s="71"/>
      <c r="AF259" s="71">
        <f t="shared" ref="AF259" ca="1" si="2580">SUM(AF250:AF258)</f>
        <v>20</v>
      </c>
      <c r="AG259" s="65"/>
      <c r="AH259" s="71"/>
      <c r="AI259" s="71">
        <f t="shared" ref="AI259" ca="1" si="2581">SUM(AI250:AI258)</f>
        <v>55</v>
      </c>
      <c r="AJ259" s="65"/>
      <c r="AK259" s="71"/>
      <c r="AL259" s="71">
        <f t="shared" ref="AL259" ca="1" si="2582">SUM(AL250:AL258)</f>
        <v>0</v>
      </c>
      <c r="AM259" s="65"/>
      <c r="AN259" s="71"/>
      <c r="AO259" s="71">
        <f t="shared" ref="AO259" ca="1" si="2583">SUM(AO250:AO258)</f>
        <v>10</v>
      </c>
      <c r="AP259" s="65"/>
      <c r="AQ259" s="71"/>
      <c r="AR259" s="71">
        <f t="shared" ref="AR259" ca="1" si="2584">SUM(AR250:AR258)</f>
        <v>35</v>
      </c>
      <c r="AS259" s="65"/>
      <c r="AT259" s="71"/>
      <c r="AU259" s="71">
        <f t="shared" ref="AU259" ca="1" si="2585">SUM(AU250:AU258)</f>
        <v>20</v>
      </c>
      <c r="AV259" s="65"/>
      <c r="AW259" s="71"/>
      <c r="AX259" s="71">
        <f t="shared" ref="AX259" ca="1" si="2586">SUM(AX250:AX258)</f>
        <v>20</v>
      </c>
      <c r="AY259" s="65"/>
      <c r="AZ259" s="71"/>
      <c r="BA259" s="71">
        <f t="shared" ref="BA259" ca="1" si="2587">SUM(BA250:BA258)</f>
        <v>20</v>
      </c>
      <c r="BB259" s="65"/>
      <c r="BC259" s="71"/>
      <c r="BD259" s="71">
        <f t="shared" ref="BD259" ca="1" si="2588">SUM(BD250:BD258)</f>
        <v>0</v>
      </c>
      <c r="BE259" s="65"/>
      <c r="BF259" s="71"/>
      <c r="BG259" s="71">
        <f t="shared" ref="BG259" ca="1" si="2589">SUM(BG250:BG258)</f>
        <v>65</v>
      </c>
      <c r="BH259" s="65"/>
      <c r="BI259" s="71"/>
      <c r="BJ259" s="71">
        <f t="shared" ref="BJ259" ca="1" si="2590">SUM(BJ250:BJ258)</f>
        <v>20</v>
      </c>
      <c r="BK259" s="65"/>
      <c r="BL259" s="71"/>
      <c r="BM259" s="71">
        <f t="shared" ref="BM259" ca="1" si="2591">SUM(BM250:BM258)</f>
        <v>60</v>
      </c>
      <c r="BN259" s="65"/>
      <c r="BO259" s="71"/>
      <c r="BP259" s="71">
        <f t="shared" ref="BP259" ca="1" si="2592">SUM(BP250:BP258)</f>
        <v>45</v>
      </c>
      <c r="BQ259" s="65"/>
      <c r="BR259" s="71"/>
      <c r="BS259" s="71">
        <f t="shared" ref="BS259" ca="1" si="2593">SUM(BS250:BS258)</f>
        <v>25</v>
      </c>
      <c r="BT259" s="65"/>
      <c r="BU259" s="71"/>
      <c r="BV259" s="71">
        <f t="shared" ref="BV259" ca="1" si="2594">SUM(BV250:BV258)</f>
        <v>20</v>
      </c>
      <c r="BW259" s="65"/>
      <c r="BX259" s="71"/>
      <c r="BY259" s="71">
        <f t="shared" ref="BY259" ca="1" si="2595">SUM(BY250:BY258)</f>
        <v>0</v>
      </c>
      <c r="BZ259" s="65"/>
      <c r="CA259" s="71"/>
      <c r="CB259" s="71">
        <f t="shared" ref="CB259" ca="1" si="2596">SUM(CB250:CB258)</f>
        <v>45</v>
      </c>
      <c r="CC259" s="65"/>
      <c r="CD259" s="71"/>
      <c r="CE259" s="71">
        <f t="shared" ref="CE259" ca="1" si="2597">SUM(CE250:CE258)</f>
        <v>0</v>
      </c>
      <c r="CF259" s="65"/>
      <c r="CG259" s="71"/>
      <c r="CH259" s="71">
        <f t="shared" ref="CH259" ca="1" si="2598">SUM(CH250:CH258)</f>
        <v>25</v>
      </c>
      <c r="CI259" s="65"/>
      <c r="CJ259" s="71"/>
      <c r="CK259" s="71">
        <f t="shared" ref="CK259" ca="1" si="2599">SUM(CK250:CK258)</f>
        <v>40</v>
      </c>
      <c r="CL259" s="65"/>
      <c r="CM259" s="71"/>
      <c r="CN259" s="71">
        <f t="shared" ref="CN259" ca="1" si="2600">SUM(CN250:CN258)</f>
        <v>20</v>
      </c>
      <c r="CO259" s="65"/>
      <c r="CP259" s="71"/>
      <c r="CQ259" s="71">
        <f t="shared" ref="CQ259" ca="1" si="2601">SUM(CQ250:CQ258)</f>
        <v>20</v>
      </c>
      <c r="CR259" s="65"/>
      <c r="CS259" s="71"/>
      <c r="CT259" s="71">
        <f t="shared" ref="CT259" ca="1" si="2602">SUM(CT250:CT258)</f>
        <v>40</v>
      </c>
      <c r="CU259" s="65"/>
      <c r="CV259" s="71"/>
      <c r="CW259" s="71">
        <f t="shared" ref="CW259" ca="1" si="2603">SUM(CW250:CW258)</f>
        <v>20</v>
      </c>
      <c r="CX259" s="65"/>
      <c r="CY259" s="71"/>
      <c r="CZ259" s="71">
        <f t="shared" ref="CZ259" ca="1" si="2604">SUM(CZ250:CZ258)</f>
        <v>0</v>
      </c>
      <c r="DA259" s="65"/>
      <c r="DB259" s="71"/>
      <c r="DC259" s="71">
        <f t="shared" ref="DC259" ca="1" si="2605">SUM(DC250:DC258)</f>
        <v>45</v>
      </c>
      <c r="DD259" s="65"/>
      <c r="DE259" s="71"/>
      <c r="DF259" s="71">
        <f t="shared" ref="DF259" ca="1" si="2606">SUM(DF250:DF258)</f>
        <v>0</v>
      </c>
      <c r="DG259" s="65"/>
      <c r="DH259" s="71"/>
      <c r="DI259" s="71">
        <f t="shared" ref="DI259" ca="1" si="2607">SUM(DI250:DI258)</f>
        <v>0</v>
      </c>
      <c r="DJ259" s="65"/>
      <c r="DK259" s="71"/>
      <c r="DL259" s="71">
        <f t="shared" ref="DL259" ca="1" si="2608">SUM(DL250:DL258)</f>
        <v>0</v>
      </c>
      <c r="DM259" s="65"/>
      <c r="DN259" s="71"/>
      <c r="DO259" s="71">
        <f t="shared" ref="DO259" ca="1" si="2609">SUM(DO250:DO258)</f>
        <v>40</v>
      </c>
      <c r="DP259" s="65"/>
      <c r="DQ259" s="71"/>
      <c r="DR259" s="71">
        <f t="shared" ref="DR259" ca="1" si="2610">SUM(DR250:DR258)</f>
        <v>30</v>
      </c>
      <c r="DS259" s="65"/>
      <c r="DT259" s="71"/>
      <c r="DU259" s="71">
        <f t="shared" ref="DU259" ca="1" si="2611">SUM(DU250:DU258)</f>
        <v>20</v>
      </c>
      <c r="DV259" s="65"/>
      <c r="DW259" s="71"/>
      <c r="DX259" s="71">
        <f t="shared" ref="DX259" ca="1" si="2612">SUM(DX250:DX258)</f>
        <v>20</v>
      </c>
      <c r="DY259" s="65"/>
      <c r="DZ259" s="71"/>
      <c r="EA259" s="71">
        <f t="shared" ref="EA259" ca="1" si="2613">SUM(EA250:EA258)</f>
        <v>45</v>
      </c>
      <c r="EB259" s="65"/>
      <c r="EC259" s="71"/>
      <c r="ED259" s="71">
        <f t="shared" ref="ED259" ca="1" si="2614">SUM(ED250:ED258)</f>
        <v>20</v>
      </c>
      <c r="EE259" s="65"/>
      <c r="EF259" s="71"/>
      <c r="EG259" s="71">
        <f t="shared" ref="EG259" ca="1" si="2615">SUM(EG250:EG258)</f>
        <v>20</v>
      </c>
      <c r="EH259" s="65"/>
      <c r="EI259" s="71"/>
      <c r="EJ259" s="71">
        <f t="shared" ref="EJ259" ca="1" si="2616">SUM(EJ250:EJ258)</f>
        <v>40</v>
      </c>
      <c r="EK259" s="65"/>
      <c r="EL259" s="71"/>
      <c r="EM259" s="71">
        <f t="shared" ref="EM259" ca="1" si="2617">SUM(EM250:EM258)</f>
        <v>0</v>
      </c>
      <c r="EN259" s="65"/>
      <c r="EO259" s="71"/>
      <c r="EP259" s="71">
        <f t="shared" ref="EP259" ca="1" si="2618">SUM(EP250:EP258)</f>
        <v>0</v>
      </c>
      <c r="EQ259" s="65"/>
      <c r="ER259" s="71"/>
      <c r="ES259" s="71">
        <f t="shared" ref="ES259" ca="1" si="2619">SUM(ES250:ES258)</f>
        <v>0</v>
      </c>
      <c r="ET259" s="65"/>
      <c r="EU259" s="71"/>
      <c r="EV259" s="71">
        <f t="shared" ref="EV259" ca="1" si="2620">SUM(EV250:EV258)</f>
        <v>0</v>
      </c>
      <c r="EW259" s="65"/>
      <c r="EX259" s="71"/>
      <c r="EY259" s="71">
        <f t="shared" ref="EY259" ca="1" si="2621">SUM(EY250:EY258)</f>
        <v>0</v>
      </c>
      <c r="EZ259" s="65"/>
      <c r="FA259" s="71"/>
      <c r="FB259" s="71">
        <f t="shared" ref="FB259" ca="1" si="2622">SUM(FB250:FB258)</f>
        <v>0</v>
      </c>
      <c r="FC259" s="65"/>
      <c r="FD259" s="71"/>
      <c r="FE259" s="71">
        <f t="shared" ref="FE259" ca="1" si="2623">SUM(FE250:FE258)</f>
        <v>0</v>
      </c>
      <c r="FF259" s="65"/>
      <c r="FG259" s="71"/>
      <c r="FH259" s="71">
        <f t="shared" ref="FH259" ca="1" si="2624">SUM(FH250:FH258)</f>
        <v>0</v>
      </c>
      <c r="FI259" s="65"/>
      <c r="FJ259" s="71"/>
      <c r="FK259" s="71">
        <f t="shared" ref="FK259" ca="1"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3-4 &amp;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33</v>
      </c>
      <c r="T263" s="25"/>
      <c r="U263" s="25"/>
      <c r="V263" s="25">
        <f ca="1">RANK(V264,OFFSET($S$264,0,0,1,$D$5*3),0)</f>
        <v>9</v>
      </c>
      <c r="W263" s="25"/>
      <c r="X263" s="25"/>
      <c r="Y263" s="25">
        <f ca="1">RANK(Y264,OFFSET($S$264,0,0,1,$D$5*3),0)</f>
        <v>17</v>
      </c>
      <c r="Z263" s="25"/>
      <c r="AA263" s="25"/>
      <c r="AB263" s="25">
        <f ca="1">RANK(AB264,OFFSET($S$264,0,0,1,$D$5*3),0)</f>
        <v>18</v>
      </c>
      <c r="AC263" s="25"/>
      <c r="AD263" s="25"/>
      <c r="AE263" s="25">
        <f ca="1">RANK(AE264,OFFSET($S$264,0,0,1,$D$5*3),0)</f>
        <v>19</v>
      </c>
      <c r="AF263" s="25"/>
      <c r="AG263" s="25"/>
      <c r="AH263" s="25">
        <f ca="1">RANK(AH264,OFFSET($S$264,0,0,1,$D$5*3),0)</f>
        <v>3</v>
      </c>
      <c r="AI263" s="25"/>
      <c r="AJ263" s="25"/>
      <c r="AK263" s="25">
        <f ca="1">RANK(AK264,OFFSET($S$264,0,0,1,$D$5*3),0)</f>
        <v>34</v>
      </c>
      <c r="AL263" s="25"/>
      <c r="AM263" s="25"/>
      <c r="AN263" s="25">
        <f ca="1">RANK(AN264,OFFSET($S$264,0,0,1,$D$5*3),0)</f>
        <v>32</v>
      </c>
      <c r="AO263" s="25"/>
      <c r="AP263" s="25"/>
      <c r="AQ263" s="25">
        <f ca="1">RANK(AQ264,OFFSET($S$264,0,0,1,$D$5*3),0)</f>
        <v>13</v>
      </c>
      <c r="AR263" s="25"/>
      <c r="AS263" s="25"/>
      <c r="AT263" s="25">
        <f ca="1">RANK(AT264,OFFSET($S$264,0,0,1,$D$5*3),0)</f>
        <v>20</v>
      </c>
      <c r="AU263" s="25"/>
      <c r="AV263" s="25"/>
      <c r="AW263" s="25">
        <f ca="1">RANK(AW264,OFFSET($S$264,0,0,1,$D$5*3),0)</f>
        <v>21</v>
      </c>
      <c r="AX263" s="25"/>
      <c r="AY263" s="25"/>
      <c r="AZ263" s="25">
        <f ca="1">RANK(AZ264,OFFSET($S$264,0,0,1,$D$5*3),0)</f>
        <v>22</v>
      </c>
      <c r="BA263" s="25"/>
      <c r="BB263" s="25"/>
      <c r="BC263" s="25">
        <f ca="1">RANK(BC264,OFFSET($S$264,0,0,1,$D$5*3),0)</f>
        <v>35</v>
      </c>
      <c r="BD263" s="25"/>
      <c r="BE263" s="25"/>
      <c r="BF263" s="25">
        <f ca="1">RANK(BF264,OFFSET($S$264,0,0,1,$D$5*3),0)</f>
        <v>1</v>
      </c>
      <c r="BG263" s="25"/>
      <c r="BH263" s="25"/>
      <c r="BI263" s="25">
        <f ca="1">RANK(BI264,OFFSET($S$264,0,0,1,$D$5*3),0)</f>
        <v>23</v>
      </c>
      <c r="BJ263" s="25"/>
      <c r="BK263" s="25"/>
      <c r="BL263" s="25">
        <f ca="1">RANK(BL264,OFFSET($S$264,0,0,1,$D$5*3),0)</f>
        <v>2</v>
      </c>
      <c r="BM263" s="25"/>
      <c r="BN263" s="25"/>
      <c r="BO263" s="25">
        <f ca="1">RANK(BO264,OFFSET($S$264,0,0,1,$D$5*3),0)</f>
        <v>7</v>
      </c>
      <c r="BP263" s="25"/>
      <c r="BQ263" s="25"/>
      <c r="BR263" s="25">
        <f ca="1">RANK(BR264,OFFSET($S$264,0,0,1,$D$5*3),0)</f>
        <v>15</v>
      </c>
      <c r="BS263" s="25"/>
      <c r="BT263" s="25"/>
      <c r="BU263" s="25">
        <f ca="1">RANK(BU264,OFFSET($S$264,0,0,1,$D$5*3),0)</f>
        <v>24</v>
      </c>
      <c r="BV263" s="25"/>
      <c r="BW263" s="25"/>
      <c r="BX263" s="25">
        <f ca="1">RANK(BX264,OFFSET($S$264,0,0,1,$D$5*3),0)</f>
        <v>36</v>
      </c>
      <c r="BY263" s="25"/>
      <c r="BZ263" s="25"/>
      <c r="CA263" s="25">
        <f ca="1">RANK(CA264,OFFSET($S$264,0,0,1,$D$5*3),0)</f>
        <v>4</v>
      </c>
      <c r="CB263" s="25"/>
      <c r="CC263" s="25"/>
      <c r="CD263" s="25">
        <f ca="1">RANK(CD264,OFFSET($S$264,0,0,1,$D$5*3),0)</f>
        <v>37</v>
      </c>
      <c r="CE263" s="25"/>
      <c r="CF263" s="25"/>
      <c r="CG263" s="25">
        <f ca="1">RANK(CG264,OFFSET($S$264,0,0,1,$D$5*3),0)</f>
        <v>16</v>
      </c>
      <c r="CH263" s="25"/>
      <c r="CI263" s="25"/>
      <c r="CJ263" s="25">
        <f ca="1">RANK(CJ264,OFFSET($S$264,0,0,1,$D$5*3),0)</f>
        <v>10</v>
      </c>
      <c r="CK263" s="25"/>
      <c r="CL263" s="25"/>
      <c r="CM263" s="25">
        <f ca="1">RANK(CM264,OFFSET($S$264,0,0,1,$D$5*3),0)</f>
        <v>25</v>
      </c>
      <c r="CN263" s="25"/>
      <c r="CO263" s="25"/>
      <c r="CP263" s="25">
        <f ca="1">RANK(CP264,OFFSET($S$264,0,0,1,$D$5*3),0)</f>
        <v>26</v>
      </c>
      <c r="CQ263" s="25"/>
      <c r="CR263" s="25"/>
      <c r="CS263" s="25">
        <f ca="1">RANK(CS264,OFFSET($S$264,0,0,1,$D$5*3),0)</f>
        <v>8</v>
      </c>
      <c r="CT263" s="25"/>
      <c r="CU263" s="25"/>
      <c r="CV263" s="25">
        <f ca="1">RANK(CV264,OFFSET($S$264,0,0,1,$D$5*3),0)</f>
        <v>27</v>
      </c>
      <c r="CW263" s="25"/>
      <c r="CX263" s="25"/>
      <c r="CY263" s="25">
        <f ca="1">RANK(CY264,OFFSET($S$264,0,0,1,$D$5*3),0)</f>
        <v>38</v>
      </c>
      <c r="CZ263" s="25"/>
      <c r="DA263" s="25"/>
      <c r="DB263" s="25">
        <f ca="1">RANK(DB264,OFFSET($S$264,0,0,1,$D$5*3),0)</f>
        <v>5</v>
      </c>
      <c r="DC263" s="25"/>
      <c r="DD263" s="25"/>
      <c r="DE263" s="25">
        <f ca="1">RANK(DE264,OFFSET($S$264,0,0,1,$D$5*3),0)</f>
        <v>39</v>
      </c>
      <c r="DF263" s="25"/>
      <c r="DG263" s="25"/>
      <c r="DH263" s="25">
        <f ca="1">RANK(DH264,OFFSET($S$264,0,0,1,$D$5*3),0)</f>
        <v>40</v>
      </c>
      <c r="DI263" s="25"/>
      <c r="DJ263" s="25"/>
      <c r="DK263" s="25">
        <f ca="1">RANK(DK264,OFFSET($S$264,0,0,1,$D$5*3),0)</f>
        <v>41</v>
      </c>
      <c r="DL263" s="25"/>
      <c r="DM263" s="25"/>
      <c r="DN263" s="25">
        <f ca="1">RANK(DN264,OFFSET($S$264,0,0,1,$D$5*3),0)</f>
        <v>11</v>
      </c>
      <c r="DO263" s="25"/>
      <c r="DP263" s="25"/>
      <c r="DQ263" s="25">
        <f ca="1">RANK(DQ264,OFFSET($S$264,0,0,1,$D$5*3),0)</f>
        <v>14</v>
      </c>
      <c r="DR263" s="25"/>
      <c r="DS263" s="25"/>
      <c r="DT263" s="25">
        <f ca="1">RANK(DT264,OFFSET($S$264,0,0,1,$D$5*3),0)</f>
        <v>28</v>
      </c>
      <c r="DU263" s="25"/>
      <c r="DV263" s="25"/>
      <c r="DW263" s="25">
        <f ca="1">RANK(DW264,OFFSET($S$264,0,0,1,$D$5*3),0)</f>
        <v>29</v>
      </c>
      <c r="DX263" s="25"/>
      <c r="DY263" s="25"/>
      <c r="DZ263" s="25">
        <f ca="1">RANK(DZ264,OFFSET($S$264,0,0,1,$D$5*3),0)</f>
        <v>6</v>
      </c>
      <c r="EA263" s="25"/>
      <c r="EB263" s="25"/>
      <c r="EC263" s="25">
        <f ca="1">RANK(EC264,OFFSET($S$264,0,0,1,$D$5*3),0)</f>
        <v>30</v>
      </c>
      <c r="ED263" s="25"/>
      <c r="EE263" s="25"/>
      <c r="EF263" s="25">
        <f ca="1">RANK(EF264,OFFSET($S$264,0,0,1,$D$5*3),0)</f>
        <v>31</v>
      </c>
      <c r="EG263" s="25"/>
      <c r="EH263" s="25"/>
      <c r="EI263" s="25">
        <f ca="1">RANK(EI264,OFFSET($S$264,0,0,1,$D$5*3),0)</f>
        <v>12</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-1.9E-3</v>
      </c>
      <c r="T264" s="25"/>
      <c r="U264" s="25"/>
      <c r="V264" s="25">
        <f t="shared" ref="V264" ca="1" si="2626">V266-(COLUMN()/10000)</f>
        <v>39.997799999999998</v>
      </c>
      <c r="W264" s="25"/>
      <c r="X264" s="25"/>
      <c r="Y264" s="25">
        <f t="shared" ref="Y264" ca="1" si="2627">Y266-(COLUMN()/10000)</f>
        <v>19.997499999999999</v>
      </c>
      <c r="Z264" s="25"/>
      <c r="AA264" s="25"/>
      <c r="AB264" s="25">
        <f t="shared" ref="AB264" ca="1" si="2628">AB266-(COLUMN()/10000)</f>
        <v>19.997199999999999</v>
      </c>
      <c r="AC264" s="25"/>
      <c r="AD264" s="25"/>
      <c r="AE264" s="25">
        <f t="shared" ref="AE264" ca="1" si="2629">AE266-(COLUMN()/10000)</f>
        <v>19.9969</v>
      </c>
      <c r="AF264" s="25"/>
      <c r="AG264" s="25"/>
      <c r="AH264" s="25">
        <f t="shared" ref="AH264" ca="1" si="2630">AH266-(COLUMN()/10000)</f>
        <v>58.996600000000001</v>
      </c>
      <c r="AI264" s="25"/>
      <c r="AJ264" s="25"/>
      <c r="AK264" s="25">
        <f t="shared" ref="AK264" ca="1" si="2631">AK266-(COLUMN()/10000)</f>
        <v>-3.7000000000000002E-3</v>
      </c>
      <c r="AL264" s="25"/>
      <c r="AM264" s="25"/>
      <c r="AN264" s="25">
        <f t="shared" ref="AN264" ca="1" si="2632">AN266-(COLUMN()/10000)</f>
        <v>9.9960000000000004</v>
      </c>
      <c r="AO264" s="25"/>
      <c r="AP264" s="25"/>
      <c r="AQ264" s="25">
        <f t="shared" ref="AQ264" ca="1" si="2633">AQ266-(COLUMN()/10000)</f>
        <v>38.995699999999999</v>
      </c>
      <c r="AR264" s="25"/>
      <c r="AS264" s="25"/>
      <c r="AT264" s="25">
        <f t="shared" ref="AT264" ca="1" si="2634">AT266-(COLUMN()/10000)</f>
        <v>19.9954</v>
      </c>
      <c r="AU264" s="25"/>
      <c r="AV264" s="25"/>
      <c r="AW264" s="25">
        <f t="shared" ref="AW264" ca="1" si="2635">AW266-(COLUMN()/10000)</f>
        <v>19.995100000000001</v>
      </c>
      <c r="AX264" s="25"/>
      <c r="AY264" s="25"/>
      <c r="AZ264" s="25">
        <f t="shared" ref="AZ264" ca="1" si="2636">AZ266-(COLUMN()/10000)</f>
        <v>19.994800000000001</v>
      </c>
      <c r="BA264" s="25"/>
      <c r="BB264" s="25"/>
      <c r="BC264" s="25">
        <f t="shared" ref="BC264" ca="1" si="2637">BC266-(COLUMN()/10000)</f>
        <v>-5.4999999999999997E-3</v>
      </c>
      <c r="BD264" s="25"/>
      <c r="BE264" s="25"/>
      <c r="BF264" s="25">
        <f t="shared" ref="BF264" ca="1" si="2638">BF266-(COLUMN()/10000)</f>
        <v>66.994200000000006</v>
      </c>
      <c r="BG264" s="25"/>
      <c r="BH264" s="25"/>
      <c r="BI264" s="25">
        <f t="shared" ref="BI264" ca="1" si="2639">BI266-(COLUMN()/10000)</f>
        <v>19.9939</v>
      </c>
      <c r="BJ264" s="25"/>
      <c r="BK264" s="25"/>
      <c r="BL264" s="25">
        <f t="shared" ref="BL264" ca="1" si="2640">BL266-(COLUMN()/10000)</f>
        <v>61.993600000000001</v>
      </c>
      <c r="BM264" s="25"/>
      <c r="BN264" s="25"/>
      <c r="BO264" s="25">
        <f t="shared" ref="BO264" ca="1" si="2641">BO266-(COLUMN()/10000)</f>
        <v>44.993299999999998</v>
      </c>
      <c r="BP264" s="25"/>
      <c r="BQ264" s="25"/>
      <c r="BR264" s="25">
        <f t="shared" ref="BR264" ca="1" si="2642">BR266-(COLUMN()/10000)</f>
        <v>24.992999999999999</v>
      </c>
      <c r="BS264" s="25"/>
      <c r="BT264" s="25"/>
      <c r="BU264" s="25">
        <f t="shared" ref="BU264" ca="1" si="2643">BU266-(COLUMN()/10000)</f>
        <v>19.992699999999999</v>
      </c>
      <c r="BV264" s="25"/>
      <c r="BW264" s="25"/>
      <c r="BX264" s="25">
        <f t="shared" ref="BX264" ca="1" si="2644">BX266-(COLUMN()/10000)</f>
        <v>-7.6E-3</v>
      </c>
      <c r="BY264" s="25"/>
      <c r="BZ264" s="25"/>
      <c r="CA264" s="25">
        <f t="shared" ref="CA264" ca="1" si="2645">CA266-(COLUMN()/10000)</f>
        <v>48.992100000000001</v>
      </c>
      <c r="CB264" s="25"/>
      <c r="CC264" s="25"/>
      <c r="CD264" s="25">
        <f t="shared" ref="CD264" ca="1" si="2646">CD266-(COLUMN()/10000)</f>
        <v>-8.2000000000000007E-3</v>
      </c>
      <c r="CE264" s="25"/>
      <c r="CF264" s="25"/>
      <c r="CG264" s="25">
        <f t="shared" ref="CG264" ca="1" si="2647">CG266-(COLUMN()/10000)</f>
        <v>24.991499999999998</v>
      </c>
      <c r="CH264" s="25"/>
      <c r="CI264" s="25"/>
      <c r="CJ264" s="25">
        <f t="shared" ref="CJ264" ca="1" si="2648">CJ266-(COLUMN()/10000)</f>
        <v>39.991199999999999</v>
      </c>
      <c r="CK264" s="25"/>
      <c r="CL264" s="25"/>
      <c r="CM264" s="25">
        <f t="shared" ref="CM264" ca="1" si="2649">CM266-(COLUMN()/10000)</f>
        <v>19.9909</v>
      </c>
      <c r="CN264" s="25"/>
      <c r="CO264" s="25"/>
      <c r="CP264" s="25">
        <f t="shared" ref="CP264" ca="1" si="2650">CP266-(COLUMN()/10000)</f>
        <v>19.990600000000001</v>
      </c>
      <c r="CQ264" s="25"/>
      <c r="CR264" s="25"/>
      <c r="CS264" s="25">
        <f t="shared" ref="CS264" ca="1" si="2651">CS266-(COLUMN()/10000)</f>
        <v>43.990299999999998</v>
      </c>
      <c r="CT264" s="25"/>
      <c r="CU264" s="25"/>
      <c r="CV264" s="25">
        <f t="shared" ref="CV264" ca="1" si="2652">CV266-(COLUMN()/10000)</f>
        <v>19.989999999999998</v>
      </c>
      <c r="CW264" s="25"/>
      <c r="CX264" s="25"/>
      <c r="CY264" s="25">
        <f t="shared" ref="CY264" ca="1" si="2653">CY266-(COLUMN()/10000)</f>
        <v>-1.03E-2</v>
      </c>
      <c r="CZ264" s="25"/>
      <c r="DA264" s="25"/>
      <c r="DB264" s="25">
        <f t="shared" ref="DB264" ca="1" si="2654">DB266-(COLUMN()/10000)</f>
        <v>45.989400000000003</v>
      </c>
      <c r="DC264" s="25"/>
      <c r="DD264" s="25"/>
      <c r="DE264" s="25">
        <f t="shared" ref="DE264" ca="1" si="2655">DE266-(COLUMN()/10000)</f>
        <v>-1.09E-2</v>
      </c>
      <c r="DF264" s="25"/>
      <c r="DG264" s="25"/>
      <c r="DH264" s="25">
        <f t="shared" ref="DH264" ca="1" si="2656">DH266-(COLUMN()/10000)</f>
        <v>-1.12E-2</v>
      </c>
      <c r="DI264" s="25"/>
      <c r="DJ264" s="25"/>
      <c r="DK264" s="25">
        <f t="shared" ref="DK264" ca="1" si="2657">DK266-(COLUMN()/10000)</f>
        <v>-1.15E-2</v>
      </c>
      <c r="DL264" s="25"/>
      <c r="DM264" s="25"/>
      <c r="DN264" s="25">
        <f t="shared" ref="DN264" ca="1" si="2658">DN266-(COLUMN()/10000)</f>
        <v>39.988199999999999</v>
      </c>
      <c r="DO264" s="25"/>
      <c r="DP264" s="25"/>
      <c r="DQ264" s="25">
        <f t="shared" ref="DQ264" ca="1" si="2659">DQ266-(COLUMN()/10000)</f>
        <v>29.9879</v>
      </c>
      <c r="DR264" s="25"/>
      <c r="DS264" s="25"/>
      <c r="DT264" s="25">
        <f t="shared" ref="DT264" ca="1" si="2660">DT266-(COLUMN()/10000)</f>
        <v>19.9876</v>
      </c>
      <c r="DU264" s="25"/>
      <c r="DV264" s="25"/>
      <c r="DW264" s="25">
        <f t="shared" ref="DW264" ca="1" si="2661">DW266-(COLUMN()/10000)</f>
        <v>19.987300000000001</v>
      </c>
      <c r="DX264" s="25"/>
      <c r="DY264" s="25"/>
      <c r="DZ264" s="25">
        <f t="shared" ref="DZ264" ca="1" si="2662">DZ266-(COLUMN()/10000)</f>
        <v>45.987000000000002</v>
      </c>
      <c r="EA264" s="25"/>
      <c r="EB264" s="25"/>
      <c r="EC264" s="25">
        <f t="shared" ref="EC264" ca="1" si="2663">EC266-(COLUMN()/10000)</f>
        <v>19.986699999999999</v>
      </c>
      <c r="ED264" s="25"/>
      <c r="EE264" s="25"/>
      <c r="EF264" s="25">
        <f t="shared" ref="EF264" ca="1" si="2664">EF266-(COLUMN()/10000)</f>
        <v>19.9864</v>
      </c>
      <c r="EG264" s="25"/>
      <c r="EH264" s="25"/>
      <c r="EI264" s="25">
        <f t="shared" ref="EI264" ca="1" si="2665">EI266-(COLUMN()/10000)</f>
        <v>39.9861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33</v>
      </c>
      <c r="T265" s="25"/>
      <c r="U265" s="25"/>
      <c r="V265" s="25">
        <f ca="1">RANK(V266,OFFSET($S$266,0,0,1,$D$5*3),0)</f>
        <v>9</v>
      </c>
      <c r="W265" s="25"/>
      <c r="X265" s="25"/>
      <c r="Y265" s="25">
        <f ca="1">RANK(Y266,OFFSET($S$266,0,0,1,$D$5*3),0)</f>
        <v>17</v>
      </c>
      <c r="Z265" s="25"/>
      <c r="AA265" s="25"/>
      <c r="AB265" s="25">
        <f ca="1">RANK(AB266,OFFSET($S$266,0,0,1,$D$5*3),0)</f>
        <v>17</v>
      </c>
      <c r="AC265" s="25"/>
      <c r="AD265" s="25"/>
      <c r="AE265" s="25">
        <f ca="1">RANK(AE266,OFFSET($S$266,0,0,1,$D$5*3),0)</f>
        <v>17</v>
      </c>
      <c r="AF265" s="25"/>
      <c r="AG265" s="25"/>
      <c r="AH265" s="25">
        <f ca="1">RANK(AH266,OFFSET($S$266,0,0,1,$D$5*3),0)</f>
        <v>3</v>
      </c>
      <c r="AI265" s="25"/>
      <c r="AJ265" s="25"/>
      <c r="AK265" s="25">
        <f ca="1">RANK(AK266,OFFSET($S$266,0,0,1,$D$5*3),0)</f>
        <v>33</v>
      </c>
      <c r="AL265" s="25"/>
      <c r="AM265" s="25"/>
      <c r="AN265" s="25">
        <f ca="1">RANK(AN266,OFFSET($S$266,0,0,1,$D$5*3),0)</f>
        <v>32</v>
      </c>
      <c r="AO265" s="25"/>
      <c r="AP265" s="25"/>
      <c r="AQ265" s="25">
        <f ca="1">RANK(AQ266,OFFSET($S$266,0,0,1,$D$5*3),0)</f>
        <v>13</v>
      </c>
      <c r="AR265" s="25"/>
      <c r="AS265" s="25"/>
      <c r="AT265" s="25">
        <f ca="1">RANK(AT266,OFFSET($S$266,0,0,1,$D$5*3),0)</f>
        <v>17</v>
      </c>
      <c r="AU265" s="25"/>
      <c r="AV265" s="25"/>
      <c r="AW265" s="25">
        <f ca="1">RANK(AW266,OFFSET($S$266,0,0,1,$D$5*3),0)</f>
        <v>17</v>
      </c>
      <c r="AX265" s="25"/>
      <c r="AY265" s="25"/>
      <c r="AZ265" s="25">
        <f ca="1">RANK(AZ266,OFFSET($S$266,0,0,1,$D$5*3),0)</f>
        <v>17</v>
      </c>
      <c r="BA265" s="25"/>
      <c r="BB265" s="25"/>
      <c r="BC265" s="25">
        <f ca="1">RANK(BC266,OFFSET($S$266,0,0,1,$D$5*3),0)</f>
        <v>33</v>
      </c>
      <c r="BD265" s="25"/>
      <c r="BE265" s="25"/>
      <c r="BF265" s="25">
        <f ca="1">RANK(BF266,OFFSET($S$266,0,0,1,$D$5*3),0)</f>
        <v>1</v>
      </c>
      <c r="BG265" s="25"/>
      <c r="BH265" s="25"/>
      <c r="BI265" s="25">
        <f ca="1">RANK(BI266,OFFSET($S$266,0,0,1,$D$5*3),0)</f>
        <v>17</v>
      </c>
      <c r="BJ265" s="25"/>
      <c r="BK265" s="25"/>
      <c r="BL265" s="25">
        <f ca="1">RANK(BL266,OFFSET($S$266,0,0,1,$D$5*3),0)</f>
        <v>2</v>
      </c>
      <c r="BM265" s="25"/>
      <c r="BN265" s="25"/>
      <c r="BO265" s="25">
        <f ca="1">RANK(BO266,OFFSET($S$266,0,0,1,$D$5*3),0)</f>
        <v>7</v>
      </c>
      <c r="BP265" s="25"/>
      <c r="BQ265" s="25"/>
      <c r="BR265" s="25">
        <f ca="1">RANK(BR266,OFFSET($S$266,0,0,1,$D$5*3),0)</f>
        <v>15</v>
      </c>
      <c r="BS265" s="25"/>
      <c r="BT265" s="25"/>
      <c r="BU265" s="25">
        <f ca="1">RANK(BU266,OFFSET($S$266,0,0,1,$D$5*3),0)</f>
        <v>17</v>
      </c>
      <c r="BV265" s="25"/>
      <c r="BW265" s="25"/>
      <c r="BX265" s="25">
        <f ca="1">RANK(BX266,OFFSET($S$266,0,0,1,$D$5*3),0)</f>
        <v>33</v>
      </c>
      <c r="BY265" s="25"/>
      <c r="BZ265" s="25"/>
      <c r="CA265" s="25">
        <f ca="1">RANK(CA266,OFFSET($S$266,0,0,1,$D$5*3),0)</f>
        <v>4</v>
      </c>
      <c r="CB265" s="25"/>
      <c r="CC265" s="25"/>
      <c r="CD265" s="25">
        <f ca="1">RANK(CD266,OFFSET($S$266,0,0,1,$D$5*3),0)</f>
        <v>33</v>
      </c>
      <c r="CE265" s="25"/>
      <c r="CF265" s="25"/>
      <c r="CG265" s="25">
        <f ca="1">RANK(CG266,OFFSET($S$266,0,0,1,$D$5*3),0)</f>
        <v>15</v>
      </c>
      <c r="CH265" s="25"/>
      <c r="CI265" s="25"/>
      <c r="CJ265" s="25">
        <f ca="1">RANK(CJ266,OFFSET($S$266,0,0,1,$D$5*3),0)</f>
        <v>9</v>
      </c>
      <c r="CK265" s="25"/>
      <c r="CL265" s="25"/>
      <c r="CM265" s="25">
        <f ca="1">RANK(CM266,OFFSET($S$266,0,0,1,$D$5*3),0)</f>
        <v>17</v>
      </c>
      <c r="CN265" s="25"/>
      <c r="CO265" s="25"/>
      <c r="CP265" s="25">
        <f ca="1">RANK(CP266,OFFSET($S$266,0,0,1,$D$5*3),0)</f>
        <v>17</v>
      </c>
      <c r="CQ265" s="25"/>
      <c r="CR265" s="25"/>
      <c r="CS265" s="25">
        <f ca="1">RANK(CS266,OFFSET($S$266,0,0,1,$D$5*3),0)</f>
        <v>8</v>
      </c>
      <c r="CT265" s="25"/>
      <c r="CU265" s="25"/>
      <c r="CV265" s="25">
        <f ca="1">RANK(CV266,OFFSET($S$266,0,0,1,$D$5*3),0)</f>
        <v>17</v>
      </c>
      <c r="CW265" s="25"/>
      <c r="CX265" s="25"/>
      <c r="CY265" s="25">
        <f ca="1">RANK(CY266,OFFSET($S$266,0,0,1,$D$5*3),0)</f>
        <v>33</v>
      </c>
      <c r="CZ265" s="25"/>
      <c r="DA265" s="25"/>
      <c r="DB265" s="25">
        <f ca="1">RANK(DB266,OFFSET($S$266,0,0,1,$D$5*3),0)</f>
        <v>5</v>
      </c>
      <c r="DC265" s="25"/>
      <c r="DD265" s="25"/>
      <c r="DE265" s="25">
        <f ca="1">RANK(DE266,OFFSET($S$266,0,0,1,$D$5*3),0)</f>
        <v>33</v>
      </c>
      <c r="DF265" s="25"/>
      <c r="DG265" s="25"/>
      <c r="DH265" s="25">
        <f ca="1">RANK(DH266,OFFSET($S$266,0,0,1,$D$5*3),0)</f>
        <v>33</v>
      </c>
      <c r="DI265" s="25"/>
      <c r="DJ265" s="25"/>
      <c r="DK265" s="25">
        <f ca="1">RANK(DK266,OFFSET($S$266,0,0,1,$D$5*3),0)</f>
        <v>33</v>
      </c>
      <c r="DL265" s="25"/>
      <c r="DM265" s="25"/>
      <c r="DN265" s="25">
        <f ca="1">RANK(DN266,OFFSET($S$266,0,0,1,$D$5*3),0)</f>
        <v>9</v>
      </c>
      <c r="DO265" s="25"/>
      <c r="DP265" s="25"/>
      <c r="DQ265" s="25">
        <f ca="1">RANK(DQ266,OFFSET($S$266,0,0,1,$D$5*3),0)</f>
        <v>14</v>
      </c>
      <c r="DR265" s="25"/>
      <c r="DS265" s="25"/>
      <c r="DT265" s="25">
        <f ca="1">RANK(DT266,OFFSET($S$266,0,0,1,$D$5*3),0)</f>
        <v>17</v>
      </c>
      <c r="DU265" s="25"/>
      <c r="DV265" s="25"/>
      <c r="DW265" s="25">
        <f ca="1">RANK(DW266,OFFSET($S$266,0,0,1,$D$5*3),0)</f>
        <v>17</v>
      </c>
      <c r="DX265" s="25"/>
      <c r="DY265" s="25"/>
      <c r="DZ265" s="25">
        <f ca="1">RANK(DZ266,OFFSET($S$266,0,0,1,$D$5*3),0)</f>
        <v>5</v>
      </c>
      <c r="EA265" s="25"/>
      <c r="EB265" s="25"/>
      <c r="EC265" s="25">
        <f ca="1">RANK(EC266,OFFSET($S$266,0,0,1,$D$5*3),0)</f>
        <v>17</v>
      </c>
      <c r="ED265" s="25"/>
      <c r="EE265" s="25"/>
      <c r="EF265" s="25">
        <f ca="1">RANK(EF266,OFFSET($S$266,0,0,1,$D$5*3),0)</f>
        <v>17</v>
      </c>
      <c r="EG265" s="25"/>
      <c r="EH265" s="25"/>
      <c r="EI265" s="25">
        <f ca="1">RANK(EI266,OFFSET($S$266,0,0,1,$D$5*3),0)</f>
        <v>9</v>
      </c>
      <c r="EJ265" s="25"/>
      <c r="EK265" s="25"/>
      <c r="EL265" s="25">
        <f ca="1">RANK(EL266,OFFSET($S$266,0,0,1,$D$5*3),0)</f>
        <v>33</v>
      </c>
      <c r="EM265" s="25"/>
      <c r="EN265" s="25"/>
      <c r="EO265" s="25">
        <f ca="1">RANK(EO266,OFFSET($S$266,0,0,1,$D$5*3),0)</f>
        <v>33</v>
      </c>
      <c r="EP265" s="25"/>
      <c r="EQ265" s="25"/>
      <c r="ER265" s="25">
        <f ca="1">RANK(ER266,OFFSET($S$266,0,0,1,$D$5*3),0)</f>
        <v>33</v>
      </c>
      <c r="ES265" s="25"/>
      <c r="ET265" s="25"/>
      <c r="EU265" s="25">
        <f ca="1">RANK(EU266,OFFSET($S$266,0,0,1,$D$5*3),0)</f>
        <v>33</v>
      </c>
      <c r="EV265" s="25"/>
      <c r="EW265" s="25"/>
      <c r="EX265" s="25">
        <f ca="1">RANK(EX266,OFFSET($S$266,0,0,1,$D$5*3),0)</f>
        <v>33</v>
      </c>
      <c r="EY265" s="25"/>
      <c r="EZ265" s="25"/>
      <c r="FA265" s="25">
        <f ca="1">RANK(FA266,OFFSET($S$266,0,0,1,$D$5*3),0)</f>
        <v>33</v>
      </c>
      <c r="FB265" s="25"/>
      <c r="FC265" s="25"/>
      <c r="FD265" s="25">
        <f ca="1">RANK(FD266,OFFSET($S$266,0,0,1,$D$5*3),0)</f>
        <v>33</v>
      </c>
      <c r="FE265" s="25"/>
      <c r="FF265" s="25"/>
      <c r="FG265" s="25">
        <f ca="1">RANK(FG266,OFFSET($S$266,0,0,1,$D$5*3),0)</f>
        <v>33</v>
      </c>
      <c r="FH265" s="25"/>
      <c r="FI265" s="25"/>
      <c r="FJ265" s="25">
        <f ca="1">RANK(FJ266,OFFSET($S$266,0,0,1,$D$5*3),0)</f>
        <v>33</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0</v>
      </c>
      <c r="T266" s="25"/>
      <c r="U266" s="25"/>
      <c r="V266" s="25">
        <f ca="1">SUMIFS((W6:W259),$H$6:$H$259,$M$262)</f>
        <v>40</v>
      </c>
      <c r="W266" s="25"/>
      <c r="X266" s="25"/>
      <c r="Y266" s="25">
        <f ca="1">SUMIFS((Z6:Z259),$H$6:$H$259,$M$262)</f>
        <v>20</v>
      </c>
      <c r="Z266" s="25"/>
      <c r="AA266" s="25"/>
      <c r="AB266" s="25">
        <f ca="1">SUMIFS((AC6:AC259),$H$6:$H$259,$M$262)</f>
        <v>20</v>
      </c>
      <c r="AC266" s="25"/>
      <c r="AD266" s="25"/>
      <c r="AE266" s="25">
        <f ca="1">SUMIFS((AF6:AF259),$H$6:$H$259,$M$262)</f>
        <v>20</v>
      </c>
      <c r="AF266" s="25"/>
      <c r="AG266" s="25"/>
      <c r="AH266" s="25">
        <f ca="1">SUMIFS((AI6:AI259),$H$6:$H$259,$M$262)</f>
        <v>59</v>
      </c>
      <c r="AI266" s="25"/>
      <c r="AJ266" s="25"/>
      <c r="AK266" s="25">
        <f ca="1">SUMIFS((AL6:AL259),$H$6:$H$259,$M$262)</f>
        <v>0</v>
      </c>
      <c r="AL266" s="25"/>
      <c r="AM266" s="25"/>
      <c r="AN266" s="25">
        <f ca="1">SUMIFS((AO6:AO259),$H$6:$H$259,$M$262)</f>
        <v>10</v>
      </c>
      <c r="AO266" s="25"/>
      <c r="AP266" s="25"/>
      <c r="AQ266" s="25">
        <f ca="1">SUMIFS((AR6:AR259),$H$6:$H$259,$M$262)</f>
        <v>39</v>
      </c>
      <c r="AR266" s="25"/>
      <c r="AS266" s="25"/>
      <c r="AT266" s="25">
        <f ca="1">SUMIFS((AU6:AU259),$H$6:$H$259,$M$262)</f>
        <v>20</v>
      </c>
      <c r="AU266" s="25"/>
      <c r="AV266" s="25"/>
      <c r="AW266" s="25">
        <f ca="1">SUMIFS((AX6:AX259),$H$6:$H$259,$M$262)</f>
        <v>20</v>
      </c>
      <c r="AX266" s="25"/>
      <c r="AY266" s="25"/>
      <c r="AZ266" s="25">
        <f ca="1">SUMIFS((BA6:BA259),$H$6:$H$259,$M$262)</f>
        <v>20</v>
      </c>
      <c r="BA266" s="25"/>
      <c r="BB266" s="25"/>
      <c r="BC266" s="25">
        <f ca="1">SUMIFS((BD6:BD259),$H$6:$H$259,$M$262)</f>
        <v>0</v>
      </c>
      <c r="BD266" s="25"/>
      <c r="BE266" s="25"/>
      <c r="BF266" s="25">
        <f ca="1">SUMIFS((BG6:BG259),$H$6:$H$259,$M$262)</f>
        <v>67</v>
      </c>
      <c r="BG266" s="25"/>
      <c r="BH266" s="25"/>
      <c r="BI266" s="25">
        <f ca="1">SUMIFS((BJ6:BJ259),$H$6:$H$259,$M$262)</f>
        <v>20</v>
      </c>
      <c r="BJ266" s="25"/>
      <c r="BK266" s="25"/>
      <c r="BL266" s="25">
        <f ca="1">SUMIFS((BM6:BM259),$H$6:$H$259,$M$262)</f>
        <v>62</v>
      </c>
      <c r="BM266" s="25"/>
      <c r="BN266" s="25"/>
      <c r="BO266" s="25">
        <f ca="1">SUMIFS((BP6:BP259),$H$6:$H$259,$M$262)</f>
        <v>45</v>
      </c>
      <c r="BP266" s="25"/>
      <c r="BQ266" s="25"/>
      <c r="BR266" s="25">
        <f ca="1">SUMIFS((BS6:BS259),$H$6:$H$259,$M$262)</f>
        <v>25</v>
      </c>
      <c r="BS266" s="25"/>
      <c r="BT266" s="25"/>
      <c r="BU266" s="25">
        <f ca="1">SUMIFS((BV6:BV259),$H$6:$H$259,$M$262)</f>
        <v>20</v>
      </c>
      <c r="BV266" s="25"/>
      <c r="BW266" s="25"/>
      <c r="BX266" s="25">
        <f ca="1">SUMIFS((BY6:BY259),$H$6:$H$259,$M$262)</f>
        <v>0</v>
      </c>
      <c r="BY266" s="25"/>
      <c r="BZ266" s="25"/>
      <c r="CA266" s="25">
        <f ca="1">SUMIFS((CB6:CB259),$H$6:$H$259,$M$262)</f>
        <v>49</v>
      </c>
      <c r="CB266" s="25"/>
      <c r="CC266" s="25"/>
      <c r="CD266" s="25">
        <f ca="1">SUMIFS((CE6:CE259),$H$6:$H$259,$M$262)</f>
        <v>0</v>
      </c>
      <c r="CE266" s="25"/>
      <c r="CF266" s="25"/>
      <c r="CG266" s="25">
        <f ca="1">SUMIFS((CH6:CH259),$H$6:$H$259,$M$262)</f>
        <v>25</v>
      </c>
      <c r="CH266" s="25"/>
      <c r="CI266" s="25"/>
      <c r="CJ266" s="25">
        <f ca="1">SUMIFS((CK6:CK259),$H$6:$H$259,$M$262)</f>
        <v>40</v>
      </c>
      <c r="CK266" s="25"/>
      <c r="CL266" s="25"/>
      <c r="CM266" s="25">
        <f ca="1">SUMIFS((CN6:CN259),$H$6:$H$259,$M$262)</f>
        <v>20</v>
      </c>
      <c r="CN266" s="25"/>
      <c r="CO266" s="25"/>
      <c r="CP266" s="25">
        <f ca="1">SUMIFS((CQ6:CQ259),$H$6:$H$259,$M$262)</f>
        <v>20</v>
      </c>
      <c r="CQ266" s="25"/>
      <c r="CR266" s="25"/>
      <c r="CS266" s="25">
        <f ca="1">SUMIFS((CT6:CT259),$H$6:$H$259,$M$262)</f>
        <v>44</v>
      </c>
      <c r="CT266" s="25"/>
      <c r="CU266" s="25"/>
      <c r="CV266" s="25">
        <f ca="1">SUMIFS((CW6:CW259),$H$6:$H$259,$M$262)</f>
        <v>20</v>
      </c>
      <c r="CW266" s="25"/>
      <c r="CX266" s="25"/>
      <c r="CY266" s="25">
        <f ca="1">SUMIFS((CZ6:CZ259),$H$6:$H$259,$M$262)</f>
        <v>0</v>
      </c>
      <c r="CZ266" s="25"/>
      <c r="DA266" s="25"/>
      <c r="DB266" s="25">
        <f ca="1">SUMIFS((DC6:DC259),$H$6:$H$259,$M$262)</f>
        <v>46</v>
      </c>
      <c r="DC266" s="25"/>
      <c r="DD266" s="25"/>
      <c r="DE266" s="25">
        <f ca="1">SUMIFS((DF6:DF259),$H$6:$H$259,$M$262)</f>
        <v>0</v>
      </c>
      <c r="DF266" s="25"/>
      <c r="DG266" s="25"/>
      <c r="DH266" s="25">
        <f ca="1">SUMIFS((DI6:DI259),$H$6:$H$259,$M$262)</f>
        <v>0</v>
      </c>
      <c r="DI266" s="25"/>
      <c r="DJ266" s="25"/>
      <c r="DK266" s="25">
        <f ca="1">SUMIFS((DL6:DL259),$H$6:$H$259,$M$262)</f>
        <v>0</v>
      </c>
      <c r="DL266" s="25"/>
      <c r="DM266" s="25"/>
      <c r="DN266" s="25">
        <f ca="1">SUMIFS((DO6:DO259),$H$6:$H$259,$M$262)</f>
        <v>40</v>
      </c>
      <c r="DO266" s="25"/>
      <c r="DP266" s="25"/>
      <c r="DQ266" s="25">
        <f ca="1">SUMIFS((DR6:DR259),$H$6:$H$259,$M$262)</f>
        <v>30</v>
      </c>
      <c r="DR266" s="25"/>
      <c r="DS266" s="25"/>
      <c r="DT266" s="25">
        <f ca="1">SUMIFS((DU6:DU259),$H$6:$H$259,$M$262)</f>
        <v>20</v>
      </c>
      <c r="DU266" s="25"/>
      <c r="DV266" s="25"/>
      <c r="DW266" s="25">
        <f ca="1">SUMIFS((DX6:DX259),$H$6:$H$259,$M$262)</f>
        <v>20</v>
      </c>
      <c r="DX266" s="25"/>
      <c r="DY266" s="25"/>
      <c r="DZ266" s="25">
        <f ca="1">SUMIFS((EA6:EA259),$H$6:$H$259,$M$262)</f>
        <v>46</v>
      </c>
      <c r="EA266" s="25"/>
      <c r="EB266" s="25"/>
      <c r="EC266" s="25">
        <f ca="1">SUMIFS((ED6:ED259),$H$6:$H$259,$M$262)</f>
        <v>20</v>
      </c>
      <c r="ED266" s="25"/>
      <c r="EE266" s="25"/>
      <c r="EF266" s="25">
        <f ca="1">SUMIFS((EG6:EG259),$H$6:$H$259,$M$262)</f>
        <v>20</v>
      </c>
      <c r="EG266" s="25"/>
      <c r="EH266" s="25"/>
      <c r="EI266" s="25">
        <f ca="1">SUMIFS((EJ6:EJ259),$H$6:$H$259,$M$262)</f>
        <v>40</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abSelected="1" zoomScale="85" zoomScaleNormal="85" workbookViewId="0">
      <selection activeCell="E26" sqref="E26"/>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Migay Marcos</v>
      </c>
      <c r="D5" s="91">
        <f ca="1">IFERROR(HLOOKUP(A5,Rango_Admin_Clas,4,FALSE),"-")</f>
        <v>440</v>
      </c>
      <c r="E5" s="92" cm="1">
        <f t="array" aca="1" ref="E5" ca="1">IFERROR(INDEX(Rango_Admin_Clas_Total,E$2,MATCH($A5,Rango_Admin_Clas_Primera,0)+1),"-")</f>
        <v>83</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13</v>
      </c>
      <c r="I5" s="92" cm="1">
        <f t="array" aca="1" ref="I5" ca="1">IFERROR(INDEX(Rango_Admin_Clas_Total,I$2,MATCH($A5,Rango_Admin_Clas_Primera,0)+1),"-")</f>
        <v>52</v>
      </c>
      <c r="J5" s="92" cm="1">
        <f t="array" aca="1" ref="J5" ca="1">IFERROR(INDEX(Rango_Admin_Clas_Total,J$2,MATCH($A5,Rango_Admin_Clas_Primera,0)+1),"-")</f>
        <v>3</v>
      </c>
      <c r="K5" s="92" cm="1">
        <f t="array" aca="1" ref="K5" ca="1">IFERROR(INDEX(Rango_Admin_Clas_Total,K$2,MATCH($A5,Rango_Admin_Clas_Primera,0)+1),"-")</f>
        <v>30</v>
      </c>
      <c r="L5" s="92" cm="1">
        <f t="array" aca="1" ref="L5" ca="1">IFERROR(INDEX(Rango_Admin_Clas_Total,L$2,MATCH($A5,Rango_Admin_Clas_Primera,0)+1),"-")</f>
        <v>5</v>
      </c>
      <c r="M5" s="92" cm="1">
        <f t="array" aca="1" ref="M5" ca="1">IFERROR(INDEX(Rango_Admin_Clas_Total,M$2,MATCH($A5,Rango_Admin_Clas_Primera,0)+1),"-")</f>
        <v>20</v>
      </c>
      <c r="N5" s="92" cm="1">
        <f t="array" aca="1" ref="N5" ca="1">IFERROR(INDEX(Rango_Admin_Clas_Total,N$2,MATCH($A5,Rango_Admin_Clas_Primera,0)+1),"-")</f>
        <v>3</v>
      </c>
      <c r="O5" s="92" cm="1">
        <f t="array" aca="1" ref="O5" ca="1">IFERROR(INDEX(Rango_Admin_Clas_Total,O$2,MATCH($A5,Rango_Admin_Clas_Primera,0)+1),"-")</f>
        <v>12</v>
      </c>
      <c r="P5" s="92" cm="1">
        <f t="array" aca="1" ref="P5" ca="1">IFERROR(INDEX(Rango_Admin_Clas_Total,P$2,MATCH($A5,Rango_Admin_Clas_Primera,0)+1),"-")</f>
        <v>14</v>
      </c>
      <c r="Q5" s="92" cm="1">
        <f t="array" aca="1" ref="Q5" ca="1">IFERROR(INDEX(Rango_Admin_Clas_Total,Q$2,MATCH($A5,Rango_Admin_Clas_Primera,0)+1),"-")</f>
        <v>0</v>
      </c>
      <c r="R5" s="92" cm="1">
        <f t="array" aca="1" ref="R5" ca="1">IFERROR(INDEX(Rango_Admin_Clas_Total,R$2,MATCH($A5,Rango_Admin_Clas_Primera,0)+1),"-")</f>
        <v>2</v>
      </c>
      <c r="S5" s="92" cm="1">
        <f t="array" aca="1" ref="S5" ca="1">IFERROR(INDEX(Rango_Admin_Clas_Total,S$2,MATCH($A5,Rango_Admin_Clas_Primera,0)+1),"-")</f>
        <v>60</v>
      </c>
      <c r="T5" s="297"/>
      <c r="U5" s="297"/>
    </row>
    <row r="6" spans="1:21">
      <c r="A6" s="19">
        <f t="shared" ref="A6:A54" si="0">ROW()-4</f>
        <v>2</v>
      </c>
      <c r="B6" s="22">
        <f ca="1">IFERROR(HLOOKUP(A6,Rango_Admin_Clas,3,FALSE),"-")</f>
        <v>2</v>
      </c>
      <c r="C6" s="18" t="str">
        <f ca="1">IFERROR(HLOOKUP(A6,Rango_Admin_Clas,5,FALSE),"-")</f>
        <v>Carlos Murciano</v>
      </c>
      <c r="D6" s="91">
        <f ca="1">IFERROR(HLOOKUP(A6,Rango_Admin_Clas,4,FALSE),"-")</f>
        <v>427</v>
      </c>
      <c r="E6" s="92" cm="1">
        <f t="array" aca="1" ref="E6" ca="1">IFERROR(INDEX(Rango_Admin_Clas_Total,E$2,MATCH($A6,Rango_Admin_Clas_Primera,0)+1),"-")</f>
        <v>95</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9</v>
      </c>
      <c r="I6" s="92" cm="1">
        <f t="array" aca="1" ref="I6" ca="1">IFERROR(INDEX(Rango_Admin_Clas_Total,I$2,MATCH($A6,Rango_Admin_Clas_Primera,0)+1),"-")</f>
        <v>56</v>
      </c>
      <c r="J6" s="92" cm="1">
        <f t="array" aca="1" ref="J6" ca="1">IFERROR(INDEX(Rango_Admin_Clas_Total,J$2,MATCH($A6,Rango_Admin_Clas_Primera,0)+1),"-")</f>
        <v>2</v>
      </c>
      <c r="K6" s="92" cm="1">
        <f t="array" aca="1" ref="K6" ca="1">IFERROR(INDEX(Rango_Admin_Clas_Total,K$2,MATCH($A6,Rango_Admin_Clas_Primera,0)+1),"-")</f>
        <v>30</v>
      </c>
      <c r="L6" s="92" cm="1">
        <f t="array" aca="1" ref="L6" ca="1">IFERROR(INDEX(Rango_Admin_Clas_Total,L$2,MATCH($A6,Rango_Admin_Clas_Primera,0)+1),"-")</f>
        <v>3</v>
      </c>
      <c r="M6" s="92" cm="1">
        <f t="array" aca="1" ref="M6" ca="1">IFERROR(INDEX(Rango_Admin_Clas_Total,M$2,MATCH($A6,Rango_Admin_Clas_Primera,0)+1),"-")</f>
        <v>20</v>
      </c>
      <c r="N6" s="92" cm="1">
        <f t="array" aca="1" ref="N6" ca="1">IFERROR(INDEX(Rango_Admin_Clas_Total,N$2,MATCH($A6,Rango_Admin_Clas_Primera,0)+1),"-")</f>
        <v>4</v>
      </c>
      <c r="O6" s="92" cm="1">
        <f t="array" aca="1" ref="O6" ca="1">IFERROR(INDEX(Rango_Admin_Clas_Total,O$2,MATCH($A6,Rango_Admin_Clas_Primera,0)+1),"-")</f>
        <v>12</v>
      </c>
      <c r="P6" s="92" cm="1">
        <f t="array" aca="1" ref="P6" ca="1">IFERROR(INDEX(Rango_Admin_Clas_Total,P$2,MATCH($A6,Rango_Admin_Clas_Primera,0)+1),"-")</f>
        <v>14</v>
      </c>
      <c r="Q6" s="92" cm="1">
        <f t="array" aca="1" ref="Q6" ca="1">IFERROR(INDEX(Rango_Admin_Clas_Total,Q$2,MATCH($A6,Rango_Admin_Clas_Primera,0)+1),"-")</f>
        <v>0</v>
      </c>
      <c r="R6" s="92" cm="1">
        <f t="array" aca="1" ref="R6" ca="1">IFERROR(INDEX(Rango_Admin_Clas_Total,R$2,MATCH($A6,Rango_Admin_Clas_Primera,0)+1),"-")</f>
        <v>4</v>
      </c>
      <c r="S6" s="92" cm="1">
        <f t="array" aca="1" ref="S6" ca="1">IFERROR(INDEX(Rango_Admin_Clas_Total,S$2,MATCH($A6,Rango_Admin_Clas_Primera,0)+1),"-")</f>
        <v>35</v>
      </c>
      <c r="T6" s="297"/>
      <c r="U6" s="297"/>
    </row>
    <row r="7" spans="1:21">
      <c r="A7" s="19">
        <f t="shared" si="0"/>
        <v>3</v>
      </c>
      <c r="B7" s="22">
        <f ca="1">IFERROR(HLOOKUP(A7,Rango_Admin_Clas,3,FALSE),"-")</f>
        <v>3</v>
      </c>
      <c r="C7" s="18" t="str">
        <f ca="1">IFERROR(HLOOKUP(A7,Rango_Admin_Clas,5,FALSE),"-")</f>
        <v>JCU</v>
      </c>
      <c r="D7" s="91">
        <f ca="1">IFERROR(HLOOKUP(A7,Rango_Admin_Clas,4,FALSE),"-")</f>
        <v>416</v>
      </c>
      <c r="E7" s="92" cm="1">
        <f t="array" aca="1" ref="E7" ca="1">IFERROR(INDEX(Rango_Admin_Clas_Total,E$2,MATCH($A7,Rango_Admin_Clas_Primera,0)+1),"-")</f>
        <v>75</v>
      </c>
      <c r="F7" s="92" cm="1">
        <f t="array" aca="1" ref="F7" ca="1">IFERROR(INDEX(Rango_Admin_Clas_Total,F$2,MATCH($A7,Rango_Admin_Clas_Primera,0)+1),"-")</f>
        <v>66</v>
      </c>
      <c r="G7" s="92" cm="1">
        <f t="array" aca="1" ref="G7" ca="1">IFERROR(INDEX(Rango_Admin_Clas_Total,G$2,MATCH($A7,Rango_Admin_Clas_Primera,0)+1),"-")</f>
        <v>72</v>
      </c>
      <c r="H7" s="92" cm="1">
        <f t="array" aca="1" ref="H7" ca="1">IFERROR(INDEX(Rango_Admin_Clas_Total,H$2,MATCH($A7,Rango_Admin_Clas_Primera,0)+1),"-")</f>
        <v>5</v>
      </c>
      <c r="I7" s="92" cm="1">
        <f t="array" aca="1" ref="I7" ca="1">IFERROR(INDEX(Rango_Admin_Clas_Total,I$2,MATCH($A7,Rango_Admin_Clas_Primera,0)+1),"-")</f>
        <v>52</v>
      </c>
      <c r="J7" s="92" cm="1">
        <f t="array" aca="1" ref="J7" ca="1">IFERROR(INDEX(Rango_Admin_Clas_Total,J$2,MATCH($A7,Rango_Admin_Clas_Primera,0)+1),"-")</f>
        <v>2</v>
      </c>
      <c r="K7" s="92" cm="1">
        <f t="array" aca="1" ref="K7" ca="1">IFERROR(INDEX(Rango_Admin_Clas_Total,K$2,MATCH($A7,Rango_Admin_Clas_Primera,0)+1),"-")</f>
        <v>25</v>
      </c>
      <c r="L7" s="92" cm="1">
        <f t="array" aca="1" ref="L7" ca="1">IFERROR(INDEX(Rango_Admin_Clas_Total,L$2,MATCH($A7,Rango_Admin_Clas_Primera,0)+1),"-")</f>
        <v>1</v>
      </c>
      <c r="M7" s="92" cm="1">
        <f t="array" aca="1" ref="M7" ca="1">IFERROR(INDEX(Rango_Admin_Clas_Total,M$2,MATCH($A7,Rango_Admin_Clas_Primera,0)+1),"-")</f>
        <v>20</v>
      </c>
      <c r="N7" s="92" cm="1">
        <f t="array" aca="1" ref="N7" ca="1">IFERROR(INDEX(Rango_Admin_Clas_Total,N$2,MATCH($A7,Rango_Admin_Clas_Primera,0)+1),"-")</f>
        <v>5</v>
      </c>
      <c r="O7" s="92" cm="1">
        <f t="array" aca="1" ref="O7" ca="1">IFERROR(INDEX(Rango_Admin_Clas_Total,O$2,MATCH($A7,Rango_Admin_Clas_Primera,0)+1),"-")</f>
        <v>12</v>
      </c>
      <c r="P7" s="92" cm="1">
        <f t="array" aca="1" ref="P7" ca="1">IFERROR(INDEX(Rango_Admin_Clas_Total,P$2,MATCH($A7,Rango_Admin_Clas_Primera,0)+1),"-")</f>
        <v>14</v>
      </c>
      <c r="Q7" s="92" cm="1">
        <f t="array" aca="1" ref="Q7" ca="1">IFERROR(INDEX(Rango_Admin_Clas_Total,Q$2,MATCH($A7,Rango_Admin_Clas_Primera,0)+1),"-")</f>
        <v>0</v>
      </c>
      <c r="R7" s="92" cm="1">
        <f t="array" aca="1" ref="R7" ca="1">IFERROR(INDEX(Rango_Admin_Clas_Total,R$2,MATCH($A7,Rango_Admin_Clas_Primera,0)+1),"-")</f>
        <v>2</v>
      </c>
      <c r="S7" s="92" cm="1">
        <f t="array" aca="1" ref="S7" ca="1">IFERROR(INDEX(Rango_Admin_Clas_Total,S$2,MATCH($A7,Rango_Admin_Clas_Primera,0)+1),"-")</f>
        <v>65</v>
      </c>
      <c r="T7" s="297"/>
      <c r="U7" s="297"/>
    </row>
    <row r="8" spans="1:21">
      <c r="A8" s="19">
        <f t="shared" si="0"/>
        <v>4</v>
      </c>
      <c r="B8" s="22">
        <f ca="1">IFERROR(HLOOKUP(A8,Rango_Admin_Clas,3,FALSE),"-")</f>
        <v>4</v>
      </c>
      <c r="C8" s="18" t="str">
        <f ca="1">IFERROR(HLOOKUP(A8,Rango_Admin_Clas,5,FALSE),"-")</f>
        <v>Fernando Carlos García-Ramos Redondo</v>
      </c>
      <c r="D8" s="91">
        <f ca="1">IFERROR(HLOOKUP(A8,Rango_Admin_Clas,4,FALSE),"-")</f>
        <v>405</v>
      </c>
      <c r="E8" s="92" cm="1">
        <f t="array" aca="1" ref="E8" ca="1">IFERROR(INDEX(Rango_Admin_Clas_Total,E$2,MATCH($A8,Rango_Admin_Clas_Primera,0)+1),"-")</f>
        <v>77</v>
      </c>
      <c r="F8" s="92" cm="1">
        <f t="array" aca="1" ref="F8" ca="1">IFERROR(INDEX(Rango_Admin_Clas_Total,F$2,MATCH($A8,Rango_Admin_Clas_Primera,0)+1),"-")</f>
        <v>72</v>
      </c>
      <c r="G8" s="92" cm="1">
        <f t="array" aca="1" ref="G8" ca="1">IFERROR(INDEX(Rango_Admin_Clas_Total,G$2,MATCH($A8,Rango_Admin_Clas_Primera,0)+1),"-")</f>
        <v>81</v>
      </c>
      <c r="H8" s="92" cm="1">
        <f t="array" aca="1" ref="H8" ca="1">IFERROR(INDEX(Rango_Admin_Clas_Total,H$2,MATCH($A8,Rango_Admin_Clas_Primera,0)+1),"-")</f>
        <v>8</v>
      </c>
      <c r="I8" s="92" cm="1">
        <f t="array" aca="1" ref="I8" ca="1">IFERROR(INDEX(Rango_Admin_Clas_Total,I$2,MATCH($A8,Rango_Admin_Clas_Primera,0)+1),"-")</f>
        <v>52</v>
      </c>
      <c r="J8" s="92" cm="1">
        <f t="array" aca="1" ref="J8" ca="1">IFERROR(INDEX(Rango_Admin_Clas_Total,J$2,MATCH($A8,Rango_Admin_Clas_Primera,0)+1),"-")</f>
        <v>1</v>
      </c>
      <c r="K8" s="92" cm="1">
        <f t="array" aca="1" ref="K8" ca="1">IFERROR(INDEX(Rango_Admin_Clas_Total,K$2,MATCH($A8,Rango_Admin_Clas_Primera,0)+1),"-")</f>
        <v>30</v>
      </c>
      <c r="L8" s="92" cm="1">
        <f t="array" aca="1" ref="L8" ca="1">IFERROR(INDEX(Rango_Admin_Clas_Total,L$2,MATCH($A8,Rango_Admin_Clas_Primera,0)+1),"-")</f>
        <v>2</v>
      </c>
      <c r="M8" s="92" cm="1">
        <f t="array" aca="1" ref="M8" ca="1">IFERROR(INDEX(Rango_Admin_Clas_Total,M$2,MATCH($A8,Rango_Admin_Clas_Primera,0)+1),"-")</f>
        <v>15</v>
      </c>
      <c r="N8" s="92" cm="1">
        <f t="array" aca="1" ref="N8" ca="1">IFERROR(INDEX(Rango_Admin_Clas_Total,N$2,MATCH($A8,Rango_Admin_Clas_Primera,0)+1),"-")</f>
        <v>1</v>
      </c>
      <c r="O8" s="92" cm="1">
        <f t="array" aca="1" ref="O8" ca="1">IFERROR(INDEX(Rango_Admin_Clas_Total,O$2,MATCH($A8,Rango_Admin_Clas_Primera,0)+1),"-")</f>
        <v>6</v>
      </c>
      <c r="P8" s="92" cm="1">
        <f t="array" aca="1" ref="P8" ca="1">IFERROR(INDEX(Rango_Admin_Clas_Total,P$2,MATCH($A8,Rango_Admin_Clas_Primera,0)+1),"-")</f>
        <v>14</v>
      </c>
      <c r="Q8" s="92" cm="1">
        <f t="array" aca="1" ref="Q8" ca="1">IFERROR(INDEX(Rango_Admin_Clas_Total,Q$2,MATCH($A8,Rango_Admin_Clas_Primera,0)+1),"-")</f>
        <v>0</v>
      </c>
      <c r="R8" s="92" cm="1">
        <f t="array" aca="1" ref="R8" ca="1">IFERROR(INDEX(Rango_Admin_Clas_Total,R$2,MATCH($A8,Rango_Admin_Clas_Primera,0)+1),"-")</f>
        <v>1</v>
      </c>
      <c r="S8" s="92" cm="1">
        <f t="array" aca="1" ref="S8" ca="1">IFERROR(INDEX(Rango_Admin_Clas_Total,S$2,MATCH($A8,Rango_Admin_Clas_Primera,0)+1),"-")</f>
        <v>45</v>
      </c>
      <c r="T8" s="297"/>
      <c r="U8" s="297"/>
    </row>
    <row r="9" spans="1:21">
      <c r="A9" s="19">
        <f t="shared" si="0"/>
        <v>5</v>
      </c>
      <c r="B9" s="22">
        <f ca="1">IFERROR(HLOOKUP(A9,Rango_Admin_Clas,3,FALSE),"-")</f>
        <v>5</v>
      </c>
      <c r="C9" s="18" t="str">
        <f ca="1">IFERROR(HLOOKUP(A9,Rango_Admin_Clas,5,FALSE),"-")</f>
        <v>Kurtischamp</v>
      </c>
      <c r="D9" s="91">
        <f ca="1">IFERROR(HLOOKUP(A9,Rango_Admin_Clas,4,FALSE),"-")</f>
        <v>397</v>
      </c>
      <c r="E9" s="92" cm="1">
        <f t="array" aca="1" ref="E9" ca="1">IFERROR(INDEX(Rango_Admin_Clas_Total,E$2,MATCH($A9,Rango_Admin_Clas_Primera,0)+1),"-")</f>
        <v>74</v>
      </c>
      <c r="F9" s="92" cm="1">
        <f t="array" aca="1" ref="F9" ca="1">IFERROR(INDEX(Rango_Admin_Clas_Total,F$2,MATCH($A9,Rango_Admin_Clas_Primera,0)+1),"-")</f>
        <v>72</v>
      </c>
      <c r="G9" s="92" cm="1">
        <f t="array" aca="1" ref="G9" ca="1">IFERROR(INDEX(Rango_Admin_Clas_Total,G$2,MATCH($A9,Rango_Admin_Clas_Primera,0)+1),"-")</f>
        <v>78</v>
      </c>
      <c r="H9" s="92" cm="1">
        <f t="array" aca="1" ref="H9" ca="1">IFERROR(INDEX(Rango_Admin_Clas_Total,H$2,MATCH($A9,Rango_Admin_Clas_Primera,0)+1),"-")</f>
        <v>4</v>
      </c>
      <c r="I9" s="92" cm="1">
        <f t="array" aca="1" ref="I9" ca="1">IFERROR(INDEX(Rango_Admin_Clas_Total,I$2,MATCH($A9,Rango_Admin_Clas_Primera,0)+1),"-")</f>
        <v>48</v>
      </c>
      <c r="J9" s="92" cm="1">
        <f t="array" aca="1" ref="J9" ca="1">IFERROR(INDEX(Rango_Admin_Clas_Total,J$2,MATCH($A9,Rango_Admin_Clas_Primera,0)+1),"-")</f>
        <v>3</v>
      </c>
      <c r="K9" s="92" cm="1">
        <f t="array" aca="1" ref="K9" ca="1">IFERROR(INDEX(Rango_Admin_Clas_Total,K$2,MATCH($A9,Rango_Admin_Clas_Primera,0)+1),"-")</f>
        <v>30</v>
      </c>
      <c r="L9" s="92" cm="1">
        <f t="array" aca="1" ref="L9" ca="1">IFERROR(INDEX(Rango_Admin_Clas_Total,L$2,MATCH($A9,Rango_Admin_Clas_Primera,0)+1),"-")</f>
        <v>8</v>
      </c>
      <c r="M9" s="92" cm="1">
        <f t="array" aca="1" ref="M9" ca="1">IFERROR(INDEX(Rango_Admin_Clas_Total,M$2,MATCH($A9,Rango_Admin_Clas_Primera,0)+1),"-")</f>
        <v>15</v>
      </c>
      <c r="N9" s="92" cm="1">
        <f t="array" aca="1" ref="N9" ca="1">IFERROR(INDEX(Rango_Admin_Clas_Total,N$2,MATCH($A9,Rango_Admin_Clas_Primera,0)+1),"-")</f>
        <v>1</v>
      </c>
      <c r="O9" s="92" cm="1">
        <f t="array" aca="1" ref="O9" ca="1">IFERROR(INDEX(Rango_Admin_Clas_Total,O$2,MATCH($A9,Rango_Admin_Clas_Primera,0)+1),"-")</f>
        <v>6</v>
      </c>
      <c r="P9" s="92" cm="1">
        <f t="array" aca="1" ref="P9" ca="1">IFERROR(INDEX(Rango_Admin_Clas_Total,P$2,MATCH($A9,Rango_Admin_Clas_Primera,0)+1),"-")</f>
        <v>14</v>
      </c>
      <c r="Q9" s="92" cm="1">
        <f t="array" aca="1" ref="Q9" ca="1">IFERROR(INDEX(Rango_Admin_Clas_Total,Q$2,MATCH($A9,Rango_Admin_Clas_Primera,0)+1),"-")</f>
        <v>0</v>
      </c>
      <c r="R9" s="92" cm="1">
        <f t="array" aca="1" ref="R9" ca="1">IFERROR(INDEX(Rango_Admin_Clas_Total,R$2,MATCH($A9,Rango_Admin_Clas_Primera,0)+1),"-")</f>
        <v>4</v>
      </c>
      <c r="S9" s="92" cm="1">
        <f t="array" aca="1" ref="S9" ca="1">IFERROR(INDEX(Rango_Admin_Clas_Total,S$2,MATCH($A9,Rango_Admin_Clas_Primera,0)+1),"-")</f>
        <v>40</v>
      </c>
      <c r="T9" s="297"/>
      <c r="U9" s="297"/>
    </row>
    <row r="10" spans="1:21">
      <c r="A10" s="19">
        <f t="shared" si="0"/>
        <v>6</v>
      </c>
      <c r="B10" s="22">
        <f ca="1">IFERROR(HLOOKUP(A10,Rango_Admin_Clas,3,FALSE),"-")</f>
        <v>6</v>
      </c>
      <c r="C10" s="18" t="str">
        <f ca="1">IFERROR(HLOOKUP(A10,Rango_Admin_Clas,5,FALSE),"-")</f>
        <v>Alexander Schulte</v>
      </c>
      <c r="D10" s="91">
        <f ca="1">IFERROR(HLOOKUP(A10,Rango_Admin_Clas,4,FALSE),"-")</f>
        <v>374</v>
      </c>
      <c r="E10" s="92" cm="1">
        <f t="array" aca="1" ref="E10" ca="1">IFERROR(INDEX(Rango_Admin_Clas_Total,E$2,MATCH($A10,Rango_Admin_Clas_Primera,0)+1),"-")</f>
        <v>78</v>
      </c>
      <c r="F10" s="92" cm="1">
        <f t="array" aca="1" ref="F10" ca="1">IFERROR(INDEX(Rango_Admin_Clas_Total,F$2,MATCH($A10,Rango_Admin_Clas_Primera,0)+1),"-")</f>
        <v>62</v>
      </c>
      <c r="G10" s="92" cm="1">
        <f t="array" aca="1" ref="G10" ca="1">IFERROR(INDEX(Rango_Admin_Clas_Total,G$2,MATCH($A10,Rango_Admin_Clas_Primera,0)+1),"-")</f>
        <v>78</v>
      </c>
      <c r="H10" s="92" cm="1">
        <f t="array" aca="1" ref="H10" ca="1">IFERROR(INDEX(Rango_Admin_Clas_Total,H$2,MATCH($A10,Rango_Admin_Clas_Primera,0)+1),"-")</f>
        <v>5</v>
      </c>
      <c r="I10" s="92" cm="1">
        <f t="array" aca="1" ref="I10" ca="1">IFERROR(INDEX(Rango_Admin_Clas_Total,I$2,MATCH($A10,Rango_Admin_Clas_Primera,0)+1),"-")</f>
        <v>48</v>
      </c>
      <c r="J10" s="92" cm="1">
        <f t="array" aca="1" ref="J10" ca="1">IFERROR(INDEX(Rango_Admin_Clas_Total,J$2,MATCH($A10,Rango_Admin_Clas_Primera,0)+1),"-")</f>
        <v>2</v>
      </c>
      <c r="K10" s="92" cm="1">
        <f t="array" aca="1" ref="K10" ca="1">IFERROR(INDEX(Rango_Admin_Clas_Total,K$2,MATCH($A10,Rango_Admin_Clas_Primera,0)+1),"-")</f>
        <v>25</v>
      </c>
      <c r="L10" s="92" cm="1">
        <f t="array" aca="1" ref="L10" ca="1">IFERROR(INDEX(Rango_Admin_Clas_Total,L$2,MATCH($A10,Rango_Admin_Clas_Primera,0)+1),"-")</f>
        <v>1</v>
      </c>
      <c r="M10" s="92" cm="1">
        <f t="array" aca="1" ref="M10" ca="1">IFERROR(INDEX(Rango_Admin_Clas_Total,M$2,MATCH($A10,Rango_Admin_Clas_Primera,0)+1),"-")</f>
        <v>15</v>
      </c>
      <c r="N10" s="92" cm="1">
        <f t="array" aca="1" ref="N10" ca="1">IFERROR(INDEX(Rango_Admin_Clas_Total,N$2,MATCH($A10,Rango_Admin_Clas_Primera,0)+1),"-")</f>
        <v>1</v>
      </c>
      <c r="O10" s="92" cm="1">
        <f t="array" aca="1" ref="O10" ca="1">IFERROR(INDEX(Rango_Admin_Clas_Total,O$2,MATCH($A10,Rango_Admin_Clas_Primera,0)+1),"-")</f>
        <v>12</v>
      </c>
      <c r="P10" s="92" cm="1">
        <f t="array" aca="1" ref="P10" ca="1">IFERROR(INDEX(Rango_Admin_Clas_Total,P$2,MATCH($A10,Rango_Admin_Clas_Primera,0)+1),"-")</f>
        <v>7</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40</v>
      </c>
      <c r="T10" s="297"/>
      <c r="U10" s="297"/>
    </row>
    <row r="11" spans="1:21">
      <c r="A11" s="19">
        <f t="shared" si="0"/>
        <v>7</v>
      </c>
      <c r="B11" s="22">
        <f ca="1">IFERROR(HLOOKUP(A11,Rango_Admin_Clas,3,FALSE),"-")</f>
        <v>7</v>
      </c>
      <c r="C11" s="18" t="str">
        <f ca="1">IFERROR(HLOOKUP(A11,Rango_Admin_Clas,5,FALSE),"-")</f>
        <v>Jaime García de la Riva</v>
      </c>
      <c r="D11" s="91">
        <f ca="1">IFERROR(HLOOKUP(A11,Rango_Admin_Clas,4,FALSE),"-")</f>
        <v>373</v>
      </c>
      <c r="E11" s="92" cm="1">
        <f t="array" aca="1" ref="E11" ca="1">IFERROR(INDEX(Rango_Admin_Clas_Total,E$2,MATCH($A11,Rango_Admin_Clas_Primera,0)+1),"-")</f>
        <v>71</v>
      </c>
      <c r="F11" s="92" cm="1">
        <f t="array" aca="1" ref="F11" ca="1">IFERROR(INDEX(Rango_Admin_Clas_Total,F$2,MATCH($A11,Rango_Admin_Clas_Primera,0)+1),"-")</f>
        <v>50</v>
      </c>
      <c r="G11" s="92" cm="1">
        <f t="array" aca="1" ref="G11" ca="1">IFERROR(INDEX(Rango_Admin_Clas_Total,G$2,MATCH($A11,Rango_Admin_Clas_Primera,0)+1),"-")</f>
        <v>75</v>
      </c>
      <c r="H11" s="92" cm="1">
        <f t="array" aca="1" ref="H11" ca="1">IFERROR(INDEX(Rango_Admin_Clas_Total,H$2,MATCH($A11,Rango_Admin_Clas_Primera,0)+1),"-")</f>
        <v>2</v>
      </c>
      <c r="I11" s="92" cm="1">
        <f t="array" aca="1" ref="I11" ca="1">IFERROR(INDEX(Rango_Admin_Clas_Total,I$2,MATCH($A11,Rango_Admin_Clas_Primera,0)+1),"-")</f>
        <v>52</v>
      </c>
      <c r="J11" s="92" cm="1">
        <f t="array" aca="1" ref="J11" ca="1">IFERROR(INDEX(Rango_Admin_Clas_Total,J$2,MATCH($A11,Rango_Admin_Clas_Primera,0)+1),"-")</f>
        <v>1</v>
      </c>
      <c r="K11" s="92" cm="1">
        <f t="array" aca="1" ref="K11" ca="1">IFERROR(INDEX(Rango_Admin_Clas_Total,K$2,MATCH($A11,Rango_Admin_Clas_Primera,0)+1),"-")</f>
        <v>25</v>
      </c>
      <c r="L11" s="92" cm="1">
        <f t="array" aca="1" ref="L11" ca="1">IFERROR(INDEX(Rango_Admin_Clas_Total,L$2,MATCH($A11,Rango_Admin_Clas_Primera,0)+1),"-")</f>
        <v>2</v>
      </c>
      <c r="M11" s="92" cm="1">
        <f t="array" aca="1" ref="M11" ca="1">IFERROR(INDEX(Rango_Admin_Clas_Total,M$2,MATCH($A11,Rango_Admin_Clas_Primera,0)+1),"-")</f>
        <v>15</v>
      </c>
      <c r="N11" s="92" cm="1">
        <f t="array" aca="1" ref="N11" ca="1">IFERROR(INDEX(Rango_Admin_Clas_Total,N$2,MATCH($A11,Rango_Admin_Clas_Primera,0)+1),"-")</f>
        <v>1</v>
      </c>
      <c r="O11" s="92" cm="1">
        <f t="array" aca="1" ref="O11" ca="1">IFERROR(INDEX(Rango_Admin_Clas_Total,O$2,MATCH($A11,Rango_Admin_Clas_Primera,0)+1),"-")</f>
        <v>6</v>
      </c>
      <c r="P11" s="92" cm="1">
        <f t="array" aca="1" ref="P11" ca="1">IFERROR(INDEX(Rango_Admin_Clas_Total,P$2,MATCH($A11,Rango_Admin_Clas_Primera,0)+1),"-")</f>
        <v>14</v>
      </c>
      <c r="Q11" s="92" cm="1">
        <f t="array" aca="1" ref="Q11" ca="1">IFERROR(INDEX(Rango_Admin_Clas_Total,Q$2,MATCH($A11,Rango_Admin_Clas_Primera,0)+1),"-")</f>
        <v>0</v>
      </c>
      <c r="R11" s="92" cm="1">
        <f t="array" aca="1" ref="R11" ca="1">IFERROR(INDEX(Rango_Admin_Clas_Total,R$2,MATCH($A11,Rango_Admin_Clas_Primera,0)+1),"-")</f>
        <v>4</v>
      </c>
      <c r="S11" s="92" cm="1">
        <f t="array" aca="1" ref="S11" ca="1">IFERROR(INDEX(Rango_Admin_Clas_Total,S$2,MATCH($A11,Rango_Admin_Clas_Primera,0)+1),"-")</f>
        <v>55</v>
      </c>
      <c r="T11" s="297"/>
      <c r="U11" s="297"/>
    </row>
    <row r="12" spans="1:21">
      <c r="A12" s="19">
        <f t="shared" si="0"/>
        <v>8</v>
      </c>
      <c r="B12" s="22">
        <f ca="1">IFERROR(HLOOKUP(A12,Rango_Admin_Clas,3,FALSE),"-")</f>
        <v>7</v>
      </c>
      <c r="C12" s="18" t="str">
        <f ca="1">IFERROR(HLOOKUP(A12,Rango_Admin_Clas,5,FALSE),"-")</f>
        <v>IGNACIO LAFUENTE</v>
      </c>
      <c r="D12" s="91">
        <f ca="1">IFERROR(HLOOKUP(A12,Rango_Admin_Clas,4,FALSE),"-")</f>
        <v>373</v>
      </c>
      <c r="E12" s="92" cm="1">
        <f t="array" aca="1" ref="E12" ca="1">IFERROR(INDEX(Rango_Admin_Clas_Total,E$2,MATCH($A12,Rango_Admin_Clas_Primera,0)+1),"-")</f>
        <v>86</v>
      </c>
      <c r="F12" s="92" cm="1">
        <f t="array" aca="1" ref="F12" ca="1">IFERROR(INDEX(Rango_Admin_Clas_Total,F$2,MATCH($A12,Rango_Admin_Clas_Primera,0)+1),"-")</f>
        <v>66</v>
      </c>
      <c r="G12" s="92" cm="1">
        <f t="array" aca="1" ref="G12" ca="1">IFERROR(INDEX(Rango_Admin_Clas_Total,G$2,MATCH($A12,Rango_Admin_Clas_Primera,0)+1),"-")</f>
        <v>81</v>
      </c>
      <c r="H12" s="92" cm="1">
        <f t="array" aca="1" ref="H12" ca="1">IFERROR(INDEX(Rango_Admin_Clas_Total,H$2,MATCH($A12,Rango_Admin_Clas_Primera,0)+1),"-")</f>
        <v>8</v>
      </c>
      <c r="I12" s="92" cm="1">
        <f t="array" aca="1" ref="I12" ca="1">IFERROR(INDEX(Rango_Admin_Clas_Total,I$2,MATCH($A12,Rango_Admin_Clas_Primera,0)+1),"-")</f>
        <v>44</v>
      </c>
      <c r="J12" s="92" cm="1">
        <f t="array" aca="1" ref="J12" ca="1">IFERROR(INDEX(Rango_Admin_Clas_Total,J$2,MATCH($A12,Rango_Admin_Clas_Primera,0)+1),"-")</f>
        <v>4</v>
      </c>
      <c r="K12" s="92" cm="1">
        <f t="array" aca="1" ref="K12" ca="1">IFERROR(INDEX(Rango_Admin_Clas_Total,K$2,MATCH($A12,Rango_Admin_Clas_Primera,0)+1),"-")</f>
        <v>25</v>
      </c>
      <c r="L12" s="92" cm="1">
        <f t="array" aca="1" ref="L12" ca="1">IFERROR(INDEX(Rango_Admin_Clas_Total,L$2,MATCH($A12,Rango_Admin_Clas_Primera,0)+1),"-")</f>
        <v>4</v>
      </c>
      <c r="M12" s="92" cm="1">
        <f t="array" aca="1" ref="M12" ca="1">IFERROR(INDEX(Rango_Admin_Clas_Total,M$2,MATCH($A12,Rango_Admin_Clas_Primera,0)+1),"-")</f>
        <v>15</v>
      </c>
      <c r="N12" s="92" cm="1">
        <f t="array" aca="1" ref="N12" ca="1">IFERROR(INDEX(Rango_Admin_Clas_Total,N$2,MATCH($A12,Rango_Admin_Clas_Primera,0)+1),"-")</f>
        <v>1</v>
      </c>
      <c r="O12" s="92" cm="1">
        <f t="array" aca="1" ref="O12" ca="1">IFERROR(INDEX(Rango_Admin_Clas_Total,O$2,MATCH($A12,Rango_Admin_Clas_Primera,0)+1),"-")</f>
        <v>12</v>
      </c>
      <c r="P12" s="92" cm="1">
        <f t="array" aca="1" ref="P12" ca="1">IFERROR(INDEX(Rango_Admin_Clas_Total,P$2,MATCH($A12,Rango_Admin_Clas_Primera,0)+1),"-")</f>
        <v>7</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20</v>
      </c>
      <c r="T12" s="297"/>
      <c r="U12" s="297"/>
    </row>
    <row r="13" spans="1:21">
      <c r="A13" s="19">
        <f t="shared" si="0"/>
        <v>9</v>
      </c>
      <c r="B13" s="22">
        <f ca="1">IFERROR(HLOOKUP(A13,Rango_Admin_Clas,3,FALSE),"-")</f>
        <v>9</v>
      </c>
      <c r="C13" s="18" t="str">
        <f ca="1">IFERROR(HLOOKUP(A13,Rango_Admin_Clas,5,FALSE),"-")</f>
        <v>Lucas Oriol</v>
      </c>
      <c r="D13" s="91">
        <f ca="1">IFERROR(HLOOKUP(A13,Rango_Admin_Clas,4,FALSE),"-")</f>
        <v>370</v>
      </c>
      <c r="E13" s="92" cm="1">
        <f t="array" aca="1" ref="E13" ca="1">IFERROR(INDEX(Rango_Admin_Clas_Total,E$2,MATCH($A13,Rango_Admin_Clas_Primera,0)+1),"-")</f>
        <v>83</v>
      </c>
      <c r="F13" s="92" cm="1">
        <f t="array" aca="1" ref="F13" ca="1">IFERROR(INDEX(Rango_Admin_Clas_Total,F$2,MATCH($A13,Rango_Admin_Clas_Primera,0)+1),"-")</f>
        <v>56</v>
      </c>
      <c r="G13" s="92" cm="1">
        <f t="array" aca="1" ref="G13" ca="1">IFERROR(INDEX(Rango_Admin_Clas_Total,G$2,MATCH($A13,Rango_Admin_Clas_Primera,0)+1),"-")</f>
        <v>72</v>
      </c>
      <c r="H13" s="92" cm="1">
        <f t="array" aca="1" ref="H13" ca="1">IFERROR(INDEX(Rango_Admin_Clas_Total,H$2,MATCH($A13,Rango_Admin_Clas_Primera,0)+1),"-")</f>
        <v>9</v>
      </c>
      <c r="I13" s="92" cm="1">
        <f t="array" aca="1" ref="I13" ca="1">IFERROR(INDEX(Rango_Admin_Clas_Total,I$2,MATCH($A13,Rango_Admin_Clas_Primera,0)+1),"-")</f>
        <v>44</v>
      </c>
      <c r="J13" s="92" cm="1">
        <f t="array" aca="1" ref="J13" ca="1">IFERROR(INDEX(Rango_Admin_Clas_Total,J$2,MATCH($A13,Rango_Admin_Clas_Primera,0)+1),"-")</f>
        <v>3</v>
      </c>
      <c r="K13" s="92" cm="1">
        <f t="array" aca="1" ref="K13" ca="1">IFERROR(INDEX(Rango_Admin_Clas_Total,K$2,MATCH($A13,Rango_Admin_Clas_Primera,0)+1),"-")</f>
        <v>25</v>
      </c>
      <c r="L13" s="92" cm="1">
        <f t="array" aca="1" ref="L13" ca="1">IFERROR(INDEX(Rango_Admin_Clas_Total,L$2,MATCH($A13,Rango_Admin_Clas_Primera,0)+1),"-")</f>
        <v>4</v>
      </c>
      <c r="M13" s="92" cm="1">
        <f t="array" aca="1" ref="M13" ca="1">IFERROR(INDEX(Rango_Admin_Clas_Total,M$2,MATCH($A13,Rango_Admin_Clas_Primera,0)+1),"-")</f>
        <v>15</v>
      </c>
      <c r="N13" s="92" cm="1">
        <f t="array" aca="1" ref="N13" ca="1">IFERROR(INDEX(Rango_Admin_Clas_Total,N$2,MATCH($A13,Rango_Admin_Clas_Primera,0)+1),"-")</f>
        <v>0</v>
      </c>
      <c r="O13" s="92" cm="1">
        <f t="array" aca="1" ref="O13" ca="1">IFERROR(INDEX(Rango_Admin_Clas_Total,O$2,MATCH($A13,Rango_Admin_Clas_Primera,0)+1),"-")</f>
        <v>12</v>
      </c>
      <c r="P13" s="92" cm="1">
        <f t="array" aca="1" ref="P13" ca="1">IFERROR(INDEX(Rango_Admin_Clas_Total,P$2,MATCH($A13,Rango_Admin_Clas_Primera,0)+1),"-")</f>
        <v>7</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40</v>
      </c>
      <c r="T13" s="297"/>
      <c r="U13" s="297"/>
    </row>
    <row r="14" spans="1:21">
      <c r="A14" s="19">
        <f t="shared" si="0"/>
        <v>10</v>
      </c>
      <c r="B14" s="22">
        <f ca="1">IFERROR(HLOOKUP(A14,Rango_Admin_Clas,3,FALSE),"-")</f>
        <v>10</v>
      </c>
      <c r="C14" s="18" t="str">
        <f ca="1">IFERROR(HLOOKUP(A14,Rango_Admin_Clas,5,FALSE),"-")</f>
        <v>Antonio del Ojo</v>
      </c>
      <c r="D14" s="91">
        <f ca="1">IFERROR(HLOOKUP(A14,Rango_Admin_Clas,4,FALSE),"-")</f>
        <v>363</v>
      </c>
      <c r="E14" s="92" cm="1">
        <f t="array" aca="1" ref="E14" ca="1">IFERROR(INDEX(Rango_Admin_Clas_Total,E$2,MATCH($A14,Rango_Admin_Clas_Primera,0)+1),"-")</f>
        <v>81</v>
      </c>
      <c r="F14" s="92" cm="1">
        <f t="array" aca="1" ref="F14" ca="1">IFERROR(INDEX(Rango_Admin_Clas_Total,F$2,MATCH($A14,Rango_Admin_Clas_Primera,0)+1),"-")</f>
        <v>50</v>
      </c>
      <c r="G14" s="92" cm="1">
        <f t="array" aca="1" ref="G14" ca="1">IFERROR(INDEX(Rango_Admin_Clas_Total,G$2,MATCH($A14,Rango_Admin_Clas_Primera,0)+1),"-")</f>
        <v>75</v>
      </c>
      <c r="H14" s="92" cm="1">
        <f t="array" aca="1" ref="H14" ca="1">IFERROR(INDEX(Rango_Admin_Clas_Total,H$2,MATCH($A14,Rango_Admin_Clas_Primera,0)+1),"-")</f>
        <v>5</v>
      </c>
      <c r="I14" s="92" cm="1">
        <f t="array" aca="1" ref="I14" ca="1">IFERROR(INDEX(Rango_Admin_Clas_Total,I$2,MATCH($A14,Rango_Admin_Clas_Primera,0)+1),"-")</f>
        <v>44</v>
      </c>
      <c r="J14" s="92" cm="1">
        <f t="array" aca="1" ref="J14" ca="1">IFERROR(INDEX(Rango_Admin_Clas_Total,J$2,MATCH($A14,Rango_Admin_Clas_Primera,0)+1),"-")</f>
        <v>2</v>
      </c>
      <c r="K14" s="92" cm="1">
        <f t="array" aca="1" ref="K14" ca="1">IFERROR(INDEX(Rango_Admin_Clas_Total,K$2,MATCH($A14,Rango_Admin_Clas_Primera,0)+1),"-")</f>
        <v>25</v>
      </c>
      <c r="L14" s="92" cm="1">
        <f t="array" aca="1" ref="L14" ca="1">IFERROR(INDEX(Rango_Admin_Clas_Total,L$2,MATCH($A14,Rango_Admin_Clas_Primera,0)+1),"-")</f>
        <v>1</v>
      </c>
      <c r="M14" s="92" cm="1">
        <f t="array" aca="1" ref="M14" ca="1">IFERROR(INDEX(Rango_Admin_Clas_Total,M$2,MATCH($A14,Rango_Admin_Clas_Primera,0)+1),"-")</f>
        <v>15</v>
      </c>
      <c r="N14" s="92" cm="1">
        <f t="array" aca="1" ref="N14" ca="1">IFERROR(INDEX(Rango_Admin_Clas_Total,N$2,MATCH($A14,Rango_Admin_Clas_Primera,0)+1),"-")</f>
        <v>1</v>
      </c>
      <c r="O14" s="92" cm="1">
        <f t="array" aca="1" ref="O14" ca="1">IFERROR(INDEX(Rango_Admin_Clas_Total,O$2,MATCH($A14,Rango_Admin_Clas_Primera,0)+1),"-")</f>
        <v>12</v>
      </c>
      <c r="P14" s="92" cm="1">
        <f t="array" aca="1" ref="P14" ca="1">IFERROR(INDEX(Rango_Admin_Clas_Total,P$2,MATCH($A14,Rango_Admin_Clas_Primera,0)+1),"-")</f>
        <v>7</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45</v>
      </c>
      <c r="T14" s="297"/>
      <c r="U14" s="297"/>
    </row>
    <row r="15" spans="1:21">
      <c r="A15" s="19">
        <f t="shared" si="0"/>
        <v>11</v>
      </c>
      <c r="B15" s="22">
        <f ca="1">IFERROR(HLOOKUP(A15,Rango_Admin_Clas,3,FALSE),"-")</f>
        <v>11</v>
      </c>
      <c r="C15" s="18" t="str">
        <f ca="1">IFERROR(HLOOKUP(A15,Rango_Admin_Clas,5,FALSE),"-")</f>
        <v>KIRICOCHO</v>
      </c>
      <c r="D15" s="91">
        <f ca="1">IFERROR(HLOOKUP(A15,Rango_Admin_Clas,4,FALSE),"-")</f>
        <v>358</v>
      </c>
      <c r="E15" s="92" cm="1">
        <f t="array" aca="1" ref="E15" ca="1">IFERROR(INDEX(Rango_Admin_Clas_Total,E$2,MATCH($A15,Rango_Admin_Clas_Primera,0)+1),"-")</f>
        <v>80</v>
      </c>
      <c r="F15" s="92" cm="1">
        <f t="array" aca="1" ref="F15" ca="1">IFERROR(INDEX(Rango_Admin_Clas_Total,F$2,MATCH($A15,Rango_Admin_Clas_Primera,0)+1),"-")</f>
        <v>62</v>
      </c>
      <c r="G15" s="92" cm="1">
        <f t="array" aca="1" ref="G15" ca="1">IFERROR(INDEX(Rango_Admin_Clas_Total,G$2,MATCH($A15,Rango_Admin_Clas_Primera,0)+1),"-")</f>
        <v>78</v>
      </c>
      <c r="H15" s="92" cm="1">
        <f t="array" aca="1" ref="H15" ca="1">IFERROR(INDEX(Rango_Admin_Clas_Total,H$2,MATCH($A15,Rango_Admin_Clas_Primera,0)+1),"-")</f>
        <v>7</v>
      </c>
      <c r="I15" s="92" cm="1">
        <f t="array" aca="1" ref="I15" ca="1">IFERROR(INDEX(Rango_Admin_Clas_Total,I$2,MATCH($A15,Rango_Admin_Clas_Primera,0)+1),"-")</f>
        <v>52</v>
      </c>
      <c r="J15" s="92" cm="1">
        <f t="array" aca="1" ref="J15" ca="1">IFERROR(INDEX(Rango_Admin_Clas_Total,J$2,MATCH($A15,Rango_Admin_Clas_Primera,0)+1),"-")</f>
        <v>3</v>
      </c>
      <c r="K15" s="92" cm="1">
        <f t="array" aca="1" ref="K15" ca="1">IFERROR(INDEX(Rango_Admin_Clas_Total,K$2,MATCH($A15,Rango_Admin_Clas_Primera,0)+1),"-")</f>
        <v>30</v>
      </c>
      <c r="L15" s="92" cm="1">
        <f t="array" aca="1" ref="L15" ca="1">IFERROR(INDEX(Rango_Admin_Clas_Total,L$2,MATCH($A15,Rango_Admin_Clas_Primera,0)+1),"-")</f>
        <v>3</v>
      </c>
      <c r="M15" s="92" cm="1">
        <f t="array" aca="1" ref="M15" ca="1">IFERROR(INDEX(Rango_Admin_Clas_Total,M$2,MATCH($A15,Rango_Admin_Clas_Primera,0)+1),"-")</f>
        <v>10</v>
      </c>
      <c r="N15" s="92" cm="1">
        <f t="array" aca="1" ref="N15" ca="1">IFERROR(INDEX(Rango_Admin_Clas_Total,N$2,MATCH($A15,Rango_Admin_Clas_Primera,0)+1),"-")</f>
        <v>0</v>
      </c>
      <c r="O15" s="92" cm="1">
        <f t="array" aca="1" ref="O15" ca="1">IFERROR(INDEX(Rango_Admin_Clas_Total,O$2,MATCH($A15,Rango_Admin_Clas_Primera,0)+1),"-")</f>
        <v>6</v>
      </c>
      <c r="P15" s="92" cm="1">
        <f t="array" aca="1" ref="P15" ca="1">IFERROR(INDEX(Rango_Admin_Clas_Total,P$2,MATCH($A15,Rango_Admin_Clas_Primera,0)+1),"-")</f>
        <v>7</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20</v>
      </c>
      <c r="T15" s="297"/>
      <c r="U15" s="297"/>
    </row>
    <row r="16" spans="1:21">
      <c r="A16" s="19">
        <f t="shared" si="0"/>
        <v>12</v>
      </c>
      <c r="B16" s="22">
        <f ca="1">IFERROR(HLOOKUP(A16,Rango_Admin_Clas,3,FALSE),"-")</f>
        <v>12</v>
      </c>
      <c r="C16" s="18" t="str">
        <f ca="1">IFERROR(HLOOKUP(A16,Rango_Admin_Clas,5,FALSE),"-")</f>
        <v>Pablo C</v>
      </c>
      <c r="D16" s="91">
        <f ca="1">IFERROR(HLOOKUP(A16,Rango_Admin_Clas,4,FALSE),"-")</f>
        <v>354</v>
      </c>
      <c r="E16" s="92" cm="1">
        <f t="array" aca="1" ref="E16" ca="1">IFERROR(INDEX(Rango_Admin_Clas_Total,E$2,MATCH($A16,Rango_Admin_Clas_Primera,0)+1),"-")</f>
        <v>67</v>
      </c>
      <c r="F16" s="92" cm="1">
        <f t="array" aca="1" ref="F16" ca="1">IFERROR(INDEX(Rango_Admin_Clas_Total,F$2,MATCH($A16,Rango_Admin_Clas_Primera,0)+1),"-")</f>
        <v>56</v>
      </c>
      <c r="G16" s="92" cm="1">
        <f t="array" aca="1" ref="G16" ca="1">IFERROR(INDEX(Rango_Admin_Clas_Total,G$2,MATCH($A16,Rango_Admin_Clas_Primera,0)+1),"-")</f>
        <v>81</v>
      </c>
      <c r="H16" s="92" cm="1">
        <f t="array" aca="1" ref="H16" ca="1">IFERROR(INDEX(Rango_Admin_Clas_Total,H$2,MATCH($A16,Rango_Admin_Clas_Primera,0)+1),"-")</f>
        <v>1</v>
      </c>
      <c r="I16" s="92" cm="1">
        <f t="array" aca="1" ref="I16" ca="1">IFERROR(INDEX(Rango_Admin_Clas_Total,I$2,MATCH($A16,Rango_Admin_Clas_Primera,0)+1),"-")</f>
        <v>40</v>
      </c>
      <c r="J16" s="92" cm="1">
        <f t="array" aca="1" ref="J16" ca="1">IFERROR(INDEX(Rango_Admin_Clas_Total,J$2,MATCH($A16,Rango_Admin_Clas_Primera,0)+1),"-")</f>
        <v>0</v>
      </c>
      <c r="K16" s="92" cm="1">
        <f t="array" aca="1" ref="K16" ca="1">IFERROR(INDEX(Rango_Admin_Clas_Total,K$2,MATCH($A16,Rango_Admin_Clas_Primera,0)+1),"-")</f>
        <v>20</v>
      </c>
      <c r="L16" s="92" cm="1">
        <f t="array" aca="1" ref="L16" ca="1">IFERROR(INDEX(Rango_Admin_Clas_Total,L$2,MATCH($A16,Rango_Admin_Clas_Primera,0)+1),"-")</f>
        <v>1</v>
      </c>
      <c r="M16" s="92" cm="1">
        <f t="array" aca="1" ref="M16" ca="1">IFERROR(INDEX(Rango_Admin_Clas_Total,M$2,MATCH($A16,Rango_Admin_Clas_Primera,0)+1),"-")</f>
        <v>15</v>
      </c>
      <c r="N16" s="92" cm="1">
        <f t="array" aca="1" ref="N16" ca="1">IFERROR(INDEX(Rango_Admin_Clas_Total,N$2,MATCH($A16,Rango_Admin_Clas_Primera,0)+1),"-")</f>
        <v>4</v>
      </c>
      <c r="O16" s="92" cm="1">
        <f t="array" aca="1" ref="O16" ca="1">IFERROR(INDEX(Rango_Admin_Clas_Total,O$2,MATCH($A16,Rango_Admin_Clas_Primera,0)+1),"-")</f>
        <v>6</v>
      </c>
      <c r="P16" s="92" cm="1">
        <f t="array" aca="1" ref="P16" ca="1">IFERROR(INDEX(Rango_Admin_Clas_Total,P$2,MATCH($A16,Rango_Admin_Clas_Primera,0)+1),"-")</f>
        <v>14</v>
      </c>
      <c r="Q16" s="92" cm="1">
        <f t="array" aca="1" ref="Q16" ca="1">IFERROR(INDEX(Rango_Admin_Clas_Total,Q$2,MATCH($A16,Rango_Admin_Clas_Primera,0)+1),"-")</f>
        <v>0</v>
      </c>
      <c r="R16" s="92" cm="1">
        <f t="array" aca="1" ref="R16" ca="1">IFERROR(INDEX(Rango_Admin_Clas_Total,R$2,MATCH($A16,Rango_Admin_Clas_Primera,0)+1),"-")</f>
        <v>4</v>
      </c>
      <c r="S16" s="92" cm="1">
        <f t="array" aca="1" ref="S16" ca="1">IFERROR(INDEX(Rango_Admin_Clas_Total,S$2,MATCH($A16,Rango_Admin_Clas_Primera,0)+1),"-")</f>
        <v>45</v>
      </c>
      <c r="T16" s="297"/>
      <c r="U16" s="297"/>
    </row>
    <row r="17" spans="1:21">
      <c r="A17" s="19">
        <f t="shared" si="0"/>
        <v>13</v>
      </c>
      <c r="B17" s="22">
        <f ca="1">IFERROR(HLOOKUP(A17,Rango_Admin_Clas,3,FALSE),"-")</f>
        <v>13</v>
      </c>
      <c r="C17" s="18" t="str">
        <f ca="1">IFERROR(HLOOKUP(A17,Rango_Admin_Clas,5,FALSE),"-")</f>
        <v>Luis B</v>
      </c>
      <c r="D17" s="91">
        <f ca="1">IFERROR(HLOOKUP(A17,Rango_Admin_Clas,4,FALSE),"-")</f>
        <v>352</v>
      </c>
      <c r="E17" s="92" cm="1">
        <f t="array" aca="1" ref="E17" ca="1">IFERROR(INDEX(Rango_Admin_Clas_Total,E$2,MATCH($A17,Rango_Admin_Clas_Primera,0)+1),"-")</f>
        <v>58</v>
      </c>
      <c r="F17" s="92" cm="1">
        <f t="array" aca="1" ref="F17" ca="1">IFERROR(INDEX(Rango_Admin_Clas_Total,F$2,MATCH($A17,Rango_Admin_Clas_Primera,0)+1),"-")</f>
        <v>64</v>
      </c>
      <c r="G17" s="92" cm="1">
        <f t="array" aca="1" ref="G17" ca="1">IFERROR(INDEX(Rango_Admin_Clas_Total,G$2,MATCH($A17,Rango_Admin_Clas_Primera,0)+1),"-")</f>
        <v>81</v>
      </c>
      <c r="H17" s="92" cm="1">
        <f t="array" aca="1" ref="H17" ca="1">IFERROR(INDEX(Rango_Admin_Clas_Total,H$2,MATCH($A17,Rango_Admin_Clas_Primera,0)+1),"-")</f>
        <v>9</v>
      </c>
      <c r="I17" s="92" cm="1">
        <f t="array" aca="1" ref="I17" ca="1">IFERROR(INDEX(Rango_Admin_Clas_Total,I$2,MATCH($A17,Rango_Admin_Clas_Primera,0)+1),"-")</f>
        <v>40</v>
      </c>
      <c r="J17" s="92" cm="1">
        <f t="array" aca="1" ref="J17" ca="1">IFERROR(INDEX(Rango_Admin_Clas_Total,J$2,MATCH($A17,Rango_Admin_Clas_Primera,0)+1),"-")</f>
        <v>0</v>
      </c>
      <c r="K17" s="92" cm="1">
        <f t="array" aca="1" ref="K17" ca="1">IFERROR(INDEX(Rango_Admin_Clas_Total,K$2,MATCH($A17,Rango_Admin_Clas_Primera,0)+1),"-")</f>
        <v>25</v>
      </c>
      <c r="L17" s="92" cm="1">
        <f t="array" aca="1" ref="L17" ca="1">IFERROR(INDEX(Rango_Admin_Clas_Total,L$2,MATCH($A17,Rango_Admin_Clas_Primera,0)+1),"-")</f>
        <v>0</v>
      </c>
      <c r="M17" s="92" cm="1">
        <f t="array" aca="1" ref="M17" ca="1">IFERROR(INDEX(Rango_Admin_Clas_Total,M$2,MATCH($A17,Rango_Admin_Clas_Primera,0)+1),"-")</f>
        <v>15</v>
      </c>
      <c r="N17" s="92" cm="1">
        <f t="array" aca="1" ref="N17" ca="1">IFERROR(INDEX(Rango_Admin_Clas_Total,N$2,MATCH($A17,Rango_Admin_Clas_Primera,0)+1),"-")</f>
        <v>1</v>
      </c>
      <c r="O17" s="92" cm="1">
        <f t="array" aca="1" ref="O17" ca="1">IFERROR(INDEX(Rango_Admin_Clas_Total,O$2,MATCH($A17,Rango_Admin_Clas_Primera,0)+1),"-")</f>
        <v>12</v>
      </c>
      <c r="P17" s="92" cm="1">
        <f t="array" aca="1" ref="P17" ca="1">IFERROR(INDEX(Rango_Admin_Clas_Total,P$2,MATCH($A17,Rango_Admin_Clas_Primera,0)+1),"-")</f>
        <v>7</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40</v>
      </c>
      <c r="T17" s="297"/>
      <c r="U17" s="297"/>
    </row>
    <row r="18" spans="1:21">
      <c r="A18" s="19">
        <f t="shared" si="0"/>
        <v>14</v>
      </c>
      <c r="B18" s="22">
        <f ca="1">IFERROR(HLOOKUP(A18,Rango_Admin_Clas,3,FALSE),"-")</f>
        <v>14</v>
      </c>
      <c r="C18" s="18" t="str">
        <f ca="1">IFERROR(HLOOKUP(A18,Rango_Admin_Clas,5,FALSE),"-")</f>
        <v>William Hartley</v>
      </c>
      <c r="D18" s="91">
        <f ca="1">IFERROR(HLOOKUP(A18,Rango_Admin_Clas,4,FALSE),"-")</f>
        <v>349</v>
      </c>
      <c r="E18" s="92" cm="1">
        <f t="array" aca="1" ref="E18" ca="1">IFERROR(INDEX(Rango_Admin_Clas_Total,E$2,MATCH($A18,Rango_Admin_Clas_Primera,0)+1),"-")</f>
        <v>74</v>
      </c>
      <c r="F18" s="92" cm="1">
        <f t="array" aca="1" ref="F18" ca="1">IFERROR(INDEX(Rango_Admin_Clas_Total,F$2,MATCH($A18,Rango_Admin_Clas_Primera,0)+1),"-")</f>
        <v>60</v>
      </c>
      <c r="G18" s="92" cm="1">
        <f t="array" aca="1" ref="G18" ca="1">IFERROR(INDEX(Rango_Admin_Clas_Total,G$2,MATCH($A18,Rango_Admin_Clas_Primera,0)+1),"-")</f>
        <v>84</v>
      </c>
      <c r="H18" s="92" cm="1">
        <f t="array" aca="1" ref="H18" ca="1">IFERROR(INDEX(Rango_Admin_Clas_Total,H$2,MATCH($A18,Rango_Admin_Clas_Primera,0)+1),"-")</f>
        <v>1</v>
      </c>
      <c r="I18" s="92" cm="1">
        <f t="array" aca="1" ref="I18" ca="1">IFERROR(INDEX(Rango_Admin_Clas_Total,I$2,MATCH($A18,Rango_Admin_Clas_Primera,0)+1),"-")</f>
        <v>56</v>
      </c>
      <c r="J18" s="92" cm="1">
        <f t="array" aca="1" ref="J18" ca="1">IFERROR(INDEX(Rango_Admin_Clas_Total,J$2,MATCH($A18,Rango_Admin_Clas_Primera,0)+1),"-")</f>
        <v>3</v>
      </c>
      <c r="K18" s="92" cm="1">
        <f t="array" aca="1" ref="K18" ca="1">IFERROR(INDEX(Rango_Admin_Clas_Total,K$2,MATCH($A18,Rango_Admin_Clas_Primera,0)+1),"-")</f>
        <v>25</v>
      </c>
      <c r="L18" s="92" cm="1">
        <f t="array" aca="1" ref="L18" ca="1">IFERROR(INDEX(Rango_Admin_Clas_Total,L$2,MATCH($A18,Rango_Admin_Clas_Primera,0)+1),"-")</f>
        <v>2</v>
      </c>
      <c r="M18" s="92" cm="1">
        <f t="array" aca="1" ref="M18" ca="1">IFERROR(INDEX(Rango_Admin_Clas_Total,M$2,MATCH($A18,Rango_Admin_Clas_Primera,0)+1),"-")</f>
        <v>10</v>
      </c>
      <c r="N18" s="92" cm="1">
        <f t="array" aca="1" ref="N18" ca="1">IFERROR(INDEX(Rango_Admin_Clas_Total,N$2,MATCH($A18,Rango_Admin_Clas_Primera,0)+1),"-")</f>
        <v>1</v>
      </c>
      <c r="O18" s="92" cm="1">
        <f t="array" aca="1" ref="O18" ca="1">IFERROR(INDEX(Rango_Admin_Clas_Total,O$2,MATCH($A18,Rango_Admin_Clas_Primera,0)+1),"-")</f>
        <v>6</v>
      </c>
      <c r="P18" s="92" cm="1">
        <f t="array" aca="1" ref="P18" ca="1">IFERROR(INDEX(Rango_Admin_Clas_Total,P$2,MATCH($A18,Rango_Admin_Clas_Primera,0)+1),"-")</f>
        <v>7</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20</v>
      </c>
      <c r="T18" s="297"/>
      <c r="U18" s="297"/>
    </row>
    <row r="19" spans="1:21">
      <c r="A19" s="19">
        <f t="shared" si="0"/>
        <v>15</v>
      </c>
      <c r="B19" s="22">
        <f ca="1">IFERROR(HLOOKUP(A19,Rango_Admin_Clas,3,FALSE),"-")</f>
        <v>15</v>
      </c>
      <c r="C19" s="18" t="str">
        <f ca="1">IFERROR(HLOOKUP(A19,Rango_Admin_Clas,5,FALSE),"-")</f>
        <v>MURO 204</v>
      </c>
      <c r="D19" s="91">
        <f ca="1">IFERROR(HLOOKUP(A19,Rango_Admin_Clas,4,FALSE),"-")</f>
        <v>345</v>
      </c>
      <c r="E19" s="92" cm="1">
        <f t="array" aca="1" ref="E19" ca="1">IFERROR(INDEX(Rango_Admin_Clas_Total,E$2,MATCH($A19,Rango_Admin_Clas_Primera,0)+1),"-")</f>
        <v>77</v>
      </c>
      <c r="F19" s="92" cm="1">
        <f t="array" aca="1" ref="F19" ca="1">IFERROR(INDEX(Rango_Admin_Clas_Total,F$2,MATCH($A19,Rango_Admin_Clas_Primera,0)+1),"-")</f>
        <v>62</v>
      </c>
      <c r="G19" s="92" cm="1">
        <f t="array" aca="1" ref="G19" ca="1">IFERROR(INDEX(Rango_Admin_Clas_Total,G$2,MATCH($A19,Rango_Admin_Clas_Primera,0)+1),"-")</f>
        <v>75</v>
      </c>
      <c r="H19" s="92" cm="1">
        <f t="array" aca="1" ref="H19" ca="1">IFERROR(INDEX(Rango_Admin_Clas_Total,H$2,MATCH($A19,Rango_Admin_Clas_Primera,0)+1),"-")</f>
        <v>6</v>
      </c>
      <c r="I19" s="92" cm="1">
        <f t="array" aca="1" ref="I19" ca="1">IFERROR(INDEX(Rango_Admin_Clas_Total,I$2,MATCH($A19,Rango_Admin_Clas_Primera,0)+1),"-")</f>
        <v>48</v>
      </c>
      <c r="J19" s="92" cm="1">
        <f t="array" aca="1" ref="J19" ca="1">IFERROR(INDEX(Rango_Admin_Clas_Total,J$2,MATCH($A19,Rango_Admin_Clas_Primera,0)+1),"-")</f>
        <v>2</v>
      </c>
      <c r="K19" s="92" cm="1">
        <f t="array" aca="1" ref="K19" ca="1">IFERROR(INDEX(Rango_Admin_Clas_Total,K$2,MATCH($A19,Rango_Admin_Clas_Primera,0)+1),"-")</f>
        <v>25</v>
      </c>
      <c r="L19" s="92" cm="1">
        <f t="array" aca="1" ref="L19" ca="1">IFERROR(INDEX(Rango_Admin_Clas_Total,L$2,MATCH($A19,Rango_Admin_Clas_Primera,0)+1),"-")</f>
        <v>2</v>
      </c>
      <c r="M19" s="92" cm="1">
        <f t="array" aca="1" ref="M19" ca="1">IFERROR(INDEX(Rango_Admin_Clas_Total,M$2,MATCH($A19,Rango_Admin_Clas_Primera,0)+1),"-")</f>
        <v>10</v>
      </c>
      <c r="N19" s="92" cm="1">
        <f t="array" aca="1" ref="N19" ca="1">IFERROR(INDEX(Rango_Admin_Clas_Total,N$2,MATCH($A19,Rango_Admin_Clas_Primera,0)+1),"-")</f>
        <v>0</v>
      </c>
      <c r="O19" s="92" cm="1">
        <f t="array" aca="1" ref="O19" ca="1">IFERROR(INDEX(Rango_Admin_Clas_Total,O$2,MATCH($A19,Rango_Admin_Clas_Primera,0)+1),"-")</f>
        <v>6</v>
      </c>
      <c r="P19" s="92" cm="1">
        <f t="array" aca="1" ref="P19" ca="1">IFERROR(INDEX(Rango_Admin_Clas_Total,P$2,MATCH($A19,Rango_Admin_Clas_Primera,0)+1),"-")</f>
        <v>7</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25</v>
      </c>
      <c r="T19" s="297"/>
      <c r="U19" s="297"/>
    </row>
    <row r="20" spans="1:21">
      <c r="A20" s="19">
        <f t="shared" si="0"/>
        <v>16</v>
      </c>
      <c r="B20" s="22">
        <f ca="1">IFERROR(HLOOKUP(A20,Rango_Admin_Clas,3,FALSE),"-")</f>
        <v>16</v>
      </c>
      <c r="C20" s="18" t="str">
        <f ca="1">IFERROR(HLOOKUP(A20,Rango_Admin_Clas,5,FALSE),"-")</f>
        <v>Pastor</v>
      </c>
      <c r="D20" s="91">
        <f ca="1">IFERROR(HLOOKUP(A20,Rango_Admin_Clas,4,FALSE),"-")</f>
        <v>341</v>
      </c>
      <c r="E20" s="92" cm="1">
        <f t="array" aca="1" ref="E20" ca="1">IFERROR(INDEX(Rango_Admin_Clas_Total,E$2,MATCH($A20,Rango_Admin_Clas_Primera,0)+1),"-")</f>
        <v>70</v>
      </c>
      <c r="F20" s="92" cm="1">
        <f t="array" aca="1" ref="F20" ca="1">IFERROR(INDEX(Rango_Admin_Clas_Total,F$2,MATCH($A20,Rango_Admin_Clas_Primera,0)+1),"-")</f>
        <v>64</v>
      </c>
      <c r="G20" s="92" cm="1">
        <f t="array" aca="1" ref="G20" ca="1">IFERROR(INDEX(Rango_Admin_Clas_Total,G$2,MATCH($A20,Rango_Admin_Clas_Primera,0)+1),"-")</f>
        <v>75</v>
      </c>
      <c r="H20" s="92" cm="1">
        <f t="array" aca="1" ref="H20" ca="1">IFERROR(INDEX(Rango_Admin_Clas_Total,H$2,MATCH($A20,Rango_Admin_Clas_Primera,0)+1),"-")</f>
        <v>2</v>
      </c>
      <c r="I20" s="92" cm="1">
        <f t="array" aca="1" ref="I20" ca="1">IFERROR(INDEX(Rango_Admin_Clas_Total,I$2,MATCH($A20,Rango_Admin_Clas_Primera,0)+1),"-")</f>
        <v>56</v>
      </c>
      <c r="J20" s="92" cm="1">
        <f t="array" aca="1" ref="J20" ca="1">IFERROR(INDEX(Rango_Admin_Clas_Total,J$2,MATCH($A20,Rango_Admin_Clas_Primera,0)+1),"-")</f>
        <v>7</v>
      </c>
      <c r="K20" s="92" cm="1">
        <f t="array" aca="1" ref="K20" ca="1">IFERROR(INDEX(Rango_Admin_Clas_Total,K$2,MATCH($A20,Rango_Admin_Clas_Primera,0)+1),"-")</f>
        <v>30</v>
      </c>
      <c r="L20" s="92" cm="1">
        <f t="array" aca="1" ref="L20" ca="1">IFERROR(INDEX(Rango_Admin_Clas_Total,L$2,MATCH($A20,Rango_Admin_Clas_Primera,0)+1),"-")</f>
        <v>2</v>
      </c>
      <c r="M20" s="92" cm="1">
        <f t="array" aca="1" ref="M20" ca="1">IFERROR(INDEX(Rango_Admin_Clas_Total,M$2,MATCH($A20,Rango_Admin_Clas_Primera,0)+1),"-")</f>
        <v>15</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20</v>
      </c>
      <c r="T20" s="297"/>
      <c r="U20" s="297"/>
    </row>
    <row r="21" spans="1:21">
      <c r="A21" s="19">
        <f t="shared" si="0"/>
        <v>17</v>
      </c>
      <c r="B21" s="22">
        <f ca="1">IFERROR(HLOOKUP(A21,Rango_Admin_Clas,3,FALSE),"-")</f>
        <v>17</v>
      </c>
      <c r="C21" s="18" t="str">
        <f ca="1">IFERROR(HLOOKUP(A21,Rango_Admin_Clas,5,FALSE),"-")</f>
        <v>AD Monchus</v>
      </c>
      <c r="D21" s="91">
        <f ca="1">IFERROR(HLOOKUP(A21,Rango_Admin_Clas,4,FALSE),"-")</f>
        <v>339</v>
      </c>
      <c r="E21" s="92" cm="1">
        <f t="array" aca="1" ref="E21" ca="1">IFERROR(INDEX(Rango_Admin_Clas_Total,E$2,MATCH($A21,Rango_Admin_Clas_Primera,0)+1),"-")</f>
        <v>67</v>
      </c>
      <c r="F21" s="92" cm="1">
        <f t="array" aca="1" ref="F21" ca="1">IFERROR(INDEX(Rango_Admin_Clas_Total,F$2,MATCH($A21,Rango_Admin_Clas_Primera,0)+1),"-")</f>
        <v>64</v>
      </c>
      <c r="G21" s="92" cm="1">
        <f t="array" aca="1" ref="G21" ca="1">IFERROR(INDEX(Rango_Admin_Clas_Total,G$2,MATCH($A21,Rango_Admin_Clas_Primera,0)+1),"-")</f>
        <v>78</v>
      </c>
      <c r="H21" s="92" cm="1">
        <f t="array" aca="1" ref="H21" ca="1">IFERROR(INDEX(Rango_Admin_Clas_Total,H$2,MATCH($A21,Rango_Admin_Clas_Primera,0)+1),"-")</f>
        <v>4</v>
      </c>
      <c r="I21" s="92" cm="1">
        <f t="array" aca="1" ref="I21" ca="1">IFERROR(INDEX(Rango_Admin_Clas_Total,I$2,MATCH($A21,Rango_Admin_Clas_Primera,0)+1),"-")</f>
        <v>48</v>
      </c>
      <c r="J21" s="92" cm="1">
        <f t="array" aca="1" ref="J21" ca="1">IFERROR(INDEX(Rango_Admin_Clas_Total,J$2,MATCH($A21,Rango_Admin_Clas_Primera,0)+1),"-")</f>
        <v>0</v>
      </c>
      <c r="K21" s="92" cm="1">
        <f t="array" aca="1" ref="K21" ca="1">IFERROR(INDEX(Rango_Admin_Clas_Total,K$2,MATCH($A21,Rango_Admin_Clas_Primera,0)+1),"-")</f>
        <v>15</v>
      </c>
      <c r="L21" s="92" cm="1">
        <f t="array" aca="1" ref="L21" ca="1">IFERROR(INDEX(Rango_Admin_Clas_Total,L$2,MATCH($A21,Rango_Admin_Clas_Primera,0)+1),"-")</f>
        <v>0</v>
      </c>
      <c r="M21" s="92" cm="1">
        <f t="array" aca="1" ref="M21" ca="1">IFERROR(INDEX(Rango_Admin_Clas_Total,M$2,MATCH($A21,Rango_Admin_Clas_Primera,0)+1),"-")</f>
        <v>10</v>
      </c>
      <c r="N21" s="92" cm="1">
        <f t="array" aca="1" ref="N21" ca="1">IFERROR(INDEX(Rango_Admin_Clas_Total,N$2,MATCH($A21,Rango_Admin_Clas_Primera,0)+1),"-")</f>
        <v>0</v>
      </c>
      <c r="O21" s="92" cm="1">
        <f t="array" aca="1" ref="O21" ca="1">IFERROR(INDEX(Rango_Admin_Clas_Total,O$2,MATCH($A21,Rango_Admin_Clas_Primera,0)+1),"-")</f>
        <v>6</v>
      </c>
      <c r="P21" s="92" cm="1">
        <f t="array" aca="1" ref="P21" ca="1">IFERROR(INDEX(Rango_Admin_Clas_Total,P$2,MATCH($A21,Rango_Admin_Clas_Primera,0)+1),"-")</f>
        <v>7</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40</v>
      </c>
      <c r="T21" s="297"/>
      <c r="U21" s="297"/>
    </row>
    <row r="22" spans="1:21">
      <c r="A22" s="19">
        <f t="shared" si="0"/>
        <v>18</v>
      </c>
      <c r="B22" s="22">
        <f ca="1">IFERROR(HLOOKUP(A22,Rango_Admin_Clas,3,FALSE),"-")</f>
        <v>18</v>
      </c>
      <c r="C22" s="18" t="str">
        <f ca="1">IFERROR(HLOOKUP(A22,Rango_Admin_Clas,5,FALSE),"-")</f>
        <v>Alejandro Lafuente</v>
      </c>
      <c r="D22" s="91">
        <f ca="1">IFERROR(HLOOKUP(A22,Rango_Admin_Clas,4,FALSE),"-")</f>
        <v>337</v>
      </c>
      <c r="E22" s="92" cm="1">
        <f t="array" aca="1" ref="E22" ca="1">IFERROR(INDEX(Rango_Admin_Clas_Total,E$2,MATCH($A22,Rango_Admin_Clas_Primera,0)+1),"-")</f>
        <v>75</v>
      </c>
      <c r="F22" s="92" cm="1">
        <f t="array" aca="1" ref="F22" ca="1">IFERROR(INDEX(Rango_Admin_Clas_Total,F$2,MATCH($A22,Rango_Admin_Clas_Primera,0)+1),"-")</f>
        <v>64</v>
      </c>
      <c r="G22" s="92" cm="1">
        <f t="array" aca="1" ref="G22" ca="1">IFERROR(INDEX(Rango_Admin_Clas_Total,G$2,MATCH($A22,Rango_Admin_Clas_Primera,0)+1),"-")</f>
        <v>78</v>
      </c>
      <c r="H22" s="92" cm="1">
        <f t="array" aca="1" ref="H22" ca="1">IFERROR(INDEX(Rango_Admin_Clas_Total,H$2,MATCH($A22,Rango_Admin_Clas_Primera,0)+1),"-")</f>
        <v>3</v>
      </c>
      <c r="I22" s="92" cm="1">
        <f t="array" aca="1" ref="I22" ca="1">IFERROR(INDEX(Rango_Admin_Clas_Total,I$2,MATCH($A22,Rango_Admin_Clas_Primera,0)+1),"-")</f>
        <v>44</v>
      </c>
      <c r="J22" s="92" cm="1">
        <f t="array" aca="1" ref="J22" ca="1">IFERROR(INDEX(Rango_Admin_Clas_Total,J$2,MATCH($A22,Rango_Admin_Clas_Primera,0)+1),"-")</f>
        <v>3</v>
      </c>
      <c r="K22" s="92" cm="1">
        <f t="array" aca="1" ref="K22" ca="1">IFERROR(INDEX(Rango_Admin_Clas_Total,K$2,MATCH($A22,Rango_Admin_Clas_Primera,0)+1),"-")</f>
        <v>25</v>
      </c>
      <c r="L22" s="92" cm="1">
        <f t="array" aca="1" ref="L22" ca="1">IFERROR(INDEX(Rango_Admin_Clas_Total,L$2,MATCH($A22,Rango_Admin_Clas_Primera,0)+1),"-")</f>
        <v>1</v>
      </c>
      <c r="M22" s="92" cm="1">
        <f t="array" aca="1" ref="M22" ca="1">IFERROR(INDEX(Rango_Admin_Clas_Total,M$2,MATCH($A22,Rango_Admin_Clas_Primera,0)+1),"-")</f>
        <v>10</v>
      </c>
      <c r="N22" s="92" cm="1">
        <f t="array" aca="1" ref="N22" ca="1">IFERROR(INDEX(Rango_Admin_Clas_Total,N$2,MATCH($A22,Rango_Admin_Clas_Primera,0)+1),"-")</f>
        <v>1</v>
      </c>
      <c r="O22" s="92" cm="1">
        <f t="array" aca="1" ref="O22" ca="1">IFERROR(INDEX(Rango_Admin_Clas_Total,O$2,MATCH($A22,Rango_Admin_Clas_Primera,0)+1),"-")</f>
        <v>6</v>
      </c>
      <c r="P22" s="92" cm="1">
        <f t="array" aca="1" ref="P22" ca="1">IFERROR(INDEX(Rango_Admin_Clas_Total,P$2,MATCH($A22,Rango_Admin_Clas_Primera,0)+1),"-")</f>
        <v>7</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20</v>
      </c>
      <c r="T22" s="297"/>
      <c r="U22" s="297"/>
    </row>
    <row r="23" spans="1:21">
      <c r="A23" s="19">
        <f t="shared" si="0"/>
        <v>19</v>
      </c>
      <c r="B23" s="22">
        <f ca="1">IFERROR(HLOOKUP(A23,Rango_Admin_Clas,3,FALSE),"-")</f>
        <v>18</v>
      </c>
      <c r="C23" s="18" t="str">
        <f ca="1">IFERROR(HLOOKUP(A23,Rango_Admin_Clas,5,FALSE),"-")</f>
        <v>DIDI</v>
      </c>
      <c r="D23" s="91">
        <f ca="1">IFERROR(HLOOKUP(A23,Rango_Admin_Clas,4,FALSE),"-")</f>
        <v>337</v>
      </c>
      <c r="E23" s="92" cm="1">
        <f t="array" aca="1" ref="E23" ca="1">IFERROR(INDEX(Rango_Admin_Clas_Total,E$2,MATCH($A23,Rango_Admin_Clas_Primera,0)+1),"-")</f>
        <v>67</v>
      </c>
      <c r="F23" s="92" cm="1">
        <f t="array" aca="1" ref="F23" ca="1">IFERROR(INDEX(Rango_Admin_Clas_Total,F$2,MATCH($A23,Rango_Admin_Clas_Primera,0)+1),"-")</f>
        <v>58</v>
      </c>
      <c r="G23" s="92" cm="1">
        <f t="array" aca="1" ref="G23" ca="1">IFERROR(INDEX(Rango_Admin_Clas_Total,G$2,MATCH($A23,Rango_Admin_Clas_Primera,0)+1),"-")</f>
        <v>78</v>
      </c>
      <c r="H23" s="92" cm="1">
        <f t="array" aca="1" ref="H23" ca="1">IFERROR(INDEX(Rango_Admin_Clas_Total,H$2,MATCH($A23,Rango_Admin_Clas_Primera,0)+1),"-")</f>
        <v>6</v>
      </c>
      <c r="I23" s="92" cm="1">
        <f t="array" aca="1" ref="I23" ca="1">IFERROR(INDEX(Rango_Admin_Clas_Total,I$2,MATCH($A23,Rango_Admin_Clas_Primera,0)+1),"-")</f>
        <v>48</v>
      </c>
      <c r="J23" s="92" cm="1">
        <f t="array" aca="1" ref="J23" ca="1">IFERROR(INDEX(Rango_Admin_Clas_Total,J$2,MATCH($A23,Rango_Admin_Clas_Primera,0)+1),"-")</f>
        <v>0</v>
      </c>
      <c r="K23" s="92" cm="1">
        <f t="array" aca="1" ref="K23" ca="1">IFERROR(INDEX(Rango_Admin_Clas_Total,K$2,MATCH($A23,Rango_Admin_Clas_Primera,0)+1),"-")</f>
        <v>10</v>
      </c>
      <c r="L23" s="92" cm="1">
        <f t="array" aca="1" ref="L23" ca="1">IFERROR(INDEX(Rango_Admin_Clas_Total,L$2,MATCH($A23,Rango_Admin_Clas_Primera,0)+1),"-")</f>
        <v>0</v>
      </c>
      <c r="M23" s="92" cm="1">
        <f t="array" aca="1" ref="M23" ca="1">IFERROR(INDEX(Rango_Admin_Clas_Total,M$2,MATCH($A23,Rango_Admin_Clas_Primera,0)+1),"-")</f>
        <v>10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14</v>
      </c>
      <c r="Q23" s="92" cm="1">
        <f t="array" aca="1" ref="Q23" ca="1">IFERROR(INDEX(Rango_Admin_Clas_Total,Q$2,MATCH($A23,Rango_Admin_Clas_Primera,0)+1),"-")</f>
        <v>0</v>
      </c>
      <c r="R23" s="92" cm="1">
        <f t="array" aca="1" ref="R23" ca="1">IFERROR(INDEX(Rango_Admin_Clas_Total,R$2,MATCH($A23,Rango_Admin_Clas_Primera,0)+1),"-")</f>
        <v>1</v>
      </c>
      <c r="S23" s="92" cm="1">
        <f t="array" aca="1" ref="S23" ca="1">IFERROR(INDEX(Rango_Admin_Clas_Total,S$2,MATCH($A23,Rango_Admin_Clas_Primera,0)+1),"-")</f>
        <v>45</v>
      </c>
      <c r="T23" s="297"/>
      <c r="U23" s="297"/>
    </row>
    <row r="24" spans="1:21">
      <c r="A24" s="19">
        <f t="shared" si="0"/>
        <v>20</v>
      </c>
      <c r="B24" s="22">
        <f ca="1">IFERROR(HLOOKUP(A24,Rango_Admin_Clas,3,FALSE),"-")</f>
        <v>20</v>
      </c>
      <c r="C24" s="18" t="str">
        <f ca="1">IFERROR(HLOOKUP(A24,Rango_Admin_Clas,5,FALSE),"-")</f>
        <v>Jaime Lafuente</v>
      </c>
      <c r="D24" s="91">
        <f ca="1">IFERROR(HLOOKUP(A24,Rango_Admin_Clas,4,FALSE),"-")</f>
        <v>336</v>
      </c>
      <c r="E24" s="92" cm="1">
        <f t="array" aca="1" ref="E24" ca="1">IFERROR(INDEX(Rango_Admin_Clas_Total,E$2,MATCH($A24,Rango_Admin_Clas_Primera,0)+1),"-")</f>
        <v>87</v>
      </c>
      <c r="F24" s="92" cm="1">
        <f t="array" aca="1" ref="F24" ca="1">IFERROR(INDEX(Rango_Admin_Clas_Total,F$2,MATCH($A24,Rango_Admin_Clas_Primera,0)+1),"-")</f>
        <v>62</v>
      </c>
      <c r="G24" s="92" cm="1">
        <f t="array" aca="1" ref="G24" ca="1">IFERROR(INDEX(Rango_Admin_Clas_Total,G$2,MATCH($A24,Rango_Admin_Clas_Primera,0)+1),"-")</f>
        <v>75</v>
      </c>
      <c r="H24" s="92" cm="1">
        <f t="array" aca="1" ref="H24" ca="1">IFERROR(INDEX(Rango_Admin_Clas_Total,H$2,MATCH($A24,Rango_Admin_Clas_Primera,0)+1),"-")</f>
        <v>3</v>
      </c>
      <c r="I24" s="92" cm="1">
        <f t="array" aca="1" ref="I24" ca="1">IFERROR(INDEX(Rango_Admin_Clas_Total,I$2,MATCH($A24,Rango_Admin_Clas_Primera,0)+1),"-")</f>
        <v>48</v>
      </c>
      <c r="J24" s="92" cm="1">
        <f t="array" aca="1" ref="J24" ca="1">IFERROR(INDEX(Rango_Admin_Clas_Total,J$2,MATCH($A24,Rango_Admin_Clas_Primera,0)+1),"-")</f>
        <v>1</v>
      </c>
      <c r="K24" s="92" cm="1">
        <f t="array" aca="1" ref="K24" ca="1">IFERROR(INDEX(Rango_Admin_Clas_Total,K$2,MATCH($A24,Rango_Admin_Clas_Primera,0)+1),"-")</f>
        <v>20</v>
      </c>
      <c r="L24" s="92" cm="1">
        <f t="array" aca="1" ref="L24" ca="1">IFERROR(INDEX(Rango_Admin_Clas_Total,L$2,MATCH($A24,Rango_Admin_Clas_Primera,0)+1),"-")</f>
        <v>0</v>
      </c>
      <c r="M24" s="92" cm="1">
        <f t="array" aca="1" ref="M24" ca="1">IFERROR(INDEX(Rango_Admin_Clas_Total,M$2,MATCH($A24,Rango_Admin_Clas_Primera,0)+1),"-")</f>
        <v>20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20</v>
      </c>
      <c r="T24" s="297"/>
      <c r="U24" s="297"/>
    </row>
    <row r="25" spans="1:21">
      <c r="A25" s="19">
        <f t="shared" si="0"/>
        <v>21</v>
      </c>
      <c r="B25" s="22">
        <f ca="1">IFERROR(HLOOKUP(A25,Rango_Admin_Clas,3,FALSE),"-")</f>
        <v>21</v>
      </c>
      <c r="C25" s="18" t="str">
        <f ca="1">IFERROR(HLOOKUP(A25,Rango_Admin_Clas,5,FALSE),"-")</f>
        <v>Joserra</v>
      </c>
      <c r="D25" s="91">
        <f ca="1">IFERROR(HLOOKUP(A25,Rango_Admin_Clas,4,FALSE),"-")</f>
        <v>332</v>
      </c>
      <c r="E25" s="92" cm="1">
        <f t="array" aca="1" ref="E25" ca="1">IFERROR(INDEX(Rango_Admin_Clas_Total,E$2,MATCH($A25,Rango_Admin_Clas_Primera,0)+1),"-")</f>
        <v>72</v>
      </c>
      <c r="F25" s="92" cm="1">
        <f t="array" aca="1" ref="F25" ca="1">IFERROR(INDEX(Rango_Admin_Clas_Total,F$2,MATCH($A25,Rango_Admin_Clas_Primera,0)+1),"-")</f>
        <v>62</v>
      </c>
      <c r="G25" s="92" cm="1">
        <f t="array" aca="1" ref="G25" ca="1">IFERROR(INDEX(Rango_Admin_Clas_Total,G$2,MATCH($A25,Rango_Admin_Clas_Primera,0)+1),"-")</f>
        <v>78</v>
      </c>
      <c r="H25" s="92" cm="1">
        <f t="array" aca="1" ref="H25" ca="1">IFERROR(INDEX(Rango_Admin_Clas_Total,H$2,MATCH($A25,Rango_Admin_Clas_Primera,0)+1),"-")</f>
        <v>7</v>
      </c>
      <c r="I25" s="92" cm="1">
        <f t="array" aca="1" ref="I25" ca="1">IFERROR(INDEX(Rango_Admin_Clas_Total,I$2,MATCH($A25,Rango_Admin_Clas_Primera,0)+1),"-")</f>
        <v>48</v>
      </c>
      <c r="J25" s="92" cm="1">
        <f t="array" aca="1" ref="J25" ca="1">IFERROR(INDEX(Rango_Admin_Clas_Total,J$2,MATCH($A25,Rango_Admin_Clas_Primera,0)+1),"-")</f>
        <v>1</v>
      </c>
      <c r="K25" s="92" cm="1">
        <f t="array" aca="1" ref="K25" ca="1">IFERROR(INDEX(Rango_Admin_Clas_Total,K$2,MATCH($A25,Rango_Admin_Clas_Primera,0)+1),"-")</f>
        <v>20</v>
      </c>
      <c r="L25" s="92" cm="1">
        <f t="array" aca="1" ref="L25" ca="1">IFERROR(INDEX(Rango_Admin_Clas_Total,L$2,MATCH($A25,Rango_Admin_Clas_Primera,0)+1),"-")</f>
        <v>0</v>
      </c>
      <c r="M25" s="92" cm="1">
        <f t="array" aca="1" ref="M25" ca="1">IFERROR(INDEX(Rango_Admin_Clas_Total,M$2,MATCH($A25,Rango_Admin_Clas_Primera,0)+1),"-")</f>
        <v>10</v>
      </c>
      <c r="N25" s="92" cm="1">
        <f t="array" aca="1" ref="N25" ca="1">IFERROR(INDEX(Rango_Admin_Clas_Total,N$2,MATCH($A25,Rango_Admin_Clas_Primera,0)+1),"-")</f>
        <v>1</v>
      </c>
      <c r="O25" s="92" cm="1">
        <f t="array" aca="1" ref="O25" ca="1">IFERROR(INDEX(Rango_Admin_Clas_Total,O$2,MATCH($A25,Rango_Admin_Clas_Primera,0)+1),"-")</f>
        <v>6</v>
      </c>
      <c r="P25" s="92" cm="1">
        <f t="array" aca="1" ref="P25" ca="1">IFERROR(INDEX(Rango_Admin_Clas_Total,P$2,MATCH($A25,Rango_Admin_Clas_Primera,0)+1),"-")</f>
        <v>7</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20</v>
      </c>
      <c r="T25" s="297"/>
      <c r="U25" s="297"/>
    </row>
    <row r="26" spans="1:21">
      <c r="A26" s="19">
        <f t="shared" si="0"/>
        <v>22</v>
      </c>
      <c r="B26" s="22">
        <f ca="1">IFERROR(HLOOKUP(A26,Rango_Admin_Clas,3,FALSE),"-")</f>
        <v>22</v>
      </c>
      <c r="C26" s="18" t="str">
        <f ca="1">IFERROR(HLOOKUP(A26,Rango_Admin_Clas,5,FALSE),"-")</f>
        <v>Florentino Netanyahu</v>
      </c>
      <c r="D26" s="91">
        <f ca="1">IFERROR(HLOOKUP(A26,Rango_Admin_Clas,4,FALSE),"-")</f>
        <v>326</v>
      </c>
      <c r="E26" s="92" cm="1">
        <f t="array" aca="1" ref="E26" ca="1">IFERROR(INDEX(Rango_Admin_Clas_Total,E$2,MATCH($A26,Rango_Admin_Clas_Primera,0)+1),"-")</f>
        <v>67</v>
      </c>
      <c r="F26" s="92" cm="1">
        <f t="array" aca="1" ref="F26" ca="1">IFERROR(INDEX(Rango_Admin_Clas_Total,F$2,MATCH($A26,Rango_Admin_Clas_Primera,0)+1),"-")</f>
        <v>54</v>
      </c>
      <c r="G26" s="92" cm="1">
        <f t="array" aca="1" ref="G26" ca="1">IFERROR(INDEX(Rango_Admin_Clas_Total,G$2,MATCH($A26,Rango_Admin_Clas_Primera,0)+1),"-")</f>
        <v>75</v>
      </c>
      <c r="H26" s="92" cm="1">
        <f t="array" aca="1" ref="H26" ca="1">IFERROR(INDEX(Rango_Admin_Clas_Total,H$2,MATCH($A26,Rango_Admin_Clas_Primera,0)+1),"-")</f>
        <v>12</v>
      </c>
      <c r="I26" s="92" cm="1">
        <f t="array" aca="1" ref="I26" ca="1">IFERROR(INDEX(Rango_Admin_Clas_Total,I$2,MATCH($A26,Rango_Admin_Clas_Primera,0)+1),"-")</f>
        <v>44</v>
      </c>
      <c r="J26" s="92" cm="1">
        <f t="array" aca="1" ref="J26" ca="1">IFERROR(INDEX(Rango_Admin_Clas_Total,J$2,MATCH($A26,Rango_Admin_Clas_Primera,0)+1),"-")</f>
        <v>0</v>
      </c>
      <c r="K26" s="92" cm="1">
        <f t="array" aca="1" ref="K26" ca="1">IFERROR(INDEX(Rango_Admin_Clas_Total,K$2,MATCH($A26,Rango_Admin_Clas_Primera,0)+1),"-")</f>
        <v>20</v>
      </c>
      <c r="L26" s="92" cm="1">
        <f t="array" aca="1" ref="L26" ca="1">IFERROR(INDEX(Rango_Admin_Clas_Total,L$2,MATCH($A26,Rango_Admin_Clas_Primera,0)+1),"-")</f>
        <v>0</v>
      </c>
      <c r="M26" s="92" cm="1">
        <f t="array" aca="1" ref="M26" ca="1">IFERROR(INDEX(Rango_Admin_Clas_Total,M$2,MATCH($A26,Rango_Admin_Clas_Primera,0)+1),"-")</f>
        <v>15</v>
      </c>
      <c r="N26" s="92" cm="1">
        <f t="array" aca="1" ref="N26" ca="1">IFERROR(INDEX(Rango_Admin_Clas_Total,N$2,MATCH($A26,Rango_Admin_Clas_Primera,0)+1),"-")</f>
        <v>1</v>
      </c>
      <c r="O26" s="92" cm="1">
        <f t="array" aca="1" ref="O26" ca="1">IFERROR(INDEX(Rango_Admin_Clas_Total,O$2,MATCH($A26,Rango_Admin_Clas_Primera,0)+1),"-")</f>
        <v>6</v>
      </c>
      <c r="P26" s="92" cm="1">
        <f t="array" aca="1" ref="P26" ca="1">IFERROR(INDEX(Rango_Admin_Clas_Total,P$2,MATCH($A26,Rango_Admin_Clas_Primera,0)+1),"-")</f>
        <v>7</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25</v>
      </c>
      <c r="T26" s="297"/>
      <c r="U26" s="297"/>
    </row>
    <row r="27" spans="1:21">
      <c r="A27" s="19">
        <f t="shared" si="0"/>
        <v>23</v>
      </c>
      <c r="B27" s="22">
        <f ca="1">IFERROR(HLOOKUP(A27,Rango_Admin_Clas,3,FALSE),"-")</f>
        <v>23</v>
      </c>
      <c r="C27" s="18" t="str">
        <f ca="1">IFERROR(HLOOKUP(A27,Rango_Admin_Clas,5,FALSE),"-")</f>
        <v>Hulk Rexach</v>
      </c>
      <c r="D27" s="91">
        <f ca="1">IFERROR(HLOOKUP(A27,Rango_Admin_Clas,4,FALSE),"-")</f>
        <v>320</v>
      </c>
      <c r="E27" s="92" cm="1">
        <f t="array" aca="1" ref="E27" ca="1">IFERROR(INDEX(Rango_Admin_Clas_Total,E$2,MATCH($A27,Rango_Admin_Clas_Primera,0)+1),"-")</f>
        <v>66</v>
      </c>
      <c r="F27" s="92" cm="1">
        <f t="array" aca="1" ref="F27" ca="1">IFERROR(INDEX(Rango_Admin_Clas_Total,F$2,MATCH($A27,Rango_Admin_Clas_Primera,0)+1),"-")</f>
        <v>56</v>
      </c>
      <c r="G27" s="92" cm="1">
        <f t="array" aca="1" ref="G27" ca="1">IFERROR(INDEX(Rango_Admin_Clas_Total,G$2,MATCH($A27,Rango_Admin_Clas_Primera,0)+1),"-")</f>
        <v>78</v>
      </c>
      <c r="H27" s="92" cm="1">
        <f t="array" aca="1" ref="H27" ca="1">IFERROR(INDEX(Rango_Admin_Clas_Total,H$2,MATCH($A27,Rango_Admin_Clas_Primera,0)+1),"-")</f>
        <v>3</v>
      </c>
      <c r="I27" s="92" cm="1">
        <f t="array" aca="1" ref="I27" ca="1">IFERROR(INDEX(Rango_Admin_Clas_Total,I$2,MATCH($A27,Rango_Admin_Clas_Primera,0)+1),"-")</f>
        <v>44</v>
      </c>
      <c r="J27" s="92" cm="1">
        <f t="array" aca="1" ref="J27" ca="1">IFERROR(INDEX(Rango_Admin_Clas_Total,J$2,MATCH($A27,Rango_Admin_Clas_Primera,0)+1),"-")</f>
        <v>0</v>
      </c>
      <c r="K27" s="92" cm="1">
        <f t="array" aca="1" ref="K27" ca="1">IFERROR(INDEX(Rango_Admin_Clas_Total,K$2,MATCH($A27,Rango_Admin_Clas_Primera,0)+1),"-")</f>
        <v>25</v>
      </c>
      <c r="L27" s="92" cm="1">
        <f t="array" aca="1" ref="L27" ca="1">IFERROR(INDEX(Rango_Admin_Clas_Total,L$2,MATCH($A27,Rango_Admin_Clas_Primera,0)+1),"-")</f>
        <v>1</v>
      </c>
      <c r="M27" s="92" cm="1">
        <f t="array" aca="1" ref="M27" ca="1">IFERROR(INDEX(Rango_Admin_Clas_Total,M$2,MATCH($A27,Rango_Admin_Clas_Primera,0)+1),"-")</f>
        <v>10</v>
      </c>
      <c r="N27" s="92" cm="1">
        <f t="array" aca="1" ref="N27" ca="1">IFERROR(INDEX(Rango_Admin_Clas_Total,N$2,MATCH($A27,Rango_Admin_Clas_Primera,0)+1),"-")</f>
        <v>4</v>
      </c>
      <c r="O27" s="92" cm="1">
        <f t="array" aca="1" ref="O27" ca="1">IFERROR(INDEX(Rango_Admin_Clas_Total,O$2,MATCH($A27,Rango_Admin_Clas_Primera,0)+1),"-")</f>
        <v>6</v>
      </c>
      <c r="P27" s="92" cm="1">
        <f t="array" aca="1" ref="P27" ca="1">IFERROR(INDEX(Rango_Admin_Clas_Total,P$2,MATCH($A27,Rango_Admin_Clas_Primera,0)+1),"-")</f>
        <v>7</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20</v>
      </c>
      <c r="T27" s="297"/>
      <c r="U27" s="297"/>
    </row>
    <row r="28" spans="1:21">
      <c r="A28" s="19">
        <f t="shared" si="0"/>
        <v>24</v>
      </c>
      <c r="B28" s="22">
        <f ca="1">IFERROR(HLOOKUP(A28,Rango_Admin_Clas,3,FALSE),"-")</f>
        <v>24</v>
      </c>
      <c r="C28" s="18" t="str">
        <f ca="1">IFERROR(HLOOKUP(A28,Rango_Admin_Clas,5,FALSE),"-")</f>
        <v>Miguel San Martín</v>
      </c>
      <c r="D28" s="91">
        <f ca="1">IFERROR(HLOOKUP(A28,Rango_Admin_Clas,4,FALSE),"-")</f>
        <v>319</v>
      </c>
      <c r="E28" s="92" cm="1">
        <f t="array" aca="1" ref="E28" ca="1">IFERROR(INDEX(Rango_Admin_Clas_Total,E$2,MATCH($A28,Rango_Admin_Clas_Primera,0)+1),"-")</f>
        <v>74</v>
      </c>
      <c r="F28" s="92" cm="1">
        <f t="array" aca="1" ref="F28" ca="1">IFERROR(INDEX(Rango_Admin_Clas_Total,F$2,MATCH($A28,Rango_Admin_Clas_Primera,0)+1),"-")</f>
        <v>58</v>
      </c>
      <c r="G28" s="92" cm="1">
        <f t="array" aca="1" ref="G28" ca="1">IFERROR(INDEX(Rango_Admin_Clas_Total,G$2,MATCH($A28,Rango_Admin_Clas_Primera,0)+1),"-")</f>
        <v>81</v>
      </c>
      <c r="H28" s="92" cm="1">
        <f t="array" aca="1" ref="H28" ca="1">IFERROR(INDEX(Rango_Admin_Clas_Total,H$2,MATCH($A28,Rango_Admin_Clas_Primera,0)+1),"-")</f>
        <v>7</v>
      </c>
      <c r="I28" s="92" cm="1">
        <f t="array" aca="1" ref="I28" ca="1">IFERROR(INDEX(Rango_Admin_Clas_Total,I$2,MATCH($A28,Rango_Admin_Clas_Primera,0)+1),"-")</f>
        <v>48</v>
      </c>
      <c r="J28" s="92" cm="1">
        <f t="array" aca="1" ref="J28" ca="1">IFERROR(INDEX(Rango_Admin_Clas_Total,J$2,MATCH($A28,Rango_Admin_Clas_Primera,0)+1),"-")</f>
        <v>2</v>
      </c>
      <c r="K28" s="92" cm="1">
        <f t="array" aca="1" ref="K28" ca="1">IFERROR(INDEX(Rango_Admin_Clas_Total,K$2,MATCH($A28,Rango_Admin_Clas_Primera,0)+1),"-")</f>
        <v>30</v>
      </c>
      <c r="L28" s="92" cm="1">
        <f t="array" aca="1" ref="L28" ca="1">IFERROR(INDEX(Rango_Admin_Clas_Total,L$2,MATCH($A28,Rango_Admin_Clas_Primera,0)+1),"-")</f>
        <v>4</v>
      </c>
      <c r="M28" s="92" cm="1">
        <f t="array" aca="1" ref="M28" ca="1">IFERROR(INDEX(Rango_Admin_Clas_Total,M$2,MATCH($A28,Rango_Admin_Clas_Primera,0)+1),"-")</f>
        <v>15</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Guillermo Murciano</v>
      </c>
      <c r="D29" s="91">
        <f ca="1">IFERROR(HLOOKUP(A29,Rango_Admin_Clas,4,FALSE),"-")</f>
        <v>316</v>
      </c>
      <c r="E29" s="92" cm="1">
        <f t="array" aca="1" ref="E29" ca="1">IFERROR(INDEX(Rango_Admin_Clas_Total,E$2,MATCH($A29,Rango_Admin_Clas_Primera,0)+1),"-")</f>
        <v>64</v>
      </c>
      <c r="F29" s="92" cm="1">
        <f t="array" aca="1" ref="F29" ca="1">IFERROR(INDEX(Rango_Admin_Clas_Total,F$2,MATCH($A29,Rango_Admin_Clas_Primera,0)+1),"-")</f>
        <v>64</v>
      </c>
      <c r="G29" s="92" cm="1">
        <f t="array" aca="1" ref="G29" ca="1">IFERROR(INDEX(Rango_Admin_Clas_Total,G$2,MATCH($A29,Rango_Admin_Clas_Primera,0)+1),"-")</f>
        <v>78</v>
      </c>
      <c r="H29" s="92" cm="1">
        <f t="array" aca="1" ref="H29" ca="1">IFERROR(INDEX(Rango_Admin_Clas_Total,H$2,MATCH($A29,Rango_Admin_Clas_Primera,0)+1),"-")</f>
        <v>6</v>
      </c>
      <c r="I29" s="92" cm="1">
        <f t="array" aca="1" ref="I29" ca="1">IFERROR(INDEX(Rango_Admin_Clas_Total,I$2,MATCH($A29,Rango_Admin_Clas_Primera,0)+1),"-")</f>
        <v>40</v>
      </c>
      <c r="J29" s="92" cm="1">
        <f t="array" aca="1" ref="J29" ca="1">IFERROR(INDEX(Rango_Admin_Clas_Total,J$2,MATCH($A29,Rango_Admin_Clas_Primera,0)+1),"-")</f>
        <v>1</v>
      </c>
      <c r="K29" s="92" cm="1">
        <f t="array" aca="1" ref="K29" ca="1">IFERROR(INDEX(Rango_Admin_Clas_Total,K$2,MATCH($A29,Rango_Admin_Clas_Primera,0)+1),"-")</f>
        <v>20</v>
      </c>
      <c r="L29" s="92" cm="1">
        <f t="array" aca="1" ref="L29" ca="1">IFERROR(INDEX(Rango_Admin_Clas_Total,L$2,MATCH($A29,Rango_Admin_Clas_Primera,0)+1),"-")</f>
        <v>0</v>
      </c>
      <c r="M29" s="92" cm="1">
        <f t="array" aca="1" ref="M29" ca="1">IFERROR(INDEX(Rango_Admin_Clas_Total,M$2,MATCH($A29,Rango_Admin_Clas_Primera,0)+1),"-")</f>
        <v>10</v>
      </c>
      <c r="N29" s="92" cm="1">
        <f t="array" aca="1" ref="N29" ca="1">IFERROR(INDEX(Rango_Admin_Clas_Total,N$2,MATCH($A29,Rango_Admin_Clas_Primera,0)+1),"-")</f>
        <v>0</v>
      </c>
      <c r="O29" s="92" cm="1">
        <f t="array" aca="1" ref="O29" ca="1">IFERROR(INDEX(Rango_Admin_Clas_Total,O$2,MATCH($A29,Rango_Admin_Clas_Primera,0)+1),"-")</f>
        <v>6</v>
      </c>
      <c r="P29" s="92" cm="1">
        <f t="array" aca="1" ref="P29" ca="1">IFERROR(INDEX(Rango_Admin_Clas_Total,P$2,MATCH($A29,Rango_Admin_Clas_Primera,0)+1),"-")</f>
        <v>7</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20</v>
      </c>
      <c r="T29" s="297"/>
      <c r="U29" s="297"/>
    </row>
    <row r="30" spans="1:21">
      <c r="A30" s="19">
        <f t="shared" si="0"/>
        <v>26</v>
      </c>
      <c r="B30" s="22">
        <f ca="1">IFERROR(HLOOKUP(A30,Rango_Admin_Clas,3,FALSE),"-")</f>
        <v>26</v>
      </c>
      <c r="C30" s="18" t="str">
        <f ca="1">IFERROR(HLOOKUP(A30,Rango_Admin_Clas,5,FALSE),"-")</f>
        <v>YTD</v>
      </c>
      <c r="D30" s="91">
        <f ca="1">IFERROR(HLOOKUP(A30,Rango_Admin_Clas,4,FALSE),"-")</f>
        <v>315</v>
      </c>
      <c r="E30" s="92" cm="1">
        <f t="array" aca="1" ref="E30" ca="1">IFERROR(INDEX(Rango_Admin_Clas_Total,E$2,MATCH($A30,Rango_Admin_Clas_Primera,0)+1),"-")</f>
        <v>65</v>
      </c>
      <c r="F30" s="92" cm="1">
        <f t="array" aca="1" ref="F30" ca="1">IFERROR(INDEX(Rango_Admin_Clas_Total,F$2,MATCH($A30,Rango_Admin_Clas_Primera,0)+1),"-")</f>
        <v>58</v>
      </c>
      <c r="G30" s="92" cm="1">
        <f t="array" aca="1" ref="G30" ca="1">IFERROR(INDEX(Rango_Admin_Clas_Total,G$2,MATCH($A30,Rango_Admin_Clas_Primera,0)+1),"-")</f>
        <v>75</v>
      </c>
      <c r="H30" s="92" cm="1">
        <f t="array" aca="1" ref="H30" ca="1">IFERROR(INDEX(Rango_Admin_Clas_Total,H$2,MATCH($A30,Rango_Admin_Clas_Primera,0)+1),"-")</f>
        <v>4</v>
      </c>
      <c r="I30" s="92" cm="1">
        <f t="array" aca="1" ref="I30" ca="1">IFERROR(INDEX(Rango_Admin_Clas_Total,I$2,MATCH($A30,Rango_Admin_Clas_Primera,0)+1),"-")</f>
        <v>44</v>
      </c>
      <c r="J30" s="92" cm="1">
        <f t="array" aca="1" ref="J30" ca="1">IFERROR(INDEX(Rango_Admin_Clas_Total,J$2,MATCH($A30,Rango_Admin_Clas_Primera,0)+1),"-")</f>
        <v>1</v>
      </c>
      <c r="K30" s="92" cm="1">
        <f t="array" aca="1" ref="K30" ca="1">IFERROR(INDEX(Rango_Admin_Clas_Total,K$2,MATCH($A30,Rango_Admin_Clas_Primera,0)+1),"-")</f>
        <v>25</v>
      </c>
      <c r="L30" s="92" cm="1">
        <f t="array" aca="1" ref="L30" ca="1">IFERROR(INDEX(Rango_Admin_Clas_Total,L$2,MATCH($A30,Rango_Admin_Clas_Primera,0)+1),"-")</f>
        <v>0</v>
      </c>
      <c r="M30" s="92" cm="1">
        <f t="array" aca="1" ref="M30" ca="1">IFERROR(INDEX(Rango_Admin_Clas_Total,M$2,MATCH($A30,Rango_Admin_Clas_Primera,0)+1),"-")</f>
        <v>10</v>
      </c>
      <c r="N30" s="92" cm="1">
        <f t="array" aca="1" ref="N30" ca="1">IFERROR(INDEX(Rango_Admin_Clas_Total,N$2,MATCH($A30,Rango_Admin_Clas_Primera,0)+1),"-")</f>
        <v>0</v>
      </c>
      <c r="O30" s="92" cm="1">
        <f t="array" aca="1" ref="O30" ca="1">IFERROR(INDEX(Rango_Admin_Clas_Total,O$2,MATCH($A30,Rango_Admin_Clas_Primera,0)+1),"-")</f>
        <v>6</v>
      </c>
      <c r="P30" s="92" cm="1">
        <f t="array" aca="1" ref="P30" ca="1">IFERROR(INDEX(Rango_Admin_Clas_Total,P$2,MATCH($A30,Rango_Admin_Clas_Primera,0)+1),"-")</f>
        <v>7</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20</v>
      </c>
      <c r="T30" s="297"/>
      <c r="U30" s="297"/>
    </row>
    <row r="31" spans="1:21">
      <c r="A31" s="19">
        <f t="shared" si="0"/>
        <v>27</v>
      </c>
      <c r="B31" s="22">
        <f ca="1">IFERROR(HLOOKUP(A31,Rango_Admin_Clas,3,FALSE),"-")</f>
        <v>27</v>
      </c>
      <c r="C31" s="18" t="str">
        <f ca="1">IFERROR(HLOOKUP(A31,Rango_Admin_Clas,5,FALSE),"-")</f>
        <v>Antonio Zulueta Ramos</v>
      </c>
      <c r="D31" s="91">
        <f ca="1">IFERROR(HLOOKUP(A31,Rango_Admin_Clas,4,FALSE),"-")</f>
        <v>307</v>
      </c>
      <c r="E31" s="92" cm="1">
        <f t="array" aca="1" ref="E31" ca="1">IFERROR(INDEX(Rango_Admin_Clas_Total,E$2,MATCH($A31,Rango_Admin_Clas_Primera,0)+1),"-")</f>
        <v>72</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11</v>
      </c>
      <c r="I31" s="92" cm="1">
        <f t="array" aca="1" ref="I31" ca="1">IFERROR(INDEX(Rango_Admin_Clas_Total,I$2,MATCH($A31,Rango_Admin_Clas_Primera,0)+1),"-")</f>
        <v>40</v>
      </c>
      <c r="J31" s="92" cm="1">
        <f t="array" aca="1" ref="J31" ca="1">IFERROR(INDEX(Rango_Admin_Clas_Total,J$2,MATCH($A31,Rango_Admin_Clas_Primera,0)+1),"-")</f>
        <v>0</v>
      </c>
      <c r="K31" s="92" cm="1">
        <f t="array" aca="1" ref="K31" ca="1">IFERROR(INDEX(Rango_Admin_Clas_Total,K$2,MATCH($A31,Rango_Admin_Clas_Primera,0)+1),"-")</f>
        <v>20</v>
      </c>
      <c r="L31" s="92" cm="1">
        <f t="array" aca="1" ref="L31" ca="1">IFERROR(INDEX(Rango_Admin_Clas_Total,L$2,MATCH($A31,Rango_Admin_Clas_Primera,0)+1),"-")</f>
        <v>1</v>
      </c>
      <c r="M31" s="92" cm="1">
        <f t="array" aca="1" ref="M31" ca="1">IFERROR(INDEX(Rango_Admin_Clas_Total,M$2,MATCH($A31,Rango_Admin_Clas_Primera,0)+1),"-")</f>
        <v>5</v>
      </c>
      <c r="N31" s="92" cm="1">
        <f t="array" aca="1" ref="N31" ca="1">IFERROR(INDEX(Rango_Admin_Clas_Total,N$2,MATCH($A31,Rango_Admin_Clas_Primera,0)+1),"-")</f>
        <v>0</v>
      </c>
      <c r="O31" s="92" cm="1">
        <f t="array" aca="1" ref="O31" ca="1">IFERROR(INDEX(Rango_Admin_Clas_Total,O$2,MATCH($A31,Rango_Admin_Clas_Primera,0)+1),"-")</f>
        <v>6</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10</v>
      </c>
      <c r="T31" s="297"/>
      <c r="U31" s="297"/>
    </row>
    <row r="32" spans="1:21">
      <c r="A32" s="19">
        <f t="shared" si="0"/>
        <v>28</v>
      </c>
      <c r="B32" s="22">
        <f ca="1">IFERROR(HLOOKUP(A32,Rango_Admin_Clas,3,FALSE),"-")</f>
        <v>28</v>
      </c>
      <c r="C32" s="18" t="str">
        <f ca="1">IFERROR(HLOOKUP(A32,Rango_Admin_Clas,5,FALSE),"-")</f>
        <v>Ignacio de Lecea</v>
      </c>
      <c r="D32" s="91">
        <f ca="1">IFERROR(HLOOKUP(A32,Rango_Admin_Clas,4,FALSE),"-")</f>
        <v>305</v>
      </c>
      <c r="E32" s="92" cm="1">
        <f t="array" aca="1" ref="E32" ca="1">IFERROR(INDEX(Rango_Admin_Clas_Total,E$2,MATCH($A32,Rango_Admin_Clas_Primera,0)+1),"-")</f>
        <v>74</v>
      </c>
      <c r="F32" s="92" cm="1">
        <f t="array" aca="1" ref="F32" ca="1">IFERROR(INDEX(Rango_Admin_Clas_Total,F$2,MATCH($A32,Rango_Admin_Clas_Primera,0)+1),"-")</f>
        <v>56</v>
      </c>
      <c r="G32" s="92" cm="1">
        <f t="array" aca="1" ref="G32" ca="1">IFERROR(INDEX(Rango_Admin_Clas_Total,G$2,MATCH($A32,Rango_Admin_Clas_Primera,0)+1),"-")</f>
        <v>81</v>
      </c>
      <c r="H32" s="92" cm="1">
        <f t="array" aca="1" ref="H32" ca="1">IFERROR(INDEX(Rango_Admin_Clas_Total,H$2,MATCH($A32,Rango_Admin_Clas_Primera,0)+1),"-")</f>
        <v>1</v>
      </c>
      <c r="I32" s="92" cm="1">
        <f t="array" aca="1" ref="I32" ca="1">IFERROR(INDEX(Rango_Admin_Clas_Total,I$2,MATCH($A32,Rango_Admin_Clas_Primera,0)+1),"-")</f>
        <v>44</v>
      </c>
      <c r="J32" s="92" cm="1">
        <f t="array" aca="1" ref="J32" ca="1">IFERROR(INDEX(Rango_Admin_Clas_Total,J$2,MATCH($A32,Rango_Admin_Clas_Primera,0)+1),"-")</f>
        <v>1</v>
      </c>
      <c r="K32" s="92" cm="1">
        <f t="array" aca="1" ref="K32" ca="1">IFERROR(INDEX(Rango_Admin_Clas_Total,K$2,MATCH($A32,Rango_Admin_Clas_Primera,0)+1),"-")</f>
        <v>20</v>
      </c>
      <c r="L32" s="92" cm="1">
        <f t="array" aca="1" ref="L32" ca="1">IFERROR(INDEX(Rango_Admin_Clas_Total,L$2,MATCH($A32,Rango_Admin_Clas_Primera,0)+1),"-")</f>
        <v>1</v>
      </c>
      <c r="M32" s="92" cm="1">
        <f t="array" aca="1" ref="M32" ca="1">IFERROR(INDEX(Rango_Admin_Clas_Total,M$2,MATCH($A32,Rango_Admin_Clas_Primera,0)+1),"-")</f>
        <v>10</v>
      </c>
      <c r="N32" s="92" cm="1">
        <f t="array" aca="1" ref="N32" ca="1">IFERROR(INDEX(Rango_Admin_Clas_Total,N$2,MATCH($A32,Rango_Admin_Clas_Primera,0)+1),"-")</f>
        <v>4</v>
      </c>
      <c r="O32" s="92" cm="1">
        <f t="array" aca="1" ref="O32" ca="1">IFERROR(INDEX(Rango_Admin_Clas_Total,O$2,MATCH($A32,Rango_Admin_Clas_Primera,0)+1),"-")</f>
        <v>6</v>
      </c>
      <c r="P32" s="92" cm="1">
        <f t="array" aca="1" ref="P32" ca="1">IFERROR(INDEX(Rango_Admin_Clas_Total,P$2,MATCH($A32,Rango_Admin_Clas_Primera,0)+1),"-")</f>
        <v>7</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Chente Muñoz</v>
      </c>
      <c r="D33" s="91">
        <f ca="1">IFERROR(HLOOKUP(A33,Rango_Admin_Clas,4,FALSE),"-")</f>
        <v>303</v>
      </c>
      <c r="E33" s="92" cm="1">
        <f t="array" aca="1" ref="E33" ca="1">IFERROR(INDEX(Rango_Admin_Clas_Total,E$2,MATCH($A33,Rango_Admin_Clas_Primera,0)+1),"-")</f>
        <v>60</v>
      </c>
      <c r="F33" s="92" cm="1">
        <f t="array" aca="1" ref="F33" ca="1">IFERROR(INDEX(Rango_Admin_Clas_Total,F$2,MATCH($A33,Rango_Admin_Clas_Primera,0)+1),"-")</f>
        <v>66</v>
      </c>
      <c r="G33" s="92" cm="1">
        <f t="array" aca="1" ref="G33" ca="1">IFERROR(INDEX(Rango_Admin_Clas_Total,G$2,MATCH($A33,Rango_Admin_Clas_Primera,0)+1),"-")</f>
        <v>81</v>
      </c>
      <c r="H33" s="92" cm="1">
        <f t="array" aca="1" ref="H33" ca="1">IFERROR(INDEX(Rango_Admin_Clas_Total,H$2,MATCH($A33,Rango_Admin_Clas_Primera,0)+1),"-")</f>
        <v>4</v>
      </c>
      <c r="I33" s="92" cm="1">
        <f t="array" aca="1" ref="I33" ca="1">IFERROR(INDEX(Rango_Admin_Clas_Total,I$2,MATCH($A33,Rango_Admin_Clas_Primera,0)+1),"-")</f>
        <v>36</v>
      </c>
      <c r="J33" s="92" cm="1">
        <f t="array" aca="1" ref="J33" ca="1">IFERROR(INDEX(Rango_Admin_Clas_Total,J$2,MATCH($A33,Rango_Admin_Clas_Primera,0)+1),"-")</f>
        <v>0</v>
      </c>
      <c r="K33" s="92" cm="1">
        <f t="array" aca="1" ref="K33" ca="1">IFERROR(INDEX(Rango_Admin_Clas_Total,K$2,MATCH($A33,Rango_Admin_Clas_Primera,0)+1),"-")</f>
        <v>15</v>
      </c>
      <c r="L33" s="92" cm="1">
        <f t="array" aca="1" ref="L33" ca="1">IFERROR(INDEX(Rango_Admin_Clas_Total,L$2,MATCH($A33,Rango_Admin_Clas_Primera,0)+1),"-")</f>
        <v>0</v>
      </c>
      <c r="M33" s="92" cm="1">
        <f t="array" aca="1" ref="M33" ca="1">IFERROR(INDEX(Rango_Admin_Clas_Total,M$2,MATCH($A33,Rango_Admin_Clas_Primera,0)+1),"-")</f>
        <v>15</v>
      </c>
      <c r="N33" s="92" cm="1">
        <f t="array" aca="1" ref="N33" ca="1">IFERROR(INDEX(Rango_Admin_Clas_Total,N$2,MATCH($A33,Rango_Admin_Clas_Primera,0)+1),"-")</f>
        <v>0</v>
      </c>
      <c r="O33" s="92" cm="1">
        <f t="array" aca="1" ref="O33" ca="1">IFERROR(INDEX(Rango_Admin_Clas_Total,O$2,MATCH($A33,Rango_Admin_Clas_Primera,0)+1),"-")</f>
        <v>6</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20</v>
      </c>
      <c r="T33" s="297"/>
      <c r="U33" s="297"/>
    </row>
    <row r="34" spans="1:21">
      <c r="A34" s="19">
        <f t="shared" si="0"/>
        <v>30</v>
      </c>
      <c r="B34" s="22">
        <f ca="1">IFERROR(HLOOKUP(A34,Rango_Admin_Clas,3,FALSE),"-")</f>
        <v>30</v>
      </c>
      <c r="C34" s="18" t="str">
        <f ca="1">IFERROR(HLOOKUP(A34,Rango_Admin_Clas,5,FALSE),"-")</f>
        <v>Nacho Novo</v>
      </c>
      <c r="D34" s="91">
        <f ca="1">IFERROR(HLOOKUP(A34,Rango_Admin_Clas,4,FALSE),"-")</f>
        <v>302</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81</v>
      </c>
      <c r="H34" s="92" cm="1">
        <f t="array" aca="1" ref="H34" ca="1">IFERROR(INDEX(Rango_Admin_Clas_Total,H$2,MATCH($A34,Rango_Admin_Clas_Primera,0)+1),"-")</f>
        <v>14</v>
      </c>
      <c r="I34" s="92" cm="1">
        <f t="array" aca="1" ref="I34" ca="1">IFERROR(INDEX(Rango_Admin_Clas_Total,I$2,MATCH($A34,Rango_Admin_Clas_Primera,0)+1),"-")</f>
        <v>40</v>
      </c>
      <c r="J34" s="92" cm="1">
        <f t="array" aca="1" ref="J34" ca="1">IFERROR(INDEX(Rango_Admin_Clas_Total,J$2,MATCH($A34,Rango_Admin_Clas_Primera,0)+1),"-")</f>
        <v>1</v>
      </c>
      <c r="K34" s="92" cm="1">
        <f t="array" aca="1" ref="K34" ca="1">IFERROR(INDEX(Rango_Admin_Clas_Total,K$2,MATCH($A34,Rango_Admin_Clas_Primera,0)+1),"-")</f>
        <v>20</v>
      </c>
      <c r="L34" s="92" cm="1">
        <f t="array" aca="1" ref="L34" ca="1">IFERROR(INDEX(Rango_Admin_Clas_Total,L$2,MATCH($A34,Rango_Admin_Clas_Primera,0)+1),"-")</f>
        <v>0</v>
      </c>
      <c r="M34" s="92" cm="1">
        <f t="array" aca="1" ref="M34" ca="1">IFERROR(INDEX(Rango_Admin_Clas_Total,M$2,MATCH($A34,Rango_Admin_Clas_Primera,0)+1),"-")</f>
        <v>10</v>
      </c>
      <c r="N34" s="92" cm="1">
        <f t="array" aca="1" ref="N34" ca="1">IFERROR(INDEX(Rango_Admin_Clas_Total,N$2,MATCH($A34,Rango_Admin_Clas_Primera,0)+1),"-")</f>
        <v>0</v>
      </c>
      <c r="O34" s="92" cm="1">
        <f t="array" aca="1" ref="O34" ca="1">IFERROR(INDEX(Rango_Admin_Clas_Total,O$2,MATCH($A34,Rango_Admin_Clas_Primera,0)+1),"-")</f>
        <v>6</v>
      </c>
      <c r="P34" s="92" cm="1">
        <f t="array" aca="1" ref="P34" ca="1">IFERROR(INDEX(Rango_Admin_Clas_Total,P$2,MATCH($A34,Rango_Admin_Clas_Primera,0)+1),"-")</f>
        <v>7</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30</v>
      </c>
      <c r="C35" s="18" t="str">
        <f ca="1">IFERROR(HLOOKUP(A35,Rango_Admin_Clas,5,FALSE),"-")</f>
        <v>BeliBeltrán</v>
      </c>
      <c r="D35" s="91">
        <f ca="1">IFERROR(HLOOKUP(A35,Rango_Admin_Clas,4,FALSE),"-")</f>
        <v>302</v>
      </c>
      <c r="E35" s="92" cm="1">
        <f t="array" aca="1" ref="E35" ca="1">IFERROR(INDEX(Rango_Admin_Clas_Total,E$2,MATCH($A35,Rango_Admin_Clas_Primera,0)+1),"-")</f>
        <v>58</v>
      </c>
      <c r="F35" s="92" cm="1">
        <f t="array" aca="1" ref="F35" ca="1">IFERROR(INDEX(Rango_Admin_Clas_Total,F$2,MATCH($A35,Rango_Admin_Clas_Primera,0)+1),"-")</f>
        <v>54</v>
      </c>
      <c r="G35" s="92" cm="1">
        <f t="array" aca="1" ref="G35" ca="1">IFERROR(INDEX(Rango_Admin_Clas_Total,G$2,MATCH($A35,Rango_Admin_Clas_Primera,0)+1),"-")</f>
        <v>72</v>
      </c>
      <c r="H35" s="92" cm="1">
        <f t="array" aca="1" ref="H35" ca="1">IFERROR(INDEX(Rango_Admin_Clas_Total,H$2,MATCH($A35,Rango_Admin_Clas_Primera,0)+1),"-")</f>
        <v>5</v>
      </c>
      <c r="I35" s="92" cm="1">
        <f t="array" aca="1" ref="I35" ca="1">IFERROR(INDEX(Rango_Admin_Clas_Total,I$2,MATCH($A35,Rango_Admin_Clas_Primera,0)+1),"-")</f>
        <v>48</v>
      </c>
      <c r="J35" s="92" cm="1">
        <f t="array" aca="1" ref="J35" ca="1">IFERROR(INDEX(Rango_Admin_Clas_Total,J$2,MATCH($A35,Rango_Admin_Clas_Primera,0)+1),"-")</f>
        <v>4</v>
      </c>
      <c r="K35" s="92" cm="1">
        <f t="array" aca="1" ref="K35" ca="1">IFERROR(INDEX(Rango_Admin_Clas_Total,K$2,MATCH($A35,Rango_Admin_Clas_Primera,0)+1),"-")</f>
        <v>35</v>
      </c>
      <c r="L35" s="92" cm="1">
        <f t="array" aca="1" ref="L35" ca="1">IFERROR(INDEX(Rango_Admin_Clas_Total,L$2,MATCH($A35,Rango_Admin_Clas_Primera,0)+1),"-")</f>
        <v>6</v>
      </c>
      <c r="M35" s="92" cm="1">
        <f t="array" aca="1" ref="M35" ca="1">IFERROR(INDEX(Rango_Admin_Clas_Total,M$2,MATCH($A35,Rango_Admin_Clas_Primera,0)+1),"-")</f>
        <v>20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Admin</v>
      </c>
      <c r="D36" s="91">
        <f ca="1">IFERROR(HLOOKUP(A36,Rango_Admin_Clas,4,FALSE),"-")</f>
        <v>295</v>
      </c>
      <c r="E36" s="92" cm="1">
        <f t="array" aca="1" ref="E36" ca="1">IFERROR(INDEX(Rango_Admin_Clas_Total,E$2,MATCH($A36,Rango_Admin_Clas_Primera,0)+1),"-")</f>
        <v>63</v>
      </c>
      <c r="F36" s="92" cm="1">
        <f t="array" aca="1" ref="F36" ca="1">IFERROR(INDEX(Rango_Admin_Clas_Total,F$2,MATCH($A36,Rango_Admin_Clas_Primera,0)+1),"-")</f>
        <v>62</v>
      </c>
      <c r="G36" s="92" cm="1">
        <f t="array" aca="1" ref="G36" ca="1">IFERROR(INDEX(Rango_Admin_Clas_Total,G$2,MATCH($A36,Rango_Admin_Clas_Primera,0)+1),"-")</f>
        <v>78</v>
      </c>
      <c r="H36" s="92" cm="1">
        <f t="array" aca="1" ref="H36" ca="1">IFERROR(INDEX(Rango_Admin_Clas_Total,H$2,MATCH($A36,Rango_Admin_Clas_Primera,0)+1),"-")</f>
        <v>8</v>
      </c>
      <c r="I36" s="92" cm="1">
        <f t="array" aca="1" ref="I36" ca="1">IFERROR(INDEX(Rango_Admin_Clas_Total,I$2,MATCH($A36,Rango_Admin_Clas_Primera,0)+1),"-")</f>
        <v>44</v>
      </c>
      <c r="J36" s="92" cm="1">
        <f t="array" aca="1" ref="J36" ca="1">IFERROR(INDEX(Rango_Admin_Clas_Total,J$2,MATCH($A36,Rango_Admin_Clas_Primera,0)+1),"-")</f>
        <v>5</v>
      </c>
      <c r="K36" s="92" cm="1">
        <f t="array" aca="1" ref="K36" ca="1">IFERROR(INDEX(Rango_Admin_Clas_Total,K$2,MATCH($A36,Rango_Admin_Clas_Primera,0)+1),"-")</f>
        <v>20</v>
      </c>
      <c r="L36" s="92" cm="1">
        <f t="array" aca="1" ref="L36" ca="1">IFERROR(INDEX(Rango_Admin_Clas_Total,L$2,MATCH($A36,Rango_Admin_Clas_Primera,0)+1),"-")</f>
        <v>0</v>
      </c>
      <c r="M36" s="92" cm="1">
        <f t="array" aca="1" ref="M36" ca="1">IFERROR(INDEX(Rango_Admin_Clas_Total,M$2,MATCH($A36,Rango_Admin_Clas_Primera,0)+1),"-")</f>
        <v>15</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0</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32</v>
      </c>
      <c r="C37" s="18" t="str">
        <f ca="1">IFERROR(HLOOKUP(A37,Rango_Admin_Clas,5,FALSE),"-")</f>
        <v>Fercho Muro Matosex</v>
      </c>
      <c r="D37" s="91">
        <f ca="1">IFERROR(HLOOKUP(A37,Rango_Admin_Clas,4,FALSE),"-")</f>
        <v>295</v>
      </c>
      <c r="E37" s="92" cm="1">
        <f t="array" aca="1" ref="E37" ca="1">IFERROR(INDEX(Rango_Admin_Clas_Total,E$2,MATCH($A37,Rango_Admin_Clas_Primera,0)+1),"-")</f>
        <v>62</v>
      </c>
      <c r="F37" s="92" cm="1">
        <f t="array" aca="1" ref="F37" ca="1">IFERROR(INDEX(Rango_Admin_Clas_Total,F$2,MATCH($A37,Rango_Admin_Clas_Primera,0)+1),"-")</f>
        <v>56</v>
      </c>
      <c r="G37" s="92" cm="1">
        <f t="array" aca="1" ref="G37" ca="1">IFERROR(INDEX(Rango_Admin_Clas_Total,G$2,MATCH($A37,Rango_Admin_Clas_Primera,0)+1),"-")</f>
        <v>84</v>
      </c>
      <c r="H37" s="92" cm="1">
        <f t="array" aca="1" ref="H37" ca="1">IFERROR(INDEX(Rango_Admin_Clas_Total,H$2,MATCH($A37,Rango_Admin_Clas_Primera,0)+1),"-")</f>
        <v>11</v>
      </c>
      <c r="I37" s="92" cm="1">
        <f t="array" aca="1" ref="I37" ca="1">IFERROR(INDEX(Rango_Admin_Clas_Total,I$2,MATCH($A37,Rango_Admin_Clas_Primera,0)+1),"-")</f>
        <v>32</v>
      </c>
      <c r="J37" s="92" cm="1">
        <f t="array" aca="1" ref="J37" ca="1">IFERROR(INDEX(Rango_Admin_Clas_Total,J$2,MATCH($A37,Rango_Admin_Clas_Primera,0)+1),"-")</f>
        <v>0</v>
      </c>
      <c r="K37" s="92" cm="1">
        <f t="array" aca="1" ref="K37" ca="1">IFERROR(INDEX(Rango_Admin_Clas_Total,K$2,MATCH($A37,Rango_Admin_Clas_Primera,0)+1),"-")</f>
        <v>20</v>
      </c>
      <c r="L37" s="92" cm="1">
        <f t="array" aca="1" ref="L37" ca="1">IFERROR(INDEX(Rango_Admin_Clas_Total,L$2,MATCH($A37,Rango_Admin_Clas_Primera,0)+1),"-")</f>
        <v>0</v>
      </c>
      <c r="M37" s="92" cm="1">
        <f t="array" aca="1" ref="M37" ca="1">IFERROR(INDEX(Rango_Admin_Clas_Total,M$2,MATCH($A37,Rango_Admin_Clas_Primera,0)+1),"-")</f>
        <v>10</v>
      </c>
      <c r="N37" s="92" cm="1">
        <f t="array" aca="1" ref="N37" ca="1">IFERROR(INDEX(Rango_Admin_Clas_Total,N$2,MATCH($A37,Rango_Admin_Clas_Primera,0)+1),"-")</f>
        <v>0</v>
      </c>
      <c r="O37" s="92" cm="1">
        <f t="array" aca="1" ref="O37" ca="1">IFERROR(INDEX(Rango_Admin_Clas_Total,O$2,MATCH($A37,Rango_Admin_Clas_Primera,0)+1),"-")</f>
        <v>0</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20</v>
      </c>
      <c r="T37" s="297"/>
      <c r="U37" s="297"/>
    </row>
    <row r="38" spans="1:21">
      <c r="A38" s="19">
        <f t="shared" si="0"/>
        <v>34</v>
      </c>
      <c r="B38" s="22">
        <f ca="1">IFERROR(HLOOKUP(A38,Rango_Admin_Clas,3,FALSE),"-")</f>
        <v>32</v>
      </c>
      <c r="C38" s="18" t="str">
        <f ca="1">IFERROR(HLOOKUP(A38,Rango_Admin_Clas,5,FALSE),"-")</f>
        <v>Miguel Suárez-Zuloaga</v>
      </c>
      <c r="D38" s="91">
        <f ca="1">IFERROR(HLOOKUP(A38,Rango_Admin_Clas,4,FALSE),"-")</f>
        <v>295</v>
      </c>
      <c r="E38" s="92" cm="1">
        <f t="array" aca="1" ref="E38" ca="1">IFERROR(INDEX(Rango_Admin_Clas_Total,E$2,MATCH($A38,Rango_Admin_Clas_Primera,0)+1),"-")</f>
        <v>78</v>
      </c>
      <c r="F38" s="92" cm="1">
        <f t="array" aca="1" ref="F38" ca="1">IFERROR(INDEX(Rango_Admin_Clas_Total,F$2,MATCH($A38,Rango_Admin_Clas_Primera,0)+1),"-")</f>
        <v>56</v>
      </c>
      <c r="G38" s="92" cm="1">
        <f t="array" aca="1" ref="G38" ca="1">IFERROR(INDEX(Rango_Admin_Clas_Total,G$2,MATCH($A38,Rango_Admin_Clas_Primera,0)+1),"-")</f>
        <v>78</v>
      </c>
      <c r="H38" s="92" cm="1">
        <f t="array" aca="1" ref="H38" ca="1">IFERROR(INDEX(Rango_Admin_Clas_Total,H$2,MATCH($A38,Rango_Admin_Clas_Primera,0)+1),"-")</f>
        <v>9</v>
      </c>
      <c r="I38" s="92" cm="1">
        <f t="array" aca="1" ref="I38" ca="1">IFERROR(INDEX(Rango_Admin_Clas_Total,I$2,MATCH($A38,Rango_Admin_Clas_Primera,0)+1),"-")</f>
        <v>44</v>
      </c>
      <c r="J38" s="92" cm="1">
        <f t="array" aca="1" ref="J38" ca="1">IFERROR(INDEX(Rango_Admin_Clas_Total,J$2,MATCH($A38,Rango_Admin_Clas_Primera,0)+1),"-")</f>
        <v>0</v>
      </c>
      <c r="K38" s="92" cm="1">
        <f t="array" aca="1" ref="K38" ca="1">IFERROR(INDEX(Rango_Admin_Clas_Total,K$2,MATCH($A38,Rango_Admin_Clas_Primera,0)+1),"-")</f>
        <v>20</v>
      </c>
      <c r="L38" s="92" cm="1">
        <f t="array" aca="1" ref="L38" ca="1">IFERROR(INDEX(Rango_Admin_Clas_Total,L$2,MATCH($A38,Rango_Admin_Clas_Primera,0)+1),"-")</f>
        <v>0</v>
      </c>
      <c r="M38" s="92" cm="1">
        <f t="array" aca="1" ref="M38" ca="1">IFERROR(INDEX(Rango_Admin_Clas_Total,M$2,MATCH($A38,Rango_Admin_Clas_Primera,0)+1),"-")</f>
        <v>10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 xml:space="preserve">Martín Matoses </v>
      </c>
      <c r="D39" s="91">
        <f ca="1">IFERROR(HLOOKUP(A39,Rango_Admin_Clas,4,FALSE),"-")</f>
        <v>293</v>
      </c>
      <c r="E39" s="92" cm="1">
        <f t="array" aca="1" ref="E39" ca="1">IFERROR(INDEX(Rango_Admin_Clas_Total,E$2,MATCH($A39,Rango_Admin_Clas_Primera,0)+1),"-")</f>
        <v>68</v>
      </c>
      <c r="F39" s="92" cm="1">
        <f t="array" aca="1" ref="F39" ca="1">IFERROR(INDEX(Rango_Admin_Clas_Total,F$2,MATCH($A39,Rango_Admin_Clas_Primera,0)+1),"-")</f>
        <v>44</v>
      </c>
      <c r="G39" s="92" cm="1">
        <f t="array" aca="1" ref="G39" ca="1">IFERROR(INDEX(Rango_Admin_Clas_Total,G$2,MATCH($A39,Rango_Admin_Clas_Primera,0)+1),"-")</f>
        <v>84</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3</v>
      </c>
      <c r="K39" s="92" cm="1">
        <f t="array" aca="1" ref="K39" ca="1">IFERROR(INDEX(Rango_Admin_Clas_Total,K$2,MATCH($A39,Rango_Admin_Clas_Primera,0)+1),"-")</f>
        <v>15</v>
      </c>
      <c r="L39" s="92" cm="1">
        <f t="array" aca="1" ref="L39" ca="1">IFERROR(INDEX(Rango_Admin_Clas_Total,L$2,MATCH($A39,Rango_Admin_Clas_Primera,0)+1),"-")</f>
        <v>1</v>
      </c>
      <c r="M39" s="92" cm="1">
        <f t="array" aca="1" ref="M39" ca="1">IFERROR(INDEX(Rango_Admin_Clas_Total,M$2,MATCH($A39,Rango_Admin_Clas_Primera,0)+1),"-")</f>
        <v>5</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7</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20</v>
      </c>
      <c r="T39" s="297"/>
      <c r="U39" s="297"/>
    </row>
    <row r="40" spans="1:21">
      <c r="A40" s="19">
        <f t="shared" si="0"/>
        <v>36</v>
      </c>
      <c r="B40" s="22">
        <f ca="1">IFERROR(HLOOKUP(A40,Rango_Admin_Clas,3,FALSE),"-")</f>
        <v>35</v>
      </c>
      <c r="C40" s="18" t="str">
        <f ca="1">IFERROR(HLOOKUP(A40,Rango_Admin_Clas,5,FALSE),"-")</f>
        <v>Ricardo Soto</v>
      </c>
      <c r="D40" s="91">
        <f ca="1">IFERROR(HLOOKUP(A40,Rango_Admin_Clas,4,FALSE),"-")</f>
        <v>293</v>
      </c>
      <c r="E40" s="92" cm="1">
        <f t="array" aca="1" ref="E40" ca="1">IFERROR(INDEX(Rango_Admin_Clas_Total,E$2,MATCH($A40,Rango_Admin_Clas_Primera,0)+1),"-")</f>
        <v>71</v>
      </c>
      <c r="F40" s="92" cm="1">
        <f t="array" aca="1" ref="F40" ca="1">IFERROR(INDEX(Rango_Admin_Clas_Total,F$2,MATCH($A40,Rango_Admin_Clas_Primera,0)+1),"-")</f>
        <v>52</v>
      </c>
      <c r="G40" s="92" cm="1">
        <f t="array" aca="1" ref="G40" ca="1">IFERROR(INDEX(Rango_Admin_Clas_Total,G$2,MATCH($A40,Rango_Admin_Clas_Primera,0)+1),"-")</f>
        <v>78</v>
      </c>
      <c r="H40" s="92" cm="1">
        <f t="array" aca="1" ref="H40" ca="1">IFERROR(INDEX(Rango_Admin_Clas_Total,H$2,MATCH($A40,Rango_Admin_Clas_Primera,0)+1),"-")</f>
        <v>3</v>
      </c>
      <c r="I40" s="92" cm="1">
        <f t="array" aca="1" ref="I40" ca="1">IFERROR(INDEX(Rango_Admin_Clas_Total,I$2,MATCH($A40,Rango_Admin_Clas_Primera,0)+1),"-")</f>
        <v>40</v>
      </c>
      <c r="J40" s="92" cm="1">
        <f t="array" aca="1" ref="J40" ca="1">IFERROR(INDEX(Rango_Admin_Clas_Total,J$2,MATCH($A40,Rango_Admin_Clas_Primera,0)+1),"-")</f>
        <v>2</v>
      </c>
      <c r="K40" s="92" cm="1">
        <f t="array" aca="1" ref="K40" ca="1">IFERROR(INDEX(Rango_Admin_Clas_Total,K$2,MATCH($A40,Rango_Admin_Clas_Primera,0)+1),"-")</f>
        <v>10</v>
      </c>
      <c r="L40" s="92" cm="1">
        <f t="array" aca="1" ref="L40" ca="1">IFERROR(INDEX(Rango_Admin_Clas_Total,L$2,MATCH($A40,Rango_Admin_Clas_Primera,0)+1),"-")</f>
        <v>0</v>
      </c>
      <c r="M40" s="92" cm="1">
        <f t="array" aca="1" ref="M40" ca="1">IFERROR(INDEX(Rango_Admin_Clas_Total,M$2,MATCH($A40,Rango_Admin_Clas_Primera,0)+1),"-")</f>
        <v>10</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7</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20</v>
      </c>
      <c r="T40" s="297"/>
      <c r="U40" s="297"/>
    </row>
    <row r="41" spans="1:21">
      <c r="A41" s="19">
        <f t="shared" si="0"/>
        <v>37</v>
      </c>
      <c r="B41" s="22">
        <f ca="1">IFERROR(HLOOKUP(A41,Rango_Admin_Clas,3,FALSE),"-")</f>
        <v>37</v>
      </c>
      <c r="C41" s="18" t="str">
        <f ca="1">IFERROR(HLOOKUP(A41,Rango_Admin_Clas,5,FALSE),"-")</f>
        <v xml:space="preserve">Ignacio Núñez </v>
      </c>
      <c r="D41" s="91">
        <f ca="1">IFERROR(HLOOKUP(A41,Rango_Admin_Clas,4,FALSE),"-")</f>
        <v>292</v>
      </c>
      <c r="E41" s="92" cm="1">
        <f t="array" aca="1" ref="E41" ca="1">IFERROR(INDEX(Rango_Admin_Clas_Total,E$2,MATCH($A41,Rango_Admin_Clas_Primera,0)+1),"-")</f>
        <v>67</v>
      </c>
      <c r="F41" s="92" cm="1">
        <f t="array" aca="1" ref="F41" ca="1">IFERROR(INDEX(Rango_Admin_Clas_Total,F$2,MATCH($A41,Rango_Admin_Clas_Primera,0)+1),"-")</f>
        <v>48</v>
      </c>
      <c r="G41" s="92" cm="1">
        <f t="array" aca="1" ref="G41" ca="1">IFERROR(INDEX(Rango_Admin_Clas_Total,G$2,MATCH($A41,Rango_Admin_Clas_Primera,0)+1),"-")</f>
        <v>78</v>
      </c>
      <c r="H41" s="92" cm="1">
        <f t="array" aca="1" ref="H41" ca="1">IFERROR(INDEX(Rango_Admin_Clas_Total,H$2,MATCH($A41,Rango_Admin_Clas_Primera,0)+1),"-")</f>
        <v>11</v>
      </c>
      <c r="I41" s="92" cm="1">
        <f t="array" aca="1" ref="I41" ca="1">IFERROR(INDEX(Rango_Admin_Clas_Total,I$2,MATCH($A41,Rango_Admin_Clas_Primera,0)+1),"-")</f>
        <v>40</v>
      </c>
      <c r="J41" s="92" cm="1">
        <f t="array" aca="1" ref="J41" ca="1">IFERROR(INDEX(Rango_Admin_Clas_Total,J$2,MATCH($A41,Rango_Admin_Clas_Primera,0)+1),"-")</f>
        <v>1</v>
      </c>
      <c r="K41" s="92" cm="1">
        <f t="array" aca="1" ref="K41" ca="1">IFERROR(INDEX(Rango_Admin_Clas_Total,K$2,MATCH($A41,Rango_Admin_Clas_Primera,0)+1),"-")</f>
        <v>15</v>
      </c>
      <c r="L41" s="92" cm="1">
        <f t="array" aca="1" ref="L41" ca="1">IFERROR(INDEX(Rango_Admin_Clas_Total,L$2,MATCH($A41,Rango_Admin_Clas_Primera,0)+1),"-")</f>
        <v>0</v>
      </c>
      <c r="M41" s="92" cm="1">
        <f t="array" aca="1" ref="M41" ca="1">IFERROR(INDEX(Rango_Admin_Clas_Total,M$2,MATCH($A41,Rango_Admin_Clas_Primera,0)+1),"-")</f>
        <v>5</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7</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20</v>
      </c>
      <c r="T41" s="297"/>
      <c r="U41" s="297"/>
    </row>
    <row r="42" spans="1:21">
      <c r="A42" s="19">
        <f t="shared" si="0"/>
        <v>38</v>
      </c>
      <c r="B42" s="22">
        <f ca="1">IFERROR(HLOOKUP(A42,Rango_Admin_Clas,3,FALSE),"-")</f>
        <v>38</v>
      </c>
      <c r="C42" s="18" t="str">
        <f ca="1">IFERROR(HLOOKUP(A42,Rango_Admin_Clas,5,FALSE),"-")</f>
        <v>Gratacós</v>
      </c>
      <c r="D42" s="91">
        <f ca="1">IFERROR(HLOOKUP(A42,Rango_Admin_Clas,4,FALSE),"-")</f>
        <v>273</v>
      </c>
      <c r="E42" s="92" cm="1">
        <f t="array" aca="1" ref="E42" ca="1">IFERROR(INDEX(Rango_Admin_Clas_Total,E$2,MATCH($A42,Rango_Admin_Clas_Primera,0)+1),"-")</f>
        <v>79</v>
      </c>
      <c r="F42" s="92" cm="1">
        <f t="array" aca="1" ref="F42" ca="1">IFERROR(INDEX(Rango_Admin_Clas_Total,F$2,MATCH($A42,Rango_Admin_Clas_Primera,0)+1),"-")</f>
        <v>48</v>
      </c>
      <c r="G42" s="92" cm="1">
        <f t="array" aca="1" ref="G42" ca="1">IFERROR(INDEX(Rango_Admin_Clas_Total,G$2,MATCH($A42,Rango_Admin_Clas_Primera,0)+1),"-")</f>
        <v>75</v>
      </c>
      <c r="H42" s="92" cm="1">
        <f t="array" aca="1" ref="H42" ca="1">IFERROR(INDEX(Rango_Admin_Clas_Total,H$2,MATCH($A42,Rango_Admin_Clas_Primera,0)+1),"-")</f>
        <v>2</v>
      </c>
      <c r="I42" s="92" cm="1">
        <f t="array" aca="1" ref="I42" ca="1">IFERROR(INDEX(Rango_Admin_Clas_Total,I$2,MATCH($A42,Rango_Admin_Clas_Primera,0)+1),"-")</f>
        <v>44</v>
      </c>
      <c r="J42" s="92" cm="1">
        <f t="array" aca="1" ref="J42" ca="1">IFERROR(INDEX(Rango_Admin_Clas_Total,J$2,MATCH($A42,Rango_Admin_Clas_Primera,0)+1),"-")</f>
        <v>0</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10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39</v>
      </c>
      <c r="C43" s="18" t="str">
        <f ca="1">IFERROR(HLOOKUP(A43,Rango_Admin_Clas,5,FALSE),"-")</f>
        <v>bau</v>
      </c>
      <c r="D43" s="91">
        <f ca="1">IFERROR(HLOOKUP(A43,Rango_Admin_Clas,4,FALSE),"-")</f>
        <v>272</v>
      </c>
      <c r="E43" s="92" cm="1">
        <f t="array" aca="1" ref="E43" ca="1">IFERROR(INDEX(Rango_Admin_Clas_Total,E$2,MATCH($A43,Rango_Admin_Clas_Primera,0)+1),"-")</f>
        <v>69</v>
      </c>
      <c r="F43" s="92" cm="1">
        <f t="array" aca="1" ref="F43" ca="1">IFERROR(INDEX(Rango_Admin_Clas_Total,F$2,MATCH($A43,Rango_Admin_Clas_Primera,0)+1),"-")</f>
        <v>50</v>
      </c>
      <c r="G43" s="92" cm="1">
        <f t="array" aca="1" ref="G43" ca="1">IFERROR(INDEX(Rango_Admin_Clas_Total,G$2,MATCH($A43,Rango_Admin_Clas_Primera,0)+1),"-")</f>
        <v>78</v>
      </c>
      <c r="H43" s="92" cm="1">
        <f t="array" aca="1" ref="H43" ca="1">IFERROR(INDEX(Rango_Admin_Clas_Total,H$2,MATCH($A43,Rango_Admin_Clas_Primera,0)+1),"-")</f>
        <v>2</v>
      </c>
      <c r="I43" s="92" cm="1">
        <f t="array" aca="1" ref="I43" ca="1">IFERROR(INDEX(Rango_Admin_Clas_Total,I$2,MATCH($A43,Rango_Admin_Clas_Primera,0)+1),"-")</f>
        <v>48</v>
      </c>
      <c r="J43" s="92" cm="1">
        <f t="array" aca="1" ref="J43" ca="1">IFERROR(INDEX(Rango_Admin_Clas_Total,J$2,MATCH($A43,Rango_Admin_Clas_Primera,0)+1),"-")</f>
        <v>0</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10</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0</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Vicuinho</v>
      </c>
      <c r="D44" s="91">
        <f ca="1">IFERROR(HLOOKUP(A44,Rango_Admin_Clas,4,FALSE),"-")</f>
        <v>269</v>
      </c>
      <c r="E44" s="92" cm="1">
        <f t="array" aca="1" ref="E44" ca="1">IFERROR(INDEX(Rango_Admin_Clas_Total,E$2,MATCH($A44,Rango_Admin_Clas_Primera,0)+1),"-")</f>
        <v>63</v>
      </c>
      <c r="F44" s="92" cm="1">
        <f t="array" aca="1" ref="F44" ca="1">IFERROR(INDEX(Rango_Admin_Clas_Total,F$2,MATCH($A44,Rango_Admin_Clas_Primera,0)+1),"-")</f>
        <v>66</v>
      </c>
      <c r="G44" s="92" cm="1">
        <f t="array" aca="1" ref="G44" ca="1">IFERROR(INDEX(Rango_Admin_Clas_Total,G$2,MATCH($A44,Rango_Admin_Clas_Primera,0)+1),"-")</f>
        <v>75</v>
      </c>
      <c r="H44" s="92" cm="1">
        <f t="array" aca="1" ref="H44" ca="1">IFERROR(INDEX(Rango_Admin_Clas_Total,H$2,MATCH($A44,Rango_Admin_Clas_Primera,0)+1),"-")</f>
        <v>6</v>
      </c>
      <c r="I44" s="92" cm="1">
        <f t="array" aca="1" ref="I44" ca="1">IFERROR(INDEX(Rango_Admin_Clas_Total,I$2,MATCH($A44,Rango_Admin_Clas_Primera,0)+1),"-")</f>
        <v>44</v>
      </c>
      <c r="J44" s="92" cm="1">
        <f t="array" aca="1" ref="J44" ca="1">IFERROR(INDEX(Rango_Admin_Clas_Total,J$2,MATCH($A44,Rango_Admin_Clas_Primera,0)+1),"-")</f>
        <v>0</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5</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256</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1</v>
      </c>
      <c r="M45" s="92" cm="1">
        <f t="array" aca="1" ref="M45" ca="1">IFERROR(INDEX(Rango_Admin_Clas_Total,M$2,MATCH($A45,Rango_Admin_Clas_Primera,0)+1),"-")</f>
        <v>5</v>
      </c>
      <c r="N45" s="92" cm="1">
        <f t="array" aca="1" ref="N45" ca="1">IFERROR(INDEX(Rango_Admin_Clas_Total,N$2,MATCH($A45,Rango_Admin_Clas_Primera,0)+1),"-")</f>
        <v>0</v>
      </c>
      <c r="O45" s="92" cm="1">
        <f t="array" aca="1" ref="O45" ca="1">IFERROR(INDEX(Rango_Admin_Clas_Total,O$2,MATCH($A45,Rango_Admin_Clas_Primera,0)+1),"-")</f>
        <v>6</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30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H1" sqref="H1"/>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1629</v>
      </c>
      <c r="I1" s="297"/>
      <c r="J1" s="19">
        <f ca="1">VLOOKUP($H$1,Equipos!$Q$2:$R$37,2,0)</f>
        <v>24</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Francia-Inglaterra</v>
      </c>
      <c r="H2" s="19" t="str">
        <f ca="1"/>
        <v>España-Argentina</v>
      </c>
      <c r="I2" s="19" t="str">
        <f ca="1"/>
        <v>🥇Campeón</v>
      </c>
      <c r="J2" s="19" t="str">
        <f ca="1"/>
        <v>🥈Subcampeón</v>
      </c>
      <c r="K2" s="19" t="str">
        <f ca="1"/>
        <v>🥉3º puesto</v>
      </c>
      <c r="L2" s="19" t="str">
        <f ca="1"/>
        <v>Bota de Oro  (máximo goleador)</v>
      </c>
      <c r="M2" s="19" t="str">
        <f ca="1"/>
        <v>Bota de Plata (2º máximo goleador)</v>
      </c>
      <c r="N2" s="19" t="str">
        <f ca="1"/>
        <v>Bota de Bronce (3º máximo goleador)</v>
      </c>
      <c r="O2" s="19" t="str">
        <f ca="1"/>
        <v>Balón de Oro  (mejor jugador)</v>
      </c>
      <c r="P2" s="19" t="str">
        <f ca="1"/>
        <v>Balón de Plata (2º mejor jugador)</v>
      </c>
      <c r="Q2" s="19" t="str">
        <f ca="1"/>
        <v>Balón de Bronce (3º mejor jugador)</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49.95" customHeight="1" thickBot="1">
      <c r="A3" s="8"/>
      <c r="B3" s="8"/>
      <c r="C3" s="8"/>
      <c r="D3" s="8"/>
      <c r="E3" s="19"/>
      <c r="F3" s="449" t="str">
        <f>Idiomas!D475</f>
        <v>Nombre</v>
      </c>
      <c r="G3" s="449" t="str" cm="1">
        <f t="array" aca="1" ref="G3:AL3" ca="1">TRANSPOSE($B$4:$B$35)</f>
        <v>Francia-Inglaterra
 (4-6)</v>
      </c>
      <c r="H3" s="449" t="str">
        <f ca="1"/>
        <v>España-Argentina
 (1-0)</v>
      </c>
      <c r="I3" s="449" t="str">
        <f ca="1"/>
        <v>🥇Campeón
 (España)</v>
      </c>
      <c r="J3" s="449" t="str">
        <f ca="1"/>
        <v>🥈Subcampeón
 (Argentina)</v>
      </c>
      <c r="K3" s="449" t="str">
        <f ca="1"/>
        <v>🥉3º puesto
 (Inglaterra)</v>
      </c>
      <c r="L3" s="449" t="str">
        <f ca="1"/>
        <v>Bota de Oro  (máximo goleador)
 (Mbappe)</v>
      </c>
      <c r="M3" s="449" t="str">
        <f ca="1"/>
        <v>Bota de Plata (2º máximo goleador)
 (Messi)</v>
      </c>
      <c r="N3" s="449" t="str">
        <f ca="1"/>
        <v>Bota de Bronce (3º máximo goleador)
 (Bellingham)</v>
      </c>
      <c r="O3" s="449" t="str">
        <f ca="1"/>
        <v>Balón de Oro  (mejor jugador)
 (Rodri)</v>
      </c>
      <c r="P3" s="449" t="str">
        <f ca="1"/>
        <v>Balón de Plata (2º mejor jugador)
 (Messi)</v>
      </c>
      <c r="Q3" s="449" t="str">
        <f ca="1"/>
        <v>Balón de Bronce (3º mejor jugador)
 (Mbappe)</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 thickTop="1">
      <c r="A4" s="8" t="str" cm="1">
        <f t="array" aca="1" ref="A4" ca="1">IFERROR(INDEX(ADMIN!$K$6:$K$258,SMALL(IF(ADMIN!$G$6:$G$258=$J$1,ROW(ADMIN!$G$6:$G$258)-ROW(ADMIN!$G$6)+1),ROWS($A$1:A1))),"")</f>
        <v>Francia-Inglaterra</v>
      </c>
      <c r="B4" s="8" t="str">
        <f ca="1">A4&amp;CHAR(10)&amp;C4</f>
        <v>Francia-Inglaterra
 (4-6)</v>
      </c>
      <c r="C4" s="8" t="str" cm="1">
        <f t="array" aca="1" ref="C4" ca="1">IFERROR(IF(INDEX(ADMIN!$M$6:$M$258,SMALL(IF(ADMIN!$G$6:$G$258=$J$1,ROW(ADMIN!$G$6:$G$258)-ROW(ADMIN!$G$6)+1),ROWS($A$1:A1)))="-",""," ("&amp;INDEX(ADMIN!$M$6:$M$258,SMALL(IF(ADMIN!$G$6:$G$258=$J$1,ROW(ADMIN!$G$6:$G$258)-ROW(ADMIN!$G$6)+1),ROWS($A$1:A1)))&amp;")"),"")</f>
        <v xml:space="preserve"> (4-6)</v>
      </c>
      <c r="D4" s="8" t="str" cm="1">
        <f t="array" aca="1" ref="D4" ca="1">IFERROR(IF($J$1&gt;=20,INDEX(ADMIN!$C$6:$C$258,SMALL(IF(ADMIN!$G$6:$G$258=$J$1,ROW(ADMIN!$G$6:$G$258)-ROW(ADMIN!$G$6)+1),ROWS($D$1:D1))),""),"")</f>
        <v>Inglaterra-Francia</v>
      </c>
      <c r="E4" s="19">
        <v>9</v>
      </c>
      <c r="F4" s="406" t="str" cm="1">
        <f t="array" ref="F4">IFERROR(INDEX(Rango_Admin_DailyPred_Primera,1,E4),"-")</f>
        <v>Admin</v>
      </c>
      <c r="G4" s="429" t="str">
        <f ca="1">IFERROR(VLOOKUP(G$2,Rango_Admin_DailyPred,MATCH($F4,Rango_Admin_DailyPred_Primera,0),0),"-")</f>
        <v>España-Argentina·1|2-0</v>
      </c>
      <c r="H4" s="429" t="str">
        <f ca="1">IFERROR(VLOOKUP(H$2,Rango_Admin_DailyPred,MATCH($F4,Rango_Admin_DailyPred_Primera,0),0),"-")</f>
        <v>Alemania-Inglaterra·1|2-1</v>
      </c>
      <c r="I4" s="429" t="str">
        <f ca="1">IFERROR(VLOOKUP(I$2,Rango_Admin_DailyPred,MATCH($F4,Rango_Admin_DailyPred_Primera,0),0),"-")</f>
        <v>Alemania</v>
      </c>
      <c r="J4" s="429" t="str">
        <f ca="1">IFERROR(VLOOKUP(J$2,Rango_Admin_DailyPred,MATCH($F4,Rango_Admin_DailyPred_Primera,0),0),"-")</f>
        <v>Inglaterra</v>
      </c>
      <c r="K4" s="429" t="str">
        <f ca="1">IFERROR(VLOOKUP(K$2,Rango_Admin_DailyPred,MATCH($F4,Rango_Admin_DailyPred_Primera,0),0),"-")</f>
        <v>España</v>
      </c>
      <c r="L4" s="429" t="str">
        <f ca="1">IFERROR(VLOOKUP(L$2,Rango_Admin_DailyPred,MATCH($F4,Rango_Admin_DailyPred_Primera,0),0),"-")</f>
        <v>Kane</v>
      </c>
      <c r="M4" s="429" t="str">
        <f ca="1">IFERROR(VLOOKUP(M$2,Rango_Admin_DailyPred,MATCH($F4,Rango_Admin_DailyPred_Primera,0),0),"-")</f>
        <v>Havertz</v>
      </c>
      <c r="N4" s="429" t="str">
        <f ca="1">IFERROR(VLOOKUP(N$2,Rango_Admin_DailyPred,MATCH($F4,Rango_Admin_DailyPred_Primera,0),0),"-")</f>
        <v>Yamal</v>
      </c>
      <c r="O4" s="429" t="str">
        <f ca="1">IFERROR(VLOOKUP(O$2,Rango_Admin_DailyPred,MATCH($F4,Rango_Admin_DailyPred_Primera,0),0),"-")</f>
        <v>Kane</v>
      </c>
      <c r="P4" s="429" t="str">
        <f ca="1">IFERROR(VLOOKUP(P$2,Rango_Admin_DailyPred,MATCH($F4,Rango_Admin_DailyPred_Primera,0),0),"-")</f>
        <v>Yamal</v>
      </c>
      <c r="Q4" s="429" t="str">
        <f ca="1">IFERROR(VLOOKUP(Q$2,Rango_Admin_DailyPred,MATCH($F4,Rango_Admin_DailyPred_Primera,0),0),"-")</f>
        <v>Musiala</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8" t="str" cm="1">
        <f t="array" aca="1" ref="A5" ca="1">IFERROR(INDEX(ADMIN!$K$6:$K$258,SMALL(IF(ADMIN!$G$6:$G$258=$J$1,ROW(ADMIN!$G$6:$G$258)-ROW(ADMIN!$G$6)+1),ROWS($A$1:A2))),"")</f>
        <v>España-Argentina</v>
      </c>
      <c r="B5" s="8" t="str">
        <f t="shared" ref="B5:B35" ca="1" si="0">A5&amp;CHAR(10)&amp;C5</f>
        <v>España-Argentina
 (1-0)</v>
      </c>
      <c r="C5" s="8" t="str" cm="1">
        <f t="array" aca="1" ref="C5" ca="1">IFERROR(IF(INDEX(ADMIN!$M$6:$M$258,SMALL(IF(ADMIN!$G$6:$G$258=$J$1,ROW(ADMIN!$G$6:$G$258)-ROW(ADMIN!$G$6)+1),ROWS($A$1:A2)))="-", "", " ("&amp;INDEX(ADMIN!$M$6:$M$258,SMALL(IF(ADMIN!$G$6:$G$258=$J$1,ROW(ADMIN!$G$6:$G$258)-ROW(ADMIN!$G$6)+1),ROWS($A$1:A2)))&amp;")"),"")</f>
        <v xml:space="preserve"> (1-0)</v>
      </c>
      <c r="D5" s="8" t="str" cm="1">
        <f t="array" aca="1" ref="D5" ca="1">IFERROR(IF($J$1&gt;=20,INDEX(ADMIN!$C$6:$C$258,SMALL(IF(ADMIN!$G$6:$G$258=$J$1,ROW(ADMIN!$G$6:$G$258)-ROW(ADMIN!$G$6)+1),ROWS($D$1:D2))),""),"")</f>
        <v>Argentina-España</v>
      </c>
      <c r="E5" s="19">
        <f>+E4+3</f>
        <v>12</v>
      </c>
      <c r="F5" s="406" t="str" cm="1">
        <f t="array" ref="F5">IFERROR(INDEX(Rango_Admin_DailyPred_Primera,1,E5),"-")</f>
        <v>Luis B</v>
      </c>
      <c r="G5" s="429" t="str">
        <f ca="1">IFERROR(VLOOKUP(G$2,Rango_Admin_DailyPred,MATCH($F5,Rango_Admin_DailyPred_Primera,0),0),"-")</f>
        <v>Francia-Inglaterra·1|2-1</v>
      </c>
      <c r="H5" s="429" t="str">
        <f ca="1">IFERROR(VLOOKUP(H$2,Rango_Admin_DailyPred,MATCH($F5,Rango_Admin_DailyPred_Primera,0),0),"-")</f>
        <v>España-Portugal·1|1-0</v>
      </c>
      <c r="I5" s="429" t="str">
        <f ca="1">IFERROR(VLOOKUP(I$2,Rango_Admin_DailyPred,MATCH($F5,Rango_Admin_DailyPred_Primera,0),0),"-")</f>
        <v>España</v>
      </c>
      <c r="J5" s="429" t="str">
        <f ca="1">IFERROR(VLOOKUP(J$2,Rango_Admin_DailyPred,MATCH($F5,Rango_Admin_DailyPred_Primera,0),0),"-")</f>
        <v>Portugal</v>
      </c>
      <c r="K5" s="429" t="str">
        <f ca="1">IFERROR(VLOOKUP(K$2,Rango_Admin_DailyPred,MATCH($F5,Rango_Admin_DailyPred_Primera,0),0),"-")</f>
        <v>Francia</v>
      </c>
      <c r="L5" s="429" t="str">
        <f ca="1">IFERROR(VLOOKUP(L$2,Rango_Admin_DailyPred,MATCH($F5,Rango_Admin_DailyPred_Primera,0),0),"-")</f>
        <v>Mbappe</v>
      </c>
      <c r="M5" s="429" t="str">
        <f ca="1">IFERROR(VLOOKUP(M$2,Rango_Admin_DailyPred,MATCH($F5,Rango_Admin_DailyPred_Primera,0),0),"-")</f>
        <v>Kane</v>
      </c>
      <c r="N5" s="429" t="str">
        <f ca="1">IFERROR(VLOOKUP(N$2,Rango_Admin_DailyPred,MATCH($F5,Rango_Admin_DailyPred_Primera,0),0),"-")</f>
        <v>Yamal</v>
      </c>
      <c r="O5" s="429" t="str">
        <f ca="1">IFERROR(VLOOKUP(O$2,Rango_Admin_DailyPred,MATCH($F5,Rango_Admin_DailyPred_Primera,0),0),"-")</f>
        <v>Yamal</v>
      </c>
      <c r="P5" s="429" t="str">
        <f ca="1">IFERROR(VLOOKUP(P$2,Rango_Admin_DailyPred,MATCH($F5,Rango_Admin_DailyPred_Primera,0),0),"-")</f>
        <v>Fernandes</v>
      </c>
      <c r="Q5" s="429" t="str">
        <f ca="1">IFERROR(VLOOKUP(Q$2,Rango_Admin_DailyPred,MATCH($F5,Rango_Admin_DailyPred_Primera,0),0),"-")</f>
        <v>Pedri</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8" t="str" cm="1">
        <f t="array" aca="1" ref="A6" ca="1">IFERROR(INDEX(ADMIN!$K$6:$K$258,SMALL(IF(ADMIN!$G$6:$G$258=$J$1,ROW(ADMIN!$G$6:$G$258)-ROW(ADMIN!$G$6)+1),ROWS($A$1:A3))),"")</f>
        <v>🥇Campeón</v>
      </c>
      <c r="B6" s="8" t="str">
        <f t="shared" ca="1" si="0"/>
        <v>🥇Campeón
 (España)</v>
      </c>
      <c r="C6" s="8" t="str" cm="1">
        <f t="array" aca="1" ref="C6" ca="1">IFERROR(IF(INDEX(ADMIN!$M$6:$M$258,SMALL(IF(ADMIN!$G$6:$G$258=$J$1,ROW(ADMIN!$G$6:$G$258)-ROW(ADMIN!$G$6)+1),ROWS($A$1:A3)))="-", "", " ("&amp;INDEX(ADMIN!$M$6:$M$258,SMALL(IF(ADMIN!$G$6:$G$258=$J$1,ROW(ADMIN!$G$6:$G$258)-ROW(ADMIN!$G$6)+1),ROWS($A$1:A3)))&amp;")"),"")</f>
        <v xml:space="preserve"> (España)</v>
      </c>
      <c r="D6" s="8" cm="1">
        <f t="array" aca="1" ref="D6" ca="1">IFERROR(IF($J$1&gt;=20,INDEX(ADMIN!$C$6:$C$258,SMALL(IF(ADMIN!$G$6:$G$258=$J$1,ROW(ADMIN!$G$6:$G$258)-ROW(ADMIN!$G$6)+1),ROWS($D$1:D3))),""),"")</f>
        <v>0</v>
      </c>
      <c r="E6" s="19">
        <f t="shared" ref="E6:E53" si="1">+E5+3</f>
        <v>15</v>
      </c>
      <c r="F6" s="406" t="str" cm="1">
        <f t="array" ref="F6">IFERROR(INDEX(Rango_Admin_DailyPred_Primera,1,E6),"-")</f>
        <v>Alejandro Lafuente</v>
      </c>
      <c r="G6" s="429" t="str">
        <f ca="1">IFERROR(VLOOKUP(G$2,Rango_Admin_DailyPred,MATCH($F6,Rango_Admin_DailyPred_Primera,0),0),"-")</f>
        <v>Francia-Brasil·X|1-1</v>
      </c>
      <c r="H6" s="429" t="str">
        <f ca="1">IFERROR(VLOOKUP(H$2,Rango_Admin_DailyPred,MATCH($F6,Rango_Admin_DailyPred_Primera,0),0),"-")</f>
        <v>España-Portugal·X|2-2</v>
      </c>
      <c r="I6" s="429" t="str">
        <f ca="1">IFERROR(VLOOKUP(I$2,Rango_Admin_DailyPred,MATCH($F6,Rango_Admin_DailyPred_Primera,0),0),"-")</f>
        <v>España</v>
      </c>
      <c r="J6" s="429" t="str">
        <f ca="1">IFERROR(VLOOKUP(J$2,Rango_Admin_DailyPred,MATCH($F6,Rango_Admin_DailyPred_Primera,0),0),"-")</f>
        <v>Portugal</v>
      </c>
      <c r="K6" s="429" t="str">
        <f ca="1">IFERROR(VLOOKUP(K$2,Rango_Admin_DailyPred,MATCH($F6,Rango_Admin_DailyPred_Primera,0),0),"-")</f>
        <v>Brasil</v>
      </c>
      <c r="L6" s="429" t="str">
        <f ca="1">IFERROR(VLOOKUP(L$2,Rango_Admin_DailyPred,MATCH($F6,Rango_Admin_DailyPred_Primera,0),0),"-")</f>
        <v>Cristiano Ronaldo</v>
      </c>
      <c r="M6" s="429" t="str">
        <f ca="1">IFERROR(VLOOKUP(M$2,Rango_Admin_DailyPred,MATCH($F6,Rango_Admin_DailyPred_Primera,0),0),"-")</f>
        <v>Mbappe</v>
      </c>
      <c r="N6" s="429" t="str">
        <f ca="1">IFERROR(VLOOKUP(N$2,Rango_Admin_DailyPred,MATCH($F6,Rango_Admin_DailyPred_Primera,0),0),"-")</f>
        <v>Oyarzabal</v>
      </c>
      <c r="O6" s="429" t="str">
        <f ca="1">IFERROR(VLOOKUP(O$2,Rango_Admin_DailyPred,MATCH($F6,Rango_Admin_DailyPred_Primera,0),0),"-")</f>
        <v>Cristiano Ronaldo</v>
      </c>
      <c r="P6" s="429" t="str">
        <f ca="1">IFERROR(VLOOKUP(P$2,Rango_Admin_DailyPred,MATCH($F6,Rango_Admin_DailyPred_Primera,0),0),"-")</f>
        <v xml:space="preserve">Yamal </v>
      </c>
      <c r="Q6" s="429" t="str">
        <f ca="1">IFERROR(VLOOKUP(Q$2,Rango_Admin_DailyPred,MATCH($F6,Rango_Admin_DailyPred_Primera,0),0),"-")</f>
        <v>Pedri</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8" t="str" cm="1">
        <f t="array" aca="1" ref="A7" ca="1">IFERROR(INDEX(ADMIN!$K$6:$K$258,SMALL(IF(ADMIN!$G$6:$G$258=$J$1,ROW(ADMIN!$G$6:$G$258)-ROW(ADMIN!$G$6)+1),ROWS($A$1:A4))),"")</f>
        <v>🥈Subcampeón</v>
      </c>
      <c r="B7" s="8" t="str">
        <f t="shared" ca="1" si="0"/>
        <v>🥈Subcampeón
 (Argentina)</v>
      </c>
      <c r="C7" s="8" t="str" cm="1">
        <f t="array" aca="1" ref="C7" ca="1">IFERROR(IF(INDEX(ADMIN!$M$6:$M$258,SMALL(IF(ADMIN!$G$6:$G$258=$J$1,ROW(ADMIN!$G$6:$G$258)-ROW(ADMIN!$G$6)+1),ROWS($A$1:A4)))="-", "", " ("&amp;INDEX(ADMIN!$M$6:$M$258,SMALL(IF(ADMIN!$G$6:$G$258=$J$1,ROW(ADMIN!$G$6:$G$258)-ROW(ADMIN!$G$6)+1),ROWS($A$1:A4)))&amp;")"),"")</f>
        <v xml:space="preserve"> (Argentina)</v>
      </c>
      <c r="D7" s="8" cm="1">
        <f t="array" aca="1" ref="D7" ca="1">IFERROR(IF($J$1&gt;=20,INDEX(ADMIN!$C$6:$C$258,SMALL(IF(ADMIN!$G$6:$G$258=$J$1,ROW(ADMIN!$G$6:$G$258)-ROW(ADMIN!$G$6)+1),ROWS($D$1:D4))),""),"")</f>
        <v>0</v>
      </c>
      <c r="E7" s="19">
        <f t="shared" si="1"/>
        <v>18</v>
      </c>
      <c r="F7" s="406" t="str" cm="1">
        <f t="array" ref="F7">IFERROR(INDEX(Rango_Admin_DailyPred_Primera,1,E7),"-")</f>
        <v>Jaime Lafuente</v>
      </c>
      <c r="G7" s="429" t="str">
        <f ca="1">IFERROR(VLOOKUP(G$2,Rango_Admin_DailyPred,MATCH($F7,Rango_Admin_DailyPred_Primera,0),0),"-")</f>
        <v>España-Argentina·1|2-0</v>
      </c>
      <c r="H7" s="429" t="str">
        <f ca="1">IFERROR(VLOOKUP(H$2,Rango_Admin_DailyPred,MATCH($F7,Rango_Admin_DailyPred_Primera,0),0),"-")</f>
        <v>Francia-Inglaterra·1|2-0</v>
      </c>
      <c r="I7" s="429" t="str">
        <f ca="1">IFERROR(VLOOKUP(I$2,Rango_Admin_DailyPred,MATCH($F7,Rango_Admin_DailyPred_Primera,0),0),"-")</f>
        <v>Francia</v>
      </c>
      <c r="J7" s="429" t="str">
        <f ca="1">IFERROR(VLOOKUP(J$2,Rango_Admin_DailyPred,MATCH($F7,Rango_Admin_DailyPred_Primera,0),0),"-")</f>
        <v>Inglaterra</v>
      </c>
      <c r="K7" s="429" t="str">
        <f ca="1">IFERROR(VLOOKUP(K$2,Rango_Admin_DailyPred,MATCH($F7,Rango_Admin_DailyPred_Primera,0),0),"-")</f>
        <v>España</v>
      </c>
      <c r="L7" s="429" t="str">
        <f ca="1">IFERROR(VLOOKUP(L$2,Rango_Admin_DailyPred,MATCH($F7,Rango_Admin_DailyPred_Primera,0),0),"-")</f>
        <v>Mbappe</v>
      </c>
      <c r="M7" s="429" t="str">
        <f ca="1">IFERROR(VLOOKUP(M$2,Rango_Admin_DailyPred,MATCH($F7,Rango_Admin_DailyPred_Primera,0),0),"-")</f>
        <v>Kane</v>
      </c>
      <c r="N7" s="429" t="str">
        <f ca="1">IFERROR(VLOOKUP(N$2,Rango_Admin_DailyPred,MATCH($F7,Rango_Admin_DailyPred_Primera,0),0),"-")</f>
        <v>Lautaro Martínez</v>
      </c>
      <c r="O7" s="429" t="str">
        <f ca="1">IFERROR(VLOOKUP(O$2,Rango_Admin_DailyPred,MATCH($F7,Rango_Admin_DailyPred_Primera,0),0),"-")</f>
        <v>Mbappe</v>
      </c>
      <c r="P7" s="429" t="str">
        <f ca="1">IFERROR(VLOOKUP(P$2,Rango_Admin_DailyPred,MATCH($F7,Rango_Admin_DailyPred_Primera,0),0),"-")</f>
        <v>Kane</v>
      </c>
      <c r="Q7" s="429" t="str">
        <f ca="1">IFERROR(VLOOKUP(Q$2,Rango_Admin_DailyPred,MATCH($F7,Rango_Admin_DailyPred_Primera,0),0),"-")</f>
        <v>Yamal</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8" t="str" cm="1">
        <f t="array" aca="1" ref="A8" ca="1">IFERROR(INDEX(ADMIN!$K$6:$K$258,SMALL(IF(ADMIN!$G$6:$G$258=$J$1,ROW(ADMIN!$G$6:$G$258)-ROW(ADMIN!$G$6)+1),ROWS($A$1:A5))),"")</f>
        <v>🥉3º puesto</v>
      </c>
      <c r="B8" s="8" t="str">
        <f t="shared" ca="1" si="0"/>
        <v>🥉3º puesto
 (Inglaterra)</v>
      </c>
      <c r="C8" s="8" t="str" cm="1">
        <f t="array" aca="1" ref="C8" ca="1">IFERROR(IF(INDEX(ADMIN!$M$6:$M$258,SMALL(IF(ADMIN!$G$6:$G$258=$J$1,ROW(ADMIN!$G$6:$G$258)-ROW(ADMIN!$G$6)+1),ROWS($A$1:A5)))="-", "", " ("&amp;INDEX(ADMIN!$M$6:$M$258,SMALL(IF(ADMIN!$G$6:$G$258=$J$1,ROW(ADMIN!$G$6:$G$258)-ROW(ADMIN!$G$6)+1),ROWS($A$1:A5)))&amp;")"),"")</f>
        <v xml:space="preserve"> (Inglaterra)</v>
      </c>
      <c r="D8" s="8" cm="1">
        <f t="array" aca="1" ref="D8" ca="1">IFERROR(IF($J$1&gt;=20,INDEX(ADMIN!$C$6:$C$258,SMALL(IF(ADMIN!$G$6:$G$258=$J$1,ROW(ADMIN!$G$6:$G$258)-ROW(ADMIN!$G$6)+1),ROWS($D$1:D5))),""),"")</f>
        <v>0</v>
      </c>
      <c r="E8" s="19">
        <f t="shared" si="1"/>
        <v>21</v>
      </c>
      <c r="F8" s="406" t="str" cm="1">
        <f t="array" ref="F8">IFERROR(INDEX(Rango_Admin_DailyPred_Primera,1,E8),"-")</f>
        <v>Pastor</v>
      </c>
      <c r="G8" s="429" t="str">
        <f ca="1">IFERROR(VLOOKUP(G$2,Rango_Admin_DailyPred,MATCH($F8,Rango_Admin_DailyPred_Primera,0),0),"-")</f>
        <v>España-Argentina·1|1-0</v>
      </c>
      <c r="H8" s="429" t="str">
        <f ca="1">IFERROR(VLOOKUP(H$2,Rango_Admin_DailyPred,MATCH($F8,Rango_Admin_DailyPred_Primera,0),0),"-")</f>
        <v>Francia-Brasil·1|2-1</v>
      </c>
      <c r="I8" s="429" t="str">
        <f ca="1">IFERROR(VLOOKUP(I$2,Rango_Admin_DailyPred,MATCH($F8,Rango_Admin_DailyPred_Primera,0),0),"-")</f>
        <v>Francia</v>
      </c>
      <c r="J8" s="429" t="str">
        <f ca="1">IFERROR(VLOOKUP(J$2,Rango_Admin_DailyPred,MATCH($F8,Rango_Admin_DailyPred_Primera,0),0),"-")</f>
        <v>Brasil</v>
      </c>
      <c r="K8" s="429" t="str">
        <f ca="1">IFERROR(VLOOKUP(K$2,Rango_Admin_DailyPred,MATCH($F8,Rango_Admin_DailyPred_Primera,0),0),"-")</f>
        <v>España</v>
      </c>
      <c r="L8" s="429" t="str">
        <f ca="1">IFERROR(VLOOKUP(L$2,Rango_Admin_DailyPred,MATCH($F8,Rango_Admin_DailyPred_Primera,0),0),"-")</f>
        <v>Mbappe</v>
      </c>
      <c r="M8" s="429" t="str">
        <f ca="1">IFERROR(VLOOKUP(M$2,Rango_Admin_DailyPred,MATCH($F8,Rango_Admin_DailyPred_Primera,0),0),"-")</f>
        <v>Kane</v>
      </c>
      <c r="N8" s="429" t="str">
        <f ca="1">IFERROR(VLOOKUP(N$2,Rango_Admin_DailyPred,MATCH($F8,Rango_Admin_DailyPred_Primera,0),0),"-")</f>
        <v>Haaland</v>
      </c>
      <c r="O8" s="429" t="str">
        <f ca="1">IFERROR(VLOOKUP(O$2,Rango_Admin_DailyPred,MATCH($F8,Rango_Admin_DailyPred_Primera,0),0),"-")</f>
        <v>Mbappe</v>
      </c>
      <c r="P8" s="429" t="str">
        <f ca="1">IFERROR(VLOOKUP(P$2,Rango_Admin_DailyPred,MATCH($F8,Rango_Admin_DailyPred_Primera,0),0),"-")</f>
        <v>Yamal</v>
      </c>
      <c r="Q8" s="429" t="str">
        <f ca="1">IFERROR(VLOOKUP(Q$2,Rango_Admin_DailyPred,MATCH($F8,Rango_Admin_DailyPred_Primera,0),0),"-")</f>
        <v>Raphinha</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8" t="str" cm="1">
        <f t="array" aca="1" ref="A9" ca="1">IFERROR(INDEX(ADMIN!$K$6:$K$258,SMALL(IF(ADMIN!$G$6:$G$258=$J$1,ROW(ADMIN!$G$6:$G$258)-ROW(ADMIN!$G$6)+1),ROWS($A$1:A6))),"")</f>
        <v>Bota de Oro  (máximo goleador)</v>
      </c>
      <c r="B9" s="8" t="str">
        <f t="shared" ca="1" si="0"/>
        <v>Bota de Oro  (máximo goleador)
 (Mbappe)</v>
      </c>
      <c r="C9" s="8" t="str" cm="1">
        <f t="array" aca="1" ref="C9" ca="1">IFERROR(IF(INDEX(ADMIN!$M$6:$M$258,SMALL(IF(ADMIN!$G$6:$G$258=$J$1,ROW(ADMIN!$G$6:$G$258)-ROW(ADMIN!$G$6)+1),ROWS($A$1:A6)))="-", "", " ("&amp;INDEX(ADMIN!$M$6:$M$258,SMALL(IF(ADMIN!$G$6:$G$258=$J$1,ROW(ADMIN!$G$6:$G$258)-ROW(ADMIN!$G$6)+1),ROWS($A$1:A6)))&amp;")"),"")</f>
        <v xml:space="preserve"> (Mbappe)</v>
      </c>
      <c r="D9" s="8" cm="1">
        <f t="array" aca="1" ref="D9" ca="1">IFERROR(IF($J$1&gt;=20,INDEX(ADMIN!$C$6:$C$258,SMALL(IF(ADMIN!$G$6:$G$258=$J$1,ROW(ADMIN!$G$6:$G$258)-ROW(ADMIN!$G$6)+1),ROWS($D$1:D6))),""),"")</f>
        <v>0</v>
      </c>
      <c r="E9" s="19">
        <f t="shared" si="1"/>
        <v>24</v>
      </c>
      <c r="F9" s="406" t="str" cm="1">
        <f t="array" ref="F9">IFERROR(INDEX(Rango_Admin_DailyPred_Primera,1,E9),"-")</f>
        <v>Jaime García de la Riva</v>
      </c>
      <c r="G9" s="429" t="str">
        <f ca="1">IFERROR(VLOOKUP(G$2,Rango_Admin_DailyPred,MATCH($F9,Rango_Admin_DailyPred_Primera,0),0),"-")</f>
        <v>Francia-Marruecos·1|3-1</v>
      </c>
      <c r="H9" s="429" t="str">
        <f ca="1">IFERROR(VLOOKUP(H$2,Rango_Admin_DailyPred,MATCH($F9,Rango_Admin_DailyPred_Primera,0),0),"-")</f>
        <v>España-Argentina·1|1-0</v>
      </c>
      <c r="I9" s="429" t="str">
        <f ca="1">IFERROR(VLOOKUP(I$2,Rango_Admin_DailyPred,MATCH($F9,Rango_Admin_DailyPred_Primera,0),0),"-")</f>
        <v>España</v>
      </c>
      <c r="J9" s="429" t="str">
        <f ca="1">IFERROR(VLOOKUP(J$2,Rango_Admin_DailyPred,MATCH($F9,Rango_Admin_DailyPred_Primera,0),0),"-")</f>
        <v>Argentina</v>
      </c>
      <c r="K9" s="429" t="str">
        <f ca="1">IFERROR(VLOOKUP(K$2,Rango_Admin_DailyPred,MATCH($F9,Rango_Admin_DailyPred_Primera,0),0),"-")</f>
        <v>Francia</v>
      </c>
      <c r="L9" s="429" t="str">
        <f ca="1">IFERROR(VLOOKUP(L$2,Rango_Admin_DailyPred,MATCH($F9,Rango_Admin_DailyPred_Primera,0),0),"-")</f>
        <v>Mbappe</v>
      </c>
      <c r="M9" s="429" t="str">
        <f ca="1">IFERROR(VLOOKUP(M$2,Rango_Admin_DailyPred,MATCH($F9,Rango_Admin_DailyPred_Primera,0),0),"-")</f>
        <v>Olise</v>
      </c>
      <c r="N9" s="429" t="str">
        <f ca="1">IFERROR(VLOOKUP(N$2,Rango_Admin_DailyPred,MATCH($F9,Rango_Admin_DailyPred_Primera,0),0),"-")</f>
        <v>Kane</v>
      </c>
      <c r="O9" s="429" t="str">
        <f ca="1">IFERROR(VLOOKUP(O$2,Rango_Admin_DailyPred,MATCH($F9,Rango_Admin_DailyPred_Primera,0),0),"-")</f>
        <v>Pedri</v>
      </c>
      <c r="P9" s="429" t="str">
        <f ca="1">IFERROR(VLOOKUP(P$2,Rango_Admin_DailyPred,MATCH($F9,Rango_Admin_DailyPred_Primera,0),0),"-")</f>
        <v>Olise</v>
      </c>
      <c r="Q9" s="429" t="str">
        <f ca="1">IFERROR(VLOOKUP(Q$2,Rango_Admin_DailyPred,MATCH($F9,Rango_Admin_DailyPred_Primera,0),0),"-")</f>
        <v>Yamal</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8" t="str" cm="1">
        <f t="array" aca="1" ref="A10" ca="1">IFERROR(INDEX(ADMIN!$K$6:$K$258,SMALL(IF(ADMIN!$G$6:$G$258=$J$1,ROW(ADMIN!$G$6:$G$258)-ROW(ADMIN!$G$6)+1),ROWS($A$1:A7))),"")</f>
        <v>Bota de Plata (2º máximo goleador)</v>
      </c>
      <c r="B10" s="8" t="str">
        <f t="shared" ca="1" si="0"/>
        <v>Bota de Plata (2º máximo goleador)
 (Messi)</v>
      </c>
      <c r="C10" s="8" t="str" cm="1">
        <f t="array" aca="1" ref="C10" ca="1">IFERROR(IF(INDEX(ADMIN!$M$6:$M$258,SMALL(IF(ADMIN!$G$6:$G$258=$J$1,ROW(ADMIN!$G$6:$G$258)-ROW(ADMIN!$G$6)+1),ROWS($A$1:A7)))="-", "", " ("&amp;INDEX(ADMIN!$M$6:$M$258,SMALL(IF(ADMIN!$G$6:$G$258=$J$1,ROW(ADMIN!$G$6:$G$258)-ROW(ADMIN!$G$6)+1),ROWS($A$1:A7)))&amp;")"),"")</f>
        <v xml:space="preserve"> (Messi)</v>
      </c>
      <c r="D10" s="8" cm="1">
        <f t="array" aca="1" ref="D10" ca="1">IFERROR(IF($J$1&gt;=20,INDEX(ADMIN!$C$6:$C$258,SMALL(IF(ADMIN!$G$6:$G$258=$J$1,ROW(ADMIN!$G$6:$G$258)-ROW(ADMIN!$G$6)+1),ROWS($D$1:D7))),""),"")</f>
        <v>0</v>
      </c>
      <c r="E10" s="19">
        <f t="shared" si="1"/>
        <v>27</v>
      </c>
      <c r="F10" s="406" t="str" cm="1">
        <f t="array" ref="F10">IFERROR(INDEX(Rango_Admin_DailyPred_Primera,1,E10),"-")</f>
        <v>Nacho Novo</v>
      </c>
      <c r="G10" s="429" t="str">
        <f ca="1">IFERROR(VLOOKUP(G$2,Rango_Admin_DailyPred,MATCH($F10,Rango_Admin_DailyPred_Primera,0),0),"-")</f>
        <v>Países Bajos-Inglaterra·1|2-1</v>
      </c>
      <c r="H10" s="429" t="str">
        <f ca="1">IFERROR(VLOOKUP(H$2,Rango_Admin_DailyPred,MATCH($F10,Rango_Admin_DailyPred_Primera,0),0),"-")</f>
        <v>España-Portugal·2|1-2</v>
      </c>
      <c r="I10" s="429" t="str">
        <f ca="1">IFERROR(VLOOKUP(I$2,Rango_Admin_DailyPred,MATCH($F10,Rango_Admin_DailyPred_Primera,0),0),"-")</f>
        <v>Portugal</v>
      </c>
      <c r="J10" s="429" t="str">
        <f ca="1">IFERROR(VLOOKUP(J$2,Rango_Admin_DailyPred,MATCH($F10,Rango_Admin_DailyPred_Primera,0),0),"-")</f>
        <v>España</v>
      </c>
      <c r="K10" s="429" t="str">
        <f ca="1">IFERROR(VLOOKUP(K$2,Rango_Admin_DailyPred,MATCH($F10,Rango_Admin_DailyPred_Primera,0),0),"-")</f>
        <v>Países Bajos</v>
      </c>
      <c r="L10" s="429" t="str">
        <f ca="1">IFERROR(VLOOKUP(L$2,Rango_Admin_DailyPred,MATCH($F10,Rango_Admin_DailyPred_Primera,0),0),"-")</f>
        <v>Kane</v>
      </c>
      <c r="M10" s="429" t="str">
        <f ca="1">IFERROR(VLOOKUP(M$2,Rango_Admin_DailyPred,MATCH($F10,Rango_Admin_DailyPred_Primera,0),0),"-")</f>
        <v>Oyarzabal</v>
      </c>
      <c r="N10" s="429" t="str">
        <f ca="1">IFERROR(VLOOKUP(N$2,Rango_Admin_DailyPred,MATCH($F10,Rango_Admin_DailyPred_Primera,0),0),"-")</f>
        <v>Cristiano Ronaldo</v>
      </c>
      <c r="O10" s="429" t="str">
        <f ca="1">IFERROR(VLOOKUP(O$2,Rango_Admin_DailyPred,MATCH($F10,Rango_Admin_DailyPred_Primera,0),0),"-")</f>
        <v>Vitinha</v>
      </c>
      <c r="P10" s="429" t="str">
        <f ca="1">IFERROR(VLOOKUP(P$2,Rango_Admin_DailyPred,MATCH($F10,Rango_Admin_DailyPred_Primera,0),0),"-")</f>
        <v>Pedri</v>
      </c>
      <c r="Q10" s="429" t="str">
        <f ca="1">IFERROR(VLOOKUP(Q$2,Rango_Admin_DailyPred,MATCH($F10,Rango_Admin_DailyPred_Primera,0),0),"-")</f>
        <v>Yamal</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8" t="str" cm="1">
        <f t="array" aca="1" ref="A11" ca="1">IFERROR(INDEX(ADMIN!$K$6:$K$258,SMALL(IF(ADMIN!$G$6:$G$258=$J$1,ROW(ADMIN!$G$6:$G$258)-ROW(ADMIN!$G$6)+1),ROWS($A$1:A8))),"")</f>
        <v>Bota de Bronce (3º máximo goleador)</v>
      </c>
      <c r="B11" s="8" t="str">
        <f t="shared" ca="1" si="0"/>
        <v>Bota de Bronce (3º máximo goleador)
 (Bellingham)</v>
      </c>
      <c r="C11" s="8" t="str" cm="1">
        <f t="array" aca="1" ref="C11" ca="1">IFERROR(IF(INDEX(ADMIN!$M$6:$M$258,SMALL(IF(ADMIN!$G$6:$G$258=$J$1,ROW(ADMIN!$G$6:$G$258)-ROW(ADMIN!$G$6)+1),ROWS($A$1:A8)))="-", "", " ("&amp;INDEX(ADMIN!$M$6:$M$258,SMALL(IF(ADMIN!$G$6:$G$258=$J$1,ROW(ADMIN!$G$6:$G$258)-ROW(ADMIN!$G$6)+1),ROWS($A$1:A8)))&amp;")"),"")</f>
        <v xml:space="preserve"> (Bellingham)</v>
      </c>
      <c r="D11" s="8" cm="1">
        <f t="array" aca="1" ref="D11" ca="1">IFERROR(IF($J$1&gt;=20,INDEX(ADMIN!$C$6:$C$258,SMALL(IF(ADMIN!$G$6:$G$258=$J$1,ROW(ADMIN!$G$6:$G$258)-ROW(ADMIN!$G$6)+1),ROWS($D$1:D8))),""),"")</f>
        <v>0</v>
      </c>
      <c r="E11" s="19">
        <f t="shared" si="1"/>
        <v>30</v>
      </c>
      <c r="F11" s="406" t="str" cm="1">
        <f t="array" ref="F11">IFERROR(INDEX(Rango_Admin_DailyPred_Primera,1,E11),"-")</f>
        <v>Antonio Zulueta Ramos</v>
      </c>
      <c r="G11" s="429" t="str">
        <f ca="1">IFERROR(VLOOKUP(G$2,Rango_Admin_DailyPred,MATCH($F11,Rango_Admin_DailyPred_Primera,0),0),"-")</f>
        <v>Colombia-Inglaterra·2|1-3</v>
      </c>
      <c r="H11" s="429" t="str">
        <f ca="1">IFERROR(VLOOKUP(H$2,Rango_Admin_DailyPred,MATCH($F11,Rango_Admin_DailyPred_Primera,0),0),"-")</f>
        <v>Países Bajos-Portugal·2|0-1</v>
      </c>
      <c r="I11" s="429" t="str">
        <f ca="1">IFERROR(VLOOKUP(I$2,Rango_Admin_DailyPred,MATCH($F11,Rango_Admin_DailyPred_Primera,0),0),"-")</f>
        <v>Portugal</v>
      </c>
      <c r="J11" s="429" t="str">
        <f ca="1">IFERROR(VLOOKUP(J$2,Rango_Admin_DailyPred,MATCH($F11,Rango_Admin_DailyPred_Primera,0),0),"-")</f>
        <v>Países Bajos</v>
      </c>
      <c r="K11" s="429" t="str">
        <f ca="1">IFERROR(VLOOKUP(K$2,Rango_Admin_DailyPred,MATCH($F11,Rango_Admin_DailyPred_Primera,0),0),"-")</f>
        <v>Inglaterra</v>
      </c>
      <c r="L11" s="429" t="str">
        <f ca="1">IFERROR(VLOOKUP(L$2,Rango_Admin_DailyPred,MATCH($F11,Rango_Admin_DailyPred_Primera,0),0),"-")</f>
        <v>Kane</v>
      </c>
      <c r="M11" s="429" t="str">
        <f ca="1">IFERROR(VLOOKUP(M$2,Rango_Admin_DailyPred,MATCH($F11,Rango_Admin_DailyPred_Primera,0),0),"-")</f>
        <v>Haaland</v>
      </c>
      <c r="N11" s="429" t="str">
        <f ca="1">IFERROR(VLOOKUP(N$2,Rango_Admin_DailyPred,MATCH($F11,Rango_Admin_DailyPred_Primera,0),0),"-")</f>
        <v>Raphinha</v>
      </c>
      <c r="O11" s="429" t="str">
        <f ca="1">IFERROR(VLOOKUP(O$2,Rango_Admin_DailyPred,MATCH($F11,Rango_Admin_DailyPred_Primera,0),0),"-")</f>
        <v>Fernandes</v>
      </c>
      <c r="P11" s="429" t="str">
        <f ca="1">IFERROR(VLOOKUP(P$2,Rango_Admin_DailyPred,MATCH($F11,Rango_Admin_DailyPred_Primera,0),0),"-")</f>
        <v>Kane</v>
      </c>
      <c r="Q11" s="429" t="str">
        <f ca="1">IFERROR(VLOOKUP(Q$2,Rango_Admin_DailyPred,MATCH($F11,Rango_Admin_DailyPred_Primera,0),0),"-")</f>
        <v>Gakpo</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8" t="str" cm="1">
        <f t="array" aca="1" ref="A12" ca="1">IFERROR(INDEX(ADMIN!$K$6:$K$258,SMALL(IF(ADMIN!$G$6:$G$258=$J$1,ROW(ADMIN!$G$6:$G$258)-ROW(ADMIN!$G$6)+1),ROWS($A$1:A9))),"")</f>
        <v>Balón de Oro  (mejor jugador)</v>
      </c>
      <c r="B12" s="8" t="str">
        <f t="shared" ca="1" si="0"/>
        <v>Balón de Oro  (mejor jugador)
 (Rodri)</v>
      </c>
      <c r="C12" s="8" t="str" cm="1">
        <f t="array" aca="1" ref="C12" ca="1">IFERROR(IF(INDEX(ADMIN!$M$6:$M$258,SMALL(IF(ADMIN!$G$6:$G$258=$J$1,ROW(ADMIN!$G$6:$G$258)-ROW(ADMIN!$G$6)+1),ROWS($A$1:A9)))="-", "", " ("&amp;INDEX(ADMIN!$M$6:$M$258,SMALL(IF(ADMIN!$G$6:$G$258=$J$1,ROW(ADMIN!$G$6:$G$258)-ROW(ADMIN!$G$6)+1),ROWS($A$1:A9)))&amp;")"),"")</f>
        <v xml:space="preserve"> (Rodri)</v>
      </c>
      <c r="D12" s="8" cm="1">
        <f t="array" aca="1" ref="D12" ca="1">IFERROR(IF($J$1&gt;=20,INDEX(ADMIN!$C$6:$C$258,SMALL(IF(ADMIN!$G$6:$G$258=$J$1,ROW(ADMIN!$G$6:$G$258)-ROW(ADMIN!$G$6)+1),ROWS($D$1:D9))),""),"")</f>
        <v>0</v>
      </c>
      <c r="E12" s="19">
        <f t="shared" si="1"/>
        <v>33</v>
      </c>
      <c r="F12" s="406" t="str" cm="1">
        <f t="array" ref="F12">IFERROR(INDEX(Rango_Admin_DailyPred_Primera,1,E12),"-")</f>
        <v>Carlos Murciano</v>
      </c>
      <c r="G12" s="429" t="str">
        <f ca="1">IFERROR(VLOOKUP(G$2,Rango_Admin_DailyPred,MATCH($F12,Rango_Admin_DailyPred_Primera,0),0),"-")</f>
        <v>Francia-Inglaterra·1|4-3</v>
      </c>
      <c r="H12" s="429" t="str">
        <f ca="1">IFERROR(VLOOKUP(H$2,Rango_Admin_DailyPred,MATCH($F12,Rango_Admin_DailyPred_Primera,0),0),"-")</f>
        <v>España-Argentina·1|1-0</v>
      </c>
      <c r="I12" s="429" t="str">
        <f ca="1">IFERROR(VLOOKUP(I$2,Rango_Admin_DailyPred,MATCH($F12,Rango_Admin_DailyPred_Primera,0),0),"-")</f>
        <v>España</v>
      </c>
      <c r="J12" s="429" t="str">
        <f ca="1">IFERROR(VLOOKUP(J$2,Rango_Admin_DailyPred,MATCH($F12,Rango_Admin_DailyPred_Primera,0),0),"-")</f>
        <v>Argentina</v>
      </c>
      <c r="K12" s="429" t="str">
        <f ca="1">IFERROR(VLOOKUP(K$2,Rango_Admin_DailyPred,MATCH($F12,Rango_Admin_DailyPred_Primera,0),0),"-")</f>
        <v>Francia</v>
      </c>
      <c r="L12" s="429" t="str">
        <f ca="1">IFERROR(VLOOKUP(L$2,Rango_Admin_DailyPred,MATCH($F12,Rango_Admin_DailyPred_Primera,0),0),"-")</f>
        <v>Julián Álvarez</v>
      </c>
      <c r="M12" s="429" t="str">
        <f ca="1">IFERROR(VLOOKUP(M$2,Rango_Admin_DailyPred,MATCH($F12,Rango_Admin_DailyPred_Primera,0),0),"-")</f>
        <v>Olise</v>
      </c>
      <c r="N12" s="429" t="str">
        <f ca="1">IFERROR(VLOOKUP(N$2,Rango_Admin_DailyPred,MATCH($F12,Rango_Admin_DailyPred_Primera,0),0),"-")</f>
        <v>Oyarzabal</v>
      </c>
      <c r="O12" s="429" t="str">
        <f ca="1">IFERROR(VLOOKUP(O$2,Rango_Admin_DailyPred,MATCH($F12,Rango_Admin_DailyPred_Primera,0),0),"-")</f>
        <v>Yamal</v>
      </c>
      <c r="P12" s="429" t="str">
        <f ca="1">IFERROR(VLOOKUP(P$2,Rango_Admin_DailyPred,MATCH($F12,Rango_Admin_DailyPred_Primera,0),0),"-")</f>
        <v>Julián Álvarez</v>
      </c>
      <c r="Q12" s="429" t="str">
        <f ca="1">IFERROR(VLOOKUP(Q$2,Rango_Admin_DailyPred,MATCH($F12,Rango_Admin_DailyPred_Primera,0),0),"-")</f>
        <v>Pedri</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8" t="str" cm="1">
        <f t="array" aca="1" ref="A13" ca="1">IFERROR(INDEX(ADMIN!$K$6:$K$258,SMALL(IF(ADMIN!$G$6:$G$258=$J$1,ROW(ADMIN!$G$6:$G$258)-ROW(ADMIN!$G$6)+1),ROWS($A$1:A10))),"")</f>
        <v>Balón de Plata (2º mejor jugador)</v>
      </c>
      <c r="B13" s="8" t="str">
        <f t="shared" ca="1" si="0"/>
        <v>Balón de Plata (2º mejor jugador)
 (Messi)</v>
      </c>
      <c r="C13" s="8" t="str" cm="1">
        <f t="array" aca="1" ref="C13" ca="1">IFERROR(IF(INDEX(ADMIN!$M$6:$M$258,SMALL(IF(ADMIN!$G$6:$G$258=$J$1,ROW(ADMIN!$G$6:$G$258)-ROW(ADMIN!$G$6)+1),ROWS($A$1:A10)))="-", "", " ("&amp;INDEX(ADMIN!$M$6:$M$258,SMALL(IF(ADMIN!$G$6:$G$258=$J$1,ROW(ADMIN!$G$6:$G$258)-ROW(ADMIN!$G$6)+1),ROWS($A$1:A10)))&amp;")"),"")</f>
        <v xml:space="preserve"> (Messi)</v>
      </c>
      <c r="D13" s="8" cm="1">
        <f t="array" aca="1" ref="D13" ca="1">IFERROR(IF($J$1&gt;=20,INDEX(ADMIN!$C$6:$C$258,SMALL(IF(ADMIN!$G$6:$G$258=$J$1,ROW(ADMIN!$G$6:$G$258)-ROW(ADMIN!$G$6)+1),ROWS($D$1:D10))),""),"")</f>
        <v>0</v>
      </c>
      <c r="E13" s="19">
        <f t="shared" si="1"/>
        <v>36</v>
      </c>
      <c r="F13" s="406" t="str" cm="1">
        <f t="array" ref="F13">IFERROR(INDEX(Rango_Admin_DailyPred_Primera,1,E13),"-")</f>
        <v>Chente Muñoz</v>
      </c>
      <c r="G13" s="429" t="str">
        <f ca="1">IFERROR(VLOOKUP(G$2,Rango_Admin_DailyPred,MATCH($F13,Rango_Admin_DailyPred_Primera,0),0),"-")</f>
        <v>España-Inglaterra·1|2-1</v>
      </c>
      <c r="H13" s="429" t="str">
        <f ca="1">IFERROR(VLOOKUP(H$2,Rango_Admin_DailyPred,MATCH($F13,Rango_Admin_DailyPred_Primera,0),0),"-")</f>
        <v>Francia-Portugal·2|1-2</v>
      </c>
      <c r="I13" s="429" t="str">
        <f ca="1">IFERROR(VLOOKUP(I$2,Rango_Admin_DailyPred,MATCH($F13,Rango_Admin_DailyPred_Primera,0),0),"-")</f>
        <v>Portugal</v>
      </c>
      <c r="J13" s="429" t="str">
        <f ca="1">IFERROR(VLOOKUP(J$2,Rango_Admin_DailyPred,MATCH($F13,Rango_Admin_DailyPred_Primera,0),0),"-")</f>
        <v>Francia</v>
      </c>
      <c r="K13" s="429" t="str">
        <f ca="1">IFERROR(VLOOKUP(K$2,Rango_Admin_DailyPred,MATCH($F13,Rango_Admin_DailyPred_Primera,0),0),"-")</f>
        <v>España</v>
      </c>
      <c r="L13" s="429" t="str">
        <f ca="1">IFERROR(VLOOKUP(L$2,Rango_Admin_DailyPred,MATCH($F13,Rango_Admin_DailyPred_Primera,0),0),"-")</f>
        <v>Mbappe</v>
      </c>
      <c r="M13" s="429" t="str">
        <f ca="1">IFERROR(VLOOKUP(M$2,Rango_Admin_DailyPred,MATCH($F13,Rango_Admin_DailyPred_Primera,0),0),"-")</f>
        <v>Kane</v>
      </c>
      <c r="N13" s="429" t="str">
        <f ca="1">IFERROR(VLOOKUP(N$2,Rango_Admin_DailyPred,MATCH($F13,Rango_Admin_DailyPred_Primera,0),0),"-")</f>
        <v>Oyarzabal</v>
      </c>
      <c r="O13" s="429" t="str">
        <f ca="1">IFERROR(VLOOKUP(O$2,Rango_Admin_DailyPred,MATCH($F13,Rango_Admin_DailyPred_Primera,0),0),"-")</f>
        <v>Cristiano Ronaldo</v>
      </c>
      <c r="P13" s="429" t="str">
        <f ca="1">IFERROR(VLOOKUP(P$2,Rango_Admin_DailyPred,MATCH($F13,Rango_Admin_DailyPred_Primera,0),0),"-")</f>
        <v>Mbappe</v>
      </c>
      <c r="Q13" s="429" t="str">
        <f ca="1">IFERROR(VLOOKUP(Q$2,Rango_Admin_DailyPred,MATCH($F13,Rango_Admin_DailyPred_Primera,0),0),"-")</f>
        <v>Jude Bellingham</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8" t="str" cm="1">
        <f t="array" aca="1" ref="A14" ca="1">IFERROR(INDEX(ADMIN!$K$6:$K$258,SMALL(IF(ADMIN!$G$6:$G$258=$J$1,ROW(ADMIN!$G$6:$G$258)-ROW(ADMIN!$G$6)+1),ROWS($A$1:A11))),"")</f>
        <v>Balón de Bronce (3º mejor jugador)</v>
      </c>
      <c r="B14" s="8" t="str">
        <f t="shared" ca="1" si="0"/>
        <v>Balón de Bronce (3º mejor jugador)
 (Mbappe)</v>
      </c>
      <c r="C14" s="8" t="str" cm="1">
        <f t="array" aca="1" ref="C14" ca="1">IFERROR(IF(INDEX(ADMIN!$M$6:$M$258,SMALL(IF(ADMIN!$G$6:$G$258=$J$1,ROW(ADMIN!$G$6:$G$258)-ROW(ADMIN!$G$6)+1),ROWS($A$1:A11)))="-", "", " ("&amp;INDEX(ADMIN!$M$6:$M$258,SMALL(IF(ADMIN!$G$6:$G$258=$J$1,ROW(ADMIN!$G$6:$G$258)-ROW(ADMIN!$G$6)+1),ROWS($A$1:A11)))&amp;")"),"")</f>
        <v xml:space="preserve"> (Mbappe)</v>
      </c>
      <c r="D14" s="8" cm="1">
        <f t="array" aca="1" ref="D14" ca="1">IFERROR(IF($J$1&gt;=20,INDEX(ADMIN!$C$6:$C$258,SMALL(IF(ADMIN!$G$6:$G$258=$J$1,ROW(ADMIN!$G$6:$G$258)-ROW(ADMIN!$G$6)+1),ROWS($D$1:D11))),""),"")</f>
        <v>0</v>
      </c>
      <c r="E14" s="19">
        <f t="shared" si="1"/>
        <v>39</v>
      </c>
      <c r="F14" s="448" t="str" cm="1">
        <f t="array" ref="F14">IFERROR(INDEX(Rango_Admin_DailyPred_Primera,1,E14),"-")</f>
        <v>Fercho Muro Matosex</v>
      </c>
      <c r="G14" s="429" t="str">
        <f ca="1">IFERROR(VLOOKUP(G$2,Rango_Admin_DailyPred,MATCH($F14,Rango_Admin_DailyPred_Primera,0),0),"-")</f>
        <v>España-Brasil·1|1-0</v>
      </c>
      <c r="H14" s="429" t="str">
        <f ca="1">IFERROR(VLOOKUP(H$2,Rango_Admin_DailyPred,MATCH($F14,Rango_Admin_DailyPred_Primera,0),0),"-")</f>
        <v>Francia-Portugal·X|1-1</v>
      </c>
      <c r="I14" s="429" t="str">
        <f ca="1">IFERROR(VLOOKUP(I$2,Rango_Admin_DailyPred,MATCH($F14,Rango_Admin_DailyPred_Primera,0),0),"-")</f>
        <v>Portugal</v>
      </c>
      <c r="J14" s="429" t="str">
        <f ca="1">IFERROR(VLOOKUP(J$2,Rango_Admin_DailyPred,MATCH($F14,Rango_Admin_DailyPred_Primera,0),0),"-")</f>
        <v>Francia</v>
      </c>
      <c r="K14" s="429" t="str">
        <f ca="1">IFERROR(VLOOKUP(K$2,Rango_Admin_DailyPred,MATCH($F14,Rango_Admin_DailyPred_Primera,0),0),"-")</f>
        <v>España</v>
      </c>
      <c r="L14" s="429" t="str">
        <f ca="1">IFERROR(VLOOKUP(L$2,Rango_Admin_DailyPred,MATCH($F14,Rango_Admin_DailyPred_Primera,0),0),"-")</f>
        <v>Mbappe</v>
      </c>
      <c r="M14" s="429" t="str">
        <f ca="1">IFERROR(VLOOKUP(M$2,Rango_Admin_DailyPred,MATCH($F14,Rango_Admin_DailyPred_Primera,0),0),"-")</f>
        <v>Cristiano Ronaldo</v>
      </c>
      <c r="N14" s="429" t="str">
        <f ca="1">IFERROR(VLOOKUP(N$2,Rango_Admin_DailyPred,MATCH($F14,Rango_Admin_DailyPred_Primera,0),0),"-")</f>
        <v>Oyarzabal</v>
      </c>
      <c r="O14" s="429" t="str">
        <f ca="1">IFERROR(VLOOKUP(O$2,Rango_Admin_DailyPred,MATCH($F14,Rango_Admin_DailyPred_Primera,0),0),"-")</f>
        <v>Cristiano Ronaldo</v>
      </c>
      <c r="P14" s="429" t="str">
        <f ca="1">IFERROR(VLOOKUP(P$2,Rango_Admin_DailyPred,MATCH($F14,Rango_Admin_DailyPred_Primera,0),0),"-")</f>
        <v>Mbappe</v>
      </c>
      <c r="Q14" s="429" t="str">
        <f ca="1">IFERROR(VLOOKUP(Q$2,Rango_Admin_DailyPred,MATCH($F14,Rango_Admin_DailyPred_Primera,0),0),"-")</f>
        <v>Vitinha</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8" t="str" cm="1">
        <f t="array" aca="1" ref="A15" ca="1">IFERROR(INDEX(ADMIN!$K$6:$K$258,SMALL(IF(ADMIN!$G$6:$G$258=$J$1,ROW(ADMIN!$G$6:$G$258)-ROW(ADMIN!$G$6)+1),ROWS($A$1:A12))),"")</f>
        <v/>
      </c>
      <c r="B15" s="8" t="str">
        <f t="shared" ca="1" si="0"/>
        <v xml:space="preserve">
</v>
      </c>
      <c r="C15" s="8" t="str" cm="1">
        <f t="array" aca="1" ref="C15" ca="1">IFERROR(IF(INDEX(ADMIN!$M$6:$M$258,SMALL(IF(ADMIN!$G$6:$G$258=$J$1,ROW(ADMIN!$G$6:$G$258)-ROW(ADMIN!$G$6)+1),ROWS($A$1:A12)))="-", "", " ("&amp;INDEX(ADMIN!$M$6:$M$258,SMALL(IF(ADMIN!$G$6:$G$258=$J$1,ROW(ADMIN!$G$6:$G$258)-ROW(ADMIN!$G$6)+1),ROWS($A$1:A12)))&amp;")"),"")</f>
        <v/>
      </c>
      <c r="D15" s="8" t="str" cm="1">
        <f t="array" aca="1" ref="D15" ca="1">IFERROR(IF($J$1&gt;=20,INDEX(ADMIN!$C$6:$C$258,SMALL(IF(ADMIN!$G$6:$G$258=$J$1,ROW(ADMIN!$G$6:$G$258)-ROW(ADMIN!$G$6)+1),ROWS($D$1:D12))),""),"")</f>
        <v/>
      </c>
      <c r="E15" s="19">
        <f t="shared" si="1"/>
        <v>42</v>
      </c>
      <c r="F15" s="448" t="str" cm="1">
        <f t="array" ref="F15">IFERROR(INDEX(Rango_Admin_DailyPred_Primera,1,E15),"-")</f>
        <v>Guillermo Murciano</v>
      </c>
      <c r="G15" s="429" t="str">
        <f ca="1">IFERROR(VLOOKUP(G$2,Rango_Admin_DailyPred,MATCH($F15,Rango_Admin_DailyPred_Primera,0),0),"-")</f>
        <v>Francia-Brasil·2|1-2</v>
      </c>
      <c r="H15" s="429" t="str">
        <f ca="1">IFERROR(VLOOKUP(H$2,Rango_Admin_DailyPred,MATCH($F15,Rango_Admin_DailyPred_Primera,0),0),"-")</f>
        <v>España-Portugal·1|1-0</v>
      </c>
      <c r="I15" s="429" t="str">
        <f ca="1">IFERROR(VLOOKUP(I$2,Rango_Admin_DailyPred,MATCH($F15,Rango_Admin_DailyPred_Primera,0),0),"-")</f>
        <v>España</v>
      </c>
      <c r="J15" s="429" t="str">
        <f ca="1">IFERROR(VLOOKUP(J$2,Rango_Admin_DailyPred,MATCH($F15,Rango_Admin_DailyPred_Primera,0),0),"-")</f>
        <v>Portugal</v>
      </c>
      <c r="K15" s="429" t="str">
        <f ca="1">IFERROR(VLOOKUP(K$2,Rango_Admin_DailyPred,MATCH($F15,Rango_Admin_DailyPred_Primera,0),0),"-")</f>
        <v>Brasil</v>
      </c>
      <c r="L15" s="429" t="str">
        <f ca="1">IFERROR(VLOOKUP(L$2,Rango_Admin_DailyPred,MATCH($F15,Rango_Admin_DailyPred_Primera,0),0),"-")</f>
        <v>Cristiano Ronaldo</v>
      </c>
      <c r="M15" s="429" t="str">
        <f ca="1">IFERROR(VLOOKUP(M$2,Rango_Admin_DailyPred,MATCH($F15,Rango_Admin_DailyPred_Primera,0),0),"-")</f>
        <v>Mbappe</v>
      </c>
      <c r="N15" s="429" t="str">
        <f ca="1">IFERROR(VLOOKUP(N$2,Rango_Admin_DailyPred,MATCH($F15,Rango_Admin_DailyPred_Primera,0),0),"-")</f>
        <v>Vinicius jr</v>
      </c>
      <c r="O15" s="429" t="str">
        <f ca="1">IFERROR(VLOOKUP(O$2,Rango_Admin_DailyPred,MATCH($F15,Rango_Admin_DailyPred_Primera,0),0),"-")</f>
        <v>Pedri</v>
      </c>
      <c r="P15" s="429" t="str">
        <f ca="1">IFERROR(VLOOKUP(P$2,Rango_Admin_DailyPred,MATCH($F15,Rango_Admin_DailyPred_Primera,0),0),"-")</f>
        <v>Vitinha</v>
      </c>
      <c r="Q15" s="429" t="str">
        <f ca="1">IFERROR(VLOOKUP(Q$2,Rango_Admin_DailyPred,MATCH($F15,Rango_Admin_DailyPred_Primera,0),0),"-")</f>
        <v>Yamal</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8" t="str" cm="1">
        <f t="array" aca="1" ref="A16" ca="1">IFERROR(INDEX(ADMIN!$K$6:$K$258,SMALL(IF(ADMIN!$G$6:$G$258=$J$1,ROW(ADMIN!$G$6:$G$258)-ROW(ADMIN!$G$6)+1),ROWS($A$1:A13))),"")</f>
        <v/>
      </c>
      <c r="B16" s="8" t="str">
        <f t="shared" ca="1" si="0"/>
        <v xml:space="preserve">
</v>
      </c>
      <c r="C16" s="8" t="str" cm="1">
        <f t="array" aca="1" ref="C16" ca="1">IFERROR(IF(INDEX(ADMIN!$M$6:$M$258,SMALL(IF(ADMIN!$G$6:$G$258=$J$1,ROW(ADMIN!$G$6:$G$258)-ROW(ADMIN!$G$6)+1),ROWS($A$1:A13)))="-", "", " ("&amp;INDEX(ADMIN!$M$6:$M$258,SMALL(IF(ADMIN!$G$6:$G$258=$J$1,ROW(ADMIN!$G$6:$G$258)-ROW(ADMIN!$G$6)+1),ROWS($A$1:A13)))&amp;")"),"")</f>
        <v/>
      </c>
      <c r="D16" s="8" t="str" cm="1">
        <f t="array" aca="1" ref="D16" ca="1">IFERROR(IF($J$1&gt;=20,INDEX(ADMIN!$C$6:$C$258,SMALL(IF(ADMIN!$G$6:$G$258=$J$1,ROW(ADMIN!$G$6:$G$258)-ROW(ADMIN!$G$6)+1),ROWS($D$1:D13))),""),"")</f>
        <v/>
      </c>
      <c r="E16" s="19">
        <f t="shared" si="1"/>
        <v>45</v>
      </c>
      <c r="F16" s="448" t="str" cm="1">
        <f t="array" ref="F16">IFERROR(INDEX(Rango_Admin_DailyPred_Primera,1,E16),"-")</f>
        <v>Ignacio de Lecea</v>
      </c>
      <c r="G16" s="429" t="str">
        <f ca="1">IFERROR(VLOOKUP(G$2,Rango_Admin_DailyPred,MATCH($F16,Rango_Admin_DailyPred_Primera,0),0),"-")</f>
        <v>Francia-Portugal·2|0-2</v>
      </c>
      <c r="H16" s="429" t="str">
        <f ca="1">IFERROR(VLOOKUP(H$2,Rango_Admin_DailyPred,MATCH($F16,Rango_Admin_DailyPred_Primera,0),0),"-")</f>
        <v>España-Brasil·2|1-3</v>
      </c>
      <c r="I16" s="429" t="str">
        <f ca="1">IFERROR(VLOOKUP(I$2,Rango_Admin_DailyPred,MATCH($F16,Rango_Admin_DailyPred_Primera,0),0),"-")</f>
        <v>Brasil</v>
      </c>
      <c r="J16" s="429" t="str">
        <f ca="1">IFERROR(VLOOKUP(J$2,Rango_Admin_DailyPred,MATCH($F16,Rango_Admin_DailyPred_Primera,0),0),"-")</f>
        <v>España</v>
      </c>
      <c r="K16" s="429" t="str">
        <f ca="1">IFERROR(VLOOKUP(K$2,Rango_Admin_DailyPred,MATCH($F16,Rango_Admin_DailyPred_Primera,0),0),"-")</f>
        <v>Portugal</v>
      </c>
      <c r="L16" s="429" t="str">
        <f ca="1">IFERROR(VLOOKUP(L$2,Rango_Admin_DailyPred,MATCH($F16,Rango_Admin_DailyPred_Primera,0),0),"-")</f>
        <v>Vinicius Jr</v>
      </c>
      <c r="M16" s="429" t="str">
        <f ca="1">IFERROR(VLOOKUP(M$2,Rango_Admin_DailyPred,MATCH($F16,Rango_Admin_DailyPred_Primera,0),0),"-")</f>
        <v>Cristiano Ronaldo</v>
      </c>
      <c r="N16" s="429" t="str">
        <f ca="1">IFERROR(VLOOKUP(N$2,Rango_Admin_DailyPred,MATCH($F16,Rango_Admin_DailyPred_Primera,0),0),"-")</f>
        <v>Mbappe</v>
      </c>
      <c r="O16" s="429" t="str">
        <f ca="1">IFERROR(VLOOKUP(O$2,Rango_Admin_DailyPred,MATCH($F16,Rango_Admin_DailyPred_Primera,0),0),"-")</f>
        <v>Yamal</v>
      </c>
      <c r="P16" s="429" t="str">
        <f ca="1">IFERROR(VLOOKUP(P$2,Rango_Admin_DailyPred,MATCH($F16,Rango_Admin_DailyPred_Primera,0),0),"-")</f>
        <v>Vinicius Jr</v>
      </c>
      <c r="Q16" s="429" t="str">
        <f ca="1">IFERROR(VLOOKUP(Q$2,Rango_Admin_DailyPred,MATCH($F16,Rango_Admin_DailyPred_Primera,0),0),"-")</f>
        <v>Endrick</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8" t="str" cm="1">
        <f t="array" aca="1" ref="A17" ca="1">IFERROR(INDEX(ADMIN!$K$6:$K$258,SMALL(IF(ADMIN!$G$6:$G$258=$J$1,ROW(ADMIN!$G$6:$G$258)-ROW(ADMIN!$G$6)+1),ROWS($A$1:A14))),"")</f>
        <v/>
      </c>
      <c r="B17" s="8" t="str">
        <f t="shared" ca="1" si="0"/>
        <v xml:space="preserve">
</v>
      </c>
      <c r="C17" s="8" t="str" cm="1">
        <f t="array" aca="1" ref="C17" ca="1">IFERROR(IF(INDEX(ADMIN!$M$6:$M$258,SMALL(IF(ADMIN!$G$6:$G$258=$J$1,ROW(ADMIN!$G$6:$G$258)-ROW(ADMIN!$G$6)+1),ROWS($A$1:A14)))="-", "", " ("&amp;INDEX(ADMIN!$M$6:$M$258,SMALL(IF(ADMIN!$G$6:$G$258=$J$1,ROW(ADMIN!$G$6:$G$258)-ROW(ADMIN!$G$6)+1),ROWS($A$1:A14)))&amp;")"),"")</f>
        <v/>
      </c>
      <c r="D17" s="8" t="str" cm="1">
        <f t="array" aca="1" ref="D17" ca="1">IFERROR(IF($J$1&gt;=20,INDEX(ADMIN!$C$6:$C$258,SMALL(IF(ADMIN!$G$6:$G$258=$J$1,ROW(ADMIN!$G$6:$G$258)-ROW(ADMIN!$G$6)+1),ROWS($D$1:D14))),""),"")</f>
        <v/>
      </c>
      <c r="E17" s="19">
        <f t="shared" si="1"/>
        <v>48</v>
      </c>
      <c r="F17" s="448" t="str" cm="1">
        <f t="array" ref="F17">IFERROR(INDEX(Rango_Admin_DailyPred_Primera,1,E17),"-")</f>
        <v>JCU</v>
      </c>
      <c r="G17" s="429" t="str">
        <f ca="1">IFERROR(VLOOKUP(G$2,Rango_Admin_DailyPred,MATCH($F17,Rango_Admin_DailyPred_Primera,0),0),"-")</f>
        <v>Francia-Inglaterra·1|2-1</v>
      </c>
      <c r="H17" s="429" t="str">
        <f ca="1">IFERROR(VLOOKUP(H$2,Rango_Admin_DailyPred,MATCH($F17,Rango_Admin_DailyPred_Primera,0),0),"-")</f>
        <v>España-Argentina·1|2-1</v>
      </c>
      <c r="I17" s="429" t="str">
        <f ca="1">IFERROR(VLOOKUP(I$2,Rango_Admin_DailyPred,MATCH($F17,Rango_Admin_DailyPred_Primera,0),0),"-")</f>
        <v>España</v>
      </c>
      <c r="J17" s="429" t="str">
        <f ca="1">IFERROR(VLOOKUP(J$2,Rango_Admin_DailyPred,MATCH($F17,Rango_Admin_DailyPred_Primera,0),0),"-")</f>
        <v>Argentina</v>
      </c>
      <c r="K17" s="429" t="str">
        <f ca="1">IFERROR(VLOOKUP(K$2,Rango_Admin_DailyPred,MATCH($F17,Rango_Admin_DailyPred_Primera,0),0),"-")</f>
        <v>Francia</v>
      </c>
      <c r="L17" s="429" t="str">
        <f ca="1">IFERROR(VLOOKUP(L$2,Rango_Admin_DailyPred,MATCH($F17,Rango_Admin_DailyPred_Primera,0),0),"-")</f>
        <v>Mbappe</v>
      </c>
      <c r="M17" s="429" t="str">
        <f ca="1">IFERROR(VLOOKUP(M$2,Rango_Admin_DailyPred,MATCH($F17,Rango_Admin_DailyPred_Primera,0),0),"-")</f>
        <v>Kane</v>
      </c>
      <c r="N17" s="429" t="str">
        <f ca="1">IFERROR(VLOOKUP(N$2,Rango_Admin_DailyPred,MATCH($F17,Rango_Admin_DailyPred_Primera,0),0),"-")</f>
        <v>Yamal</v>
      </c>
      <c r="O17" s="429" t="str">
        <f ca="1">IFERROR(VLOOKUP(O$2,Rango_Admin_DailyPred,MATCH($F17,Rango_Admin_DailyPred_Primera,0),0),"-")</f>
        <v>Yamal</v>
      </c>
      <c r="P17" s="429" t="str">
        <f ca="1">IFERROR(VLOOKUP(P$2,Rango_Admin_DailyPred,MATCH($F17,Rango_Admin_DailyPred_Primera,0),0),"-")</f>
        <v>Messi</v>
      </c>
      <c r="Q17" s="429" t="str">
        <f ca="1">IFERROR(VLOOKUP(Q$2,Rango_Admin_DailyPred,MATCH($F17,Rango_Admin_DailyPred_Primera,0),0),"-")</f>
        <v>Pedri</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8" t="str" cm="1">
        <f t="array" aca="1" ref="A18" ca="1">IFERROR(INDEX(ADMIN!$K$6:$K$258,SMALL(IF(ADMIN!$G$6:$G$258=$J$1,ROW(ADMIN!$G$6:$G$258)-ROW(ADMIN!$G$6)+1),ROWS($A$1:A15))),"")</f>
        <v/>
      </c>
      <c r="B18" s="8" t="str">
        <f t="shared" ca="1" si="0"/>
        <v xml:space="preserve">
</v>
      </c>
      <c r="C18" s="8" t="str" cm="1">
        <f t="array" aca="1" ref="C18" ca="1">IFERROR(IF(INDEX(ADMIN!$M$6:$M$258,SMALL(IF(ADMIN!$G$6:$G$258=$J$1,ROW(ADMIN!$G$6:$G$258)-ROW(ADMIN!$G$6)+1),ROWS($A$1:A15)))="-", "", " ("&amp;INDEX(ADMIN!$M$6:$M$258,SMALL(IF(ADMIN!$G$6:$G$258=$J$1,ROW(ADMIN!$G$6:$G$258)-ROW(ADMIN!$G$6)+1),ROWS($A$1:A15)))&amp;")"),"")</f>
        <v/>
      </c>
      <c r="D18" s="8" t="str" cm="1">
        <f t="array" aca="1" ref="D18" ca="1">IFERROR(IF($J$1&gt;=20,INDEX(ADMIN!$C$6:$C$258,SMALL(IF(ADMIN!$G$6:$G$258=$J$1,ROW(ADMIN!$G$6:$G$258)-ROW(ADMIN!$G$6)+1),ROWS($D$1:D15))),""),"")</f>
        <v/>
      </c>
      <c r="E18" s="19">
        <f t="shared" si="1"/>
        <v>51</v>
      </c>
      <c r="F18" s="448" t="str" cm="1">
        <f t="array" ref="F18">IFERROR(INDEX(Rango_Admin_DailyPred_Primera,1,E18),"-")</f>
        <v>Joserra</v>
      </c>
      <c r="G18" s="429" t="str">
        <f ca="1">IFERROR(VLOOKUP(G$2,Rango_Admin_DailyPred,MATCH($F18,Rango_Admin_DailyPred_Primera,0),0),"-")</f>
        <v>Francia-Portugal·2|1-2</v>
      </c>
      <c r="H18" s="429" t="str">
        <f ca="1">IFERROR(VLOOKUP(H$2,Rango_Admin_DailyPred,MATCH($F18,Rango_Admin_DailyPred_Primera,0),0),"-")</f>
        <v>España-Brasil·1|3-1</v>
      </c>
      <c r="I18" s="429" t="str">
        <f ca="1">IFERROR(VLOOKUP(I$2,Rango_Admin_DailyPred,MATCH($F18,Rango_Admin_DailyPred_Primera,0),0),"-")</f>
        <v>España</v>
      </c>
      <c r="J18" s="429" t="str">
        <f ca="1">IFERROR(VLOOKUP(J$2,Rango_Admin_DailyPred,MATCH($F18,Rango_Admin_DailyPred_Primera,0),0),"-")</f>
        <v>Brasil</v>
      </c>
      <c r="K18" s="429" t="str">
        <f ca="1">IFERROR(VLOOKUP(K$2,Rango_Admin_DailyPred,MATCH($F18,Rango_Admin_DailyPred_Primera,0),0),"-")</f>
        <v>Portugal</v>
      </c>
      <c r="L18" s="429" t="str">
        <f ca="1">IFERROR(VLOOKUP(L$2,Rango_Admin_DailyPred,MATCH($F18,Rango_Admin_DailyPred_Primera,0),0),"-")</f>
        <v>Kane</v>
      </c>
      <c r="M18" s="429" t="str">
        <f ca="1">IFERROR(VLOOKUP(M$2,Rango_Admin_DailyPred,MATCH($F18,Rango_Admin_DailyPred_Primera,0),0),"-")</f>
        <v>Haaland</v>
      </c>
      <c r="N18" s="429" t="str">
        <f ca="1">IFERROR(VLOOKUP(N$2,Rango_Admin_DailyPred,MATCH($F18,Rango_Admin_DailyPred_Primera,0),0),"-")</f>
        <v>Oyarzabal</v>
      </c>
      <c r="O18" s="429" t="str">
        <f ca="1">IFERROR(VLOOKUP(O$2,Rango_Admin_DailyPred,MATCH($F18,Rango_Admin_DailyPred_Primera,0),0),"-")</f>
        <v>Yamal</v>
      </c>
      <c r="P18" s="429" t="str">
        <f ca="1">IFERROR(VLOOKUP(P$2,Rango_Admin_DailyPred,MATCH($F18,Rango_Admin_DailyPred_Primera,0),0),"-")</f>
        <v>Vinicius JR</v>
      </c>
      <c r="Q18" s="429" t="str">
        <f ca="1">IFERROR(VLOOKUP(Q$2,Rango_Admin_DailyPred,MATCH($F18,Rango_Admin_DailyPred_Primera,0),0),"-")</f>
        <v>Pedri</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8" t="str" cm="1">
        <f t="array" aca="1" ref="A19" ca="1">IFERROR(INDEX(ADMIN!$K$6:$K$258,SMALL(IF(ADMIN!$G$6:$G$258=$J$1,ROW(ADMIN!$G$6:$G$258)-ROW(ADMIN!$G$6)+1),ROWS($A$1:A16))),"")</f>
        <v/>
      </c>
      <c r="B19" s="8" t="str">
        <f t="shared" ca="1" si="0"/>
        <v xml:space="preserve">
</v>
      </c>
      <c r="C19" s="8" t="str" cm="1">
        <f t="array" aca="1" ref="C19" ca="1">IFERROR(IF(INDEX(ADMIN!$M$6:$M$258,SMALL(IF(ADMIN!$G$6:$G$258=$J$1,ROW(ADMIN!$G$6:$G$258)-ROW(ADMIN!$G$6)+1),ROWS($A$1:A16)))="-", "", " ("&amp;INDEX(ADMIN!$M$6:$M$258,SMALL(IF(ADMIN!$G$6:$G$258=$J$1,ROW(ADMIN!$G$6:$G$258)-ROW(ADMIN!$G$6)+1),ROWS($A$1:A16)))&amp;")"),"")</f>
        <v/>
      </c>
      <c r="D19" s="8" t="str" cm="1">
        <f t="array" aca="1" ref="D19" ca="1">IFERROR(IF($J$1&gt;=20,INDEX(ADMIN!$C$6:$C$258,SMALL(IF(ADMIN!$G$6:$G$258=$J$1,ROW(ADMIN!$G$6:$G$258)-ROW(ADMIN!$G$6)+1),ROWS($D$1:D16))),""),"")</f>
        <v/>
      </c>
      <c r="E19" s="19">
        <f t="shared" si="1"/>
        <v>54</v>
      </c>
      <c r="F19" s="448" t="str" cm="1">
        <f t="array" ref="F19">IFERROR(INDEX(Rango_Admin_DailyPred_Primera,1,E19),"-")</f>
        <v>Migay Marcos</v>
      </c>
      <c r="G19" s="429" t="str">
        <f ca="1">IFERROR(VLOOKUP(G$2,Rango_Admin_DailyPred,MATCH($F19,Rango_Admin_DailyPred_Primera,0),0),"-")</f>
        <v>Francia-Inglaterra·1|2-1</v>
      </c>
      <c r="H19" s="429" t="str">
        <f ca="1">IFERROR(VLOOKUP(H$2,Rango_Admin_DailyPred,MATCH($F19,Rango_Admin_DailyPred_Primera,0),0),"-")</f>
        <v>España-Argentina·1|2-1</v>
      </c>
      <c r="I19" s="429" t="str">
        <f ca="1">IFERROR(VLOOKUP(I$2,Rango_Admin_DailyPred,MATCH($F19,Rango_Admin_DailyPred_Primera,0),0),"-")</f>
        <v>España</v>
      </c>
      <c r="J19" s="429" t="str">
        <f ca="1">IFERROR(VLOOKUP(J$2,Rango_Admin_DailyPred,MATCH($F19,Rango_Admin_DailyPred_Primera,0),0),"-")</f>
        <v>Argentina</v>
      </c>
      <c r="K19" s="429" t="str">
        <f ca="1">IFERROR(VLOOKUP(K$2,Rango_Admin_DailyPred,MATCH($F19,Rango_Admin_DailyPred_Primera,0),0),"-")</f>
        <v>Francia</v>
      </c>
      <c r="L19" s="429" t="str">
        <f ca="1">IFERROR(VLOOKUP(L$2,Rango_Admin_DailyPred,MATCH($F19,Rango_Admin_DailyPred_Primera,0),0),"-")</f>
        <v>Mbappe</v>
      </c>
      <c r="M19" s="429" t="str">
        <f ca="1">IFERROR(VLOOKUP(M$2,Rango_Admin_DailyPred,MATCH($F19,Rango_Admin_DailyPred_Primera,0),0),"-")</f>
        <v>Julián Álvarez</v>
      </c>
      <c r="N19" s="429" t="str">
        <f ca="1">IFERROR(VLOOKUP(N$2,Rango_Admin_DailyPred,MATCH($F19,Rango_Admin_DailyPred_Primera,0),0),"-")</f>
        <v>Yamal</v>
      </c>
      <c r="O19" s="429" t="str">
        <f ca="1">IFERROR(VLOOKUP(O$2,Rango_Admin_DailyPred,MATCH($F19,Rango_Admin_DailyPred_Primera,0),0),"-")</f>
        <v>Yamal</v>
      </c>
      <c r="P19" s="429" t="str">
        <f ca="1">IFERROR(VLOOKUP(P$2,Rango_Admin_DailyPred,MATCH($F19,Rango_Admin_DailyPred_Primera,0),0),"-")</f>
        <v>Julián Álvarez</v>
      </c>
      <c r="Q19" s="429" t="str">
        <f ca="1">IFERROR(VLOOKUP(Q$2,Rango_Admin_DailyPred,MATCH($F19,Rango_Admin_DailyPred_Primera,0),0),"-")</f>
        <v>Mbappe</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8" t="str" cm="1">
        <f t="array" aca="1" ref="A20" ca="1">IFERROR(INDEX(ADMIN!$K$6:$K$258,SMALL(IF(ADMIN!$G$6:$G$258=$J$1,ROW(ADMIN!$G$6:$G$258)-ROW(ADMIN!$G$6)+1),ROWS($A$1:A17))),"")</f>
        <v/>
      </c>
      <c r="B20" s="8" t="str">
        <f t="shared" ca="1" si="0"/>
        <v xml:space="preserve">
</v>
      </c>
      <c r="C20" s="8" t="str" cm="1">
        <f t="array" aca="1" ref="C20" ca="1">IFERROR(IF(INDEX(ADMIN!$M$6:$M$258,SMALL(IF(ADMIN!$G$6:$G$258=$J$1,ROW(ADMIN!$G$6:$G$258)-ROW(ADMIN!$G$6)+1),ROWS($A$1:A17)))="-", "", " ("&amp;INDEX(ADMIN!$M$6:$M$258,SMALL(IF(ADMIN!$G$6:$G$258=$J$1,ROW(ADMIN!$G$6:$G$258)-ROW(ADMIN!$G$6)+1),ROWS($A$1:A17)))&amp;")"),"")</f>
        <v/>
      </c>
      <c r="D20" s="8" t="str" cm="1">
        <f t="array" aca="1" ref="D20" ca="1">IFERROR(IF($J$1&gt;=20,INDEX(ADMIN!$C$6:$C$258,SMALL(IF(ADMIN!$G$6:$G$258=$J$1,ROW(ADMIN!$G$6:$G$258)-ROW(ADMIN!$G$6)+1),ROWS($D$1:D17))),""),"")</f>
        <v/>
      </c>
      <c r="E20" s="19">
        <f t="shared" si="1"/>
        <v>57</v>
      </c>
      <c r="F20" s="448" t="str" cm="1">
        <f t="array" ref="F20">IFERROR(INDEX(Rango_Admin_DailyPred_Primera,1,E20),"-")</f>
        <v>Antonio del Ojo</v>
      </c>
      <c r="G20" s="429" t="str">
        <f ca="1">IFERROR(VLOOKUP(G$2,Rango_Admin_DailyPred,MATCH($F20,Rango_Admin_DailyPred_Primera,0),0),"-")</f>
        <v>Francia-Inglaterra·1|2-1</v>
      </c>
      <c r="H20" s="429" t="str">
        <f ca="1">IFERROR(VLOOKUP(H$2,Rango_Admin_DailyPred,MATCH($F20,Rango_Admin_DailyPred_Primera,0),0),"-")</f>
        <v>España-Portugal·1|2-1</v>
      </c>
      <c r="I20" s="429" t="str">
        <f ca="1">IFERROR(VLOOKUP(I$2,Rango_Admin_DailyPred,MATCH($F20,Rango_Admin_DailyPred_Primera,0),0),"-")</f>
        <v>España</v>
      </c>
      <c r="J20" s="429" t="str">
        <f ca="1">IFERROR(VLOOKUP(J$2,Rango_Admin_DailyPred,MATCH($F20,Rango_Admin_DailyPred_Primera,0),0),"-")</f>
        <v>Portugal</v>
      </c>
      <c r="K20" s="429" t="str">
        <f ca="1">IFERROR(VLOOKUP(K$2,Rango_Admin_DailyPred,MATCH($F20,Rango_Admin_DailyPred_Primera,0),0),"-")</f>
        <v>Francia</v>
      </c>
      <c r="L20" s="429" t="str">
        <f ca="1">IFERROR(VLOOKUP(L$2,Rango_Admin_DailyPred,MATCH($F20,Rango_Admin_DailyPred_Primera,0),0),"-")</f>
        <v>Mbappe</v>
      </c>
      <c r="M20" s="429" t="str">
        <f ca="1">IFERROR(VLOOKUP(M$2,Rango_Admin_DailyPred,MATCH($F20,Rango_Admin_DailyPred_Primera,0),0),"-")</f>
        <v>Kane</v>
      </c>
      <c r="N20" s="429" t="str">
        <f ca="1">IFERROR(VLOOKUP(N$2,Rango_Admin_DailyPred,MATCH($F20,Rango_Admin_DailyPred_Primera,0),0),"-")</f>
        <v>Oyarzabal</v>
      </c>
      <c r="O20" s="429" t="str">
        <f ca="1">IFERROR(VLOOKUP(O$2,Rango_Admin_DailyPred,MATCH($F20,Rango_Admin_DailyPred_Primera,0),0),"-")</f>
        <v>Lamine Yamal</v>
      </c>
      <c r="P20" s="429" t="str">
        <f ca="1">IFERROR(VLOOKUP(P$2,Rango_Admin_DailyPred,MATCH($F20,Rango_Admin_DailyPred_Primera,0),0),"-")</f>
        <v>Fernandes</v>
      </c>
      <c r="Q20" s="429" t="str">
        <f ca="1">IFERROR(VLOOKUP(Q$2,Rango_Admin_DailyPred,MATCH($F20,Rango_Admin_DailyPred_Primera,0),0),"-")</f>
        <v>Mbappe</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8" t="str" cm="1">
        <f t="array" aca="1" ref="A21" ca="1">IFERROR(INDEX(ADMIN!$K$6:$K$258,SMALL(IF(ADMIN!$G$6:$G$258=$J$1,ROW(ADMIN!$G$6:$G$258)-ROW(ADMIN!$G$6)+1),ROWS($A$1:A18))),"")</f>
        <v/>
      </c>
      <c r="B21" s="8" t="str">
        <f t="shared" ca="1" si="0"/>
        <v xml:space="preserve">
</v>
      </c>
      <c r="C21" s="8" t="str" cm="1">
        <f t="array" aca="1" ref="C21" ca="1">IFERROR(IF(INDEX(ADMIN!$M$6:$M$258,SMALL(IF(ADMIN!$G$6:$G$258=$J$1,ROW(ADMIN!$G$6:$G$258)-ROW(ADMIN!$G$6)+1),ROWS($A$1:A18)))="-", "", " ("&amp;INDEX(ADMIN!$M$6:$M$258,SMALL(IF(ADMIN!$G$6:$G$258=$J$1,ROW(ADMIN!$G$6:$G$258)-ROW(ADMIN!$G$6)+1),ROWS($A$1:A18)))&amp;")"),"")</f>
        <v/>
      </c>
      <c r="D21" s="8" t="str" cm="1">
        <f t="array" aca="1" ref="D21" ca="1">IFERROR(IF($J$1&gt;=20,INDEX(ADMIN!$C$6:$C$258,SMALL(IF(ADMIN!$G$6:$G$258=$J$1,ROW(ADMIN!$G$6:$G$258)-ROW(ADMIN!$G$6)+1),ROWS($D$1:D18))),""),"")</f>
        <v/>
      </c>
      <c r="E21" s="19">
        <f t="shared" si="1"/>
        <v>60</v>
      </c>
      <c r="F21" s="448" t="str" cm="1">
        <f t="array" ref="F21">IFERROR(INDEX(Rango_Admin_DailyPred_Primera,1,E21),"-")</f>
        <v>MURO 204</v>
      </c>
      <c r="G21" s="429" t="str">
        <f ca="1">IFERROR(VLOOKUP(G$2,Rango_Admin_DailyPred,MATCH($F21,Rango_Admin_DailyPred_Primera,0),0),"-")</f>
        <v>Francia-Brasil·2|1-2</v>
      </c>
      <c r="H21" s="429" t="str">
        <f ca="1">IFERROR(VLOOKUP(H$2,Rango_Admin_DailyPred,MATCH($F21,Rango_Admin_DailyPred_Primera,0),0),"-")</f>
        <v>España-Portugal·2|1-2</v>
      </c>
      <c r="I21" s="429" t="str">
        <f ca="1">IFERROR(VLOOKUP(I$2,Rango_Admin_DailyPred,MATCH($F21,Rango_Admin_DailyPred_Primera,0),0),"-")</f>
        <v>Portugal</v>
      </c>
      <c r="J21" s="429" t="str">
        <f ca="1">IFERROR(VLOOKUP(J$2,Rango_Admin_DailyPred,MATCH($F21,Rango_Admin_DailyPred_Primera,0),0),"-")</f>
        <v>España</v>
      </c>
      <c r="K21" s="429" t="str">
        <f ca="1">IFERROR(VLOOKUP(K$2,Rango_Admin_DailyPred,MATCH($F21,Rango_Admin_DailyPred_Primera,0),0),"-")</f>
        <v>Brasil</v>
      </c>
      <c r="L21" s="429" t="str">
        <f ca="1">IFERROR(VLOOKUP(L$2,Rango_Admin_DailyPred,MATCH($F21,Rango_Admin_DailyPred_Primera,0),0),"-")</f>
        <v>Mbappe</v>
      </c>
      <c r="M21" s="429" t="str">
        <f ca="1">IFERROR(VLOOKUP(M$2,Rango_Admin_DailyPred,MATCH($F21,Rango_Admin_DailyPred_Primera,0),0),"-")</f>
        <v>Oyarzabal</v>
      </c>
      <c r="N21" s="429" t="str">
        <f ca="1">IFERROR(VLOOKUP(N$2,Rango_Admin_DailyPred,MATCH($F21,Rango_Admin_DailyPred_Primera,0),0),"-")</f>
        <v>Vinicius jr</v>
      </c>
      <c r="O21" s="429" t="str">
        <f ca="1">IFERROR(VLOOKUP(O$2,Rango_Admin_DailyPred,MATCH($F21,Rango_Admin_DailyPred_Primera,0),0),"-")</f>
        <v>Yamal</v>
      </c>
      <c r="P21" s="429" t="str">
        <f ca="1">IFERROR(VLOOKUP(P$2,Rango_Admin_DailyPred,MATCH($F21,Rango_Admin_DailyPred_Primera,0),0),"-")</f>
        <v>Vitinha</v>
      </c>
      <c r="Q21" s="429" t="str">
        <f ca="1">IFERROR(VLOOKUP(Q$2,Rango_Admin_DailyPred,MATCH($F21,Rango_Admin_DailyPred_Primera,0),0),"-")</f>
        <v>Mbappe</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8" t="str" cm="1">
        <f t="array" aca="1" ref="A22" ca="1">IFERROR(INDEX(ADMIN!$K$6:$K$258,SMALL(IF(ADMIN!$G$6:$G$258=$J$1,ROW(ADMIN!$G$6:$G$258)-ROW(ADMIN!$G$6)+1),ROWS($A$1:A19))),"")</f>
        <v/>
      </c>
      <c r="B22" s="8" t="str">
        <f t="shared" ca="1" si="0"/>
        <v xml:space="preserve">
</v>
      </c>
      <c r="C22" s="8" t="str" cm="1">
        <f t="array" aca="1" ref="C22" ca="1">IFERROR(IF(INDEX(ADMIN!$M$6:$M$258,SMALL(IF(ADMIN!$G$6:$G$258=$J$1,ROW(ADMIN!$G$6:$G$258)-ROW(ADMIN!$G$6)+1),ROWS($A$1:A19)))="-", "", " ("&amp;INDEX(ADMIN!$M$6:$M$258,SMALL(IF(ADMIN!$G$6:$G$258=$J$1,ROW(ADMIN!$G$6:$G$258)-ROW(ADMIN!$G$6)+1),ROWS($A$1:A19)))&amp;")"),"")</f>
        <v/>
      </c>
      <c r="D22" s="8" t="str" cm="1">
        <f t="array" aca="1" ref="D22" ca="1">IFERROR(IF($J$1&gt;=20,INDEX(ADMIN!$C$6:$C$258,SMALL(IF(ADMIN!$G$6:$G$258=$J$1,ROW(ADMIN!$G$6:$G$258)-ROW(ADMIN!$G$6)+1),ROWS($D$1:D19))),""),"")</f>
        <v/>
      </c>
      <c r="E22" s="19">
        <f t="shared" si="1"/>
        <v>63</v>
      </c>
      <c r="F22" s="448" t="str" cm="1">
        <f t="array" ref="F22">IFERROR(INDEX(Rango_Admin_DailyPred_Primera,1,E22),"-")</f>
        <v>Hulk Rexach</v>
      </c>
      <c r="G22" s="429" t="str">
        <f ca="1">IFERROR(VLOOKUP(G$2,Rango_Admin_DailyPred,MATCH($F22,Rango_Admin_DailyPred_Primera,0),0),"-")</f>
        <v>Francia-Brasil·X|3-3</v>
      </c>
      <c r="H22" s="429" t="str">
        <f ca="1">IFERROR(VLOOKUP(H$2,Rango_Admin_DailyPred,MATCH($F22,Rango_Admin_DailyPred_Primera,0),0),"-")</f>
        <v>España-Portugal·1|2-1</v>
      </c>
      <c r="I22" s="429" t="str">
        <f ca="1">IFERROR(VLOOKUP(I$2,Rango_Admin_DailyPred,MATCH($F22,Rango_Admin_DailyPred_Primera,0),0),"-")</f>
        <v>España</v>
      </c>
      <c r="J22" s="429" t="str">
        <f ca="1">IFERROR(VLOOKUP(J$2,Rango_Admin_DailyPred,MATCH($F22,Rango_Admin_DailyPred_Primera,0),0),"-")</f>
        <v>Portugal</v>
      </c>
      <c r="K22" s="429" t="str">
        <f ca="1">IFERROR(VLOOKUP(K$2,Rango_Admin_DailyPred,MATCH($F22,Rango_Admin_DailyPred_Primera,0),0),"-")</f>
        <v>Francia</v>
      </c>
      <c r="L22" s="429" t="str">
        <f ca="1">IFERROR(VLOOKUP(L$2,Rango_Admin_DailyPred,MATCH($F22,Rango_Admin_DailyPred_Primera,0),0),"-")</f>
        <v>Oyarzabal</v>
      </c>
      <c r="M22" s="429" t="str">
        <f ca="1">IFERROR(VLOOKUP(M$2,Rango_Admin_DailyPred,MATCH($F22,Rango_Admin_DailyPred_Primera,0),0),"-")</f>
        <v>Ferran Torres</v>
      </c>
      <c r="N22" s="429" t="str">
        <f ca="1">IFERROR(VLOOKUP(N$2,Rango_Admin_DailyPred,MATCH($F22,Rango_Admin_DailyPred_Primera,0),0),"-")</f>
        <v>Yamal</v>
      </c>
      <c r="O22" s="429" t="str">
        <f ca="1">IFERROR(VLOOKUP(O$2,Rango_Admin_DailyPred,MATCH($F22,Rango_Admin_DailyPred_Primera,0),0),"-")</f>
        <v>Yamal</v>
      </c>
      <c r="P22" s="429" t="str">
        <f ca="1">IFERROR(VLOOKUP(P$2,Rango_Admin_DailyPred,MATCH($F22,Rango_Admin_DailyPred_Primera,0),0),"-")</f>
        <v>Pedri</v>
      </c>
      <c r="Q22" s="429" t="str">
        <f ca="1">IFERROR(VLOOKUP(Q$2,Rango_Admin_DailyPred,MATCH($F22,Rango_Admin_DailyPred_Primera,0),0),"-")</f>
        <v>Vitinha</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8" t="str" cm="1">
        <f t="array" aca="1" ref="A23" ca="1">IFERROR(INDEX(ADMIN!$K$6:$K$258,SMALL(IF(ADMIN!$G$6:$G$258=$J$1,ROW(ADMIN!$G$6:$G$258)-ROW(ADMIN!$G$6)+1),ROWS($A$1:A20))),"")</f>
        <v/>
      </c>
      <c r="B23" s="8" t="str">
        <f t="shared" ca="1" si="0"/>
        <v xml:space="preserve">
</v>
      </c>
      <c r="C23" s="8" t="str" cm="1">
        <f t="array" aca="1" ref="C23" ca="1">IFERROR(IF(INDEX(ADMIN!$M$6:$M$258,SMALL(IF(ADMIN!$G$6:$G$258=$J$1,ROW(ADMIN!$G$6:$G$258)-ROW(ADMIN!$G$6)+1),ROWS($A$1:A20)))="-", "", " ("&amp;INDEX(ADMIN!$M$6:$M$258,SMALL(IF(ADMIN!$G$6:$G$258=$J$1,ROW(ADMIN!$G$6:$G$258)-ROW(ADMIN!$G$6)+1),ROWS($A$1:A20)))&amp;")"),"")</f>
        <v/>
      </c>
      <c r="D23" s="8" t="str" cm="1">
        <f t="array" aca="1" ref="D23" ca="1">IFERROR(IF($J$1&gt;=20,INDEX(ADMIN!$C$6:$C$258,SMALL(IF(ADMIN!$G$6:$G$258=$J$1,ROW(ADMIN!$G$6:$G$258)-ROW(ADMIN!$G$6)+1),ROWS($D$1:D20))),""),"")</f>
        <v/>
      </c>
      <c r="E23" s="19">
        <f t="shared" si="1"/>
        <v>66</v>
      </c>
      <c r="F23" s="448" t="str" cm="1">
        <f t="array" ref="F23">IFERROR(INDEX(Rango_Admin_DailyPred_Primera,1,E23),"-")</f>
        <v>Miguel San Martín</v>
      </c>
      <c r="G23" s="429" t="str">
        <f ca="1">IFERROR(VLOOKUP(G$2,Rango_Admin_DailyPred,MATCH($F23,Rango_Admin_DailyPred_Primera,0),0),"-")</f>
        <v>España-Colombia·1|2-0</v>
      </c>
      <c r="H23" s="429" t="str">
        <f ca="1">IFERROR(VLOOKUP(H$2,Rango_Admin_DailyPred,MATCH($F23,Rango_Admin_DailyPred_Primera,0),0),"-")</f>
        <v>Francia-Inglaterra·1|2-0</v>
      </c>
      <c r="I23" s="429" t="str">
        <f ca="1">IFERROR(VLOOKUP(I$2,Rango_Admin_DailyPred,MATCH($F23,Rango_Admin_DailyPred_Primera,0),0),"-")</f>
        <v>Francia</v>
      </c>
      <c r="J23" s="429" t="str">
        <f ca="1">IFERROR(VLOOKUP(J$2,Rango_Admin_DailyPred,MATCH($F23,Rango_Admin_DailyPred_Primera,0),0),"-")</f>
        <v>Inglaterra</v>
      </c>
      <c r="K23" s="429" t="str">
        <f ca="1">IFERROR(VLOOKUP(K$2,Rango_Admin_DailyPred,MATCH($F23,Rango_Admin_DailyPred_Primera,0),0),"-")</f>
        <v>España</v>
      </c>
      <c r="L23" s="429" t="str">
        <f ca="1">IFERROR(VLOOKUP(L$2,Rango_Admin_DailyPred,MATCH($F23,Rango_Admin_DailyPred_Primera,0),0),"-")</f>
        <v>Kane</v>
      </c>
      <c r="M23" s="429" t="str">
        <f ca="1">IFERROR(VLOOKUP(M$2,Rango_Admin_DailyPred,MATCH($F23,Rango_Admin_DailyPred_Primera,0),0),"-")</f>
        <v>Mbappe</v>
      </c>
      <c r="N23" s="429" t="str">
        <f ca="1">IFERROR(VLOOKUP(N$2,Rango_Admin_DailyPred,MATCH($F23,Rango_Admin_DailyPred_Primera,0),0),"-")</f>
        <v>Messi</v>
      </c>
      <c r="O23" s="429" t="str">
        <f ca="1">IFERROR(VLOOKUP(O$2,Rango_Admin_DailyPred,MATCH($F23,Rango_Admin_DailyPred_Primera,0),0),"-")</f>
        <v>Yamal</v>
      </c>
      <c r="P23" s="429" t="str">
        <f ca="1">IFERROR(VLOOKUP(P$2,Rango_Admin_DailyPred,MATCH($F23,Rango_Admin_DailyPred_Primera,0),0),"-")</f>
        <v>Mbappe</v>
      </c>
      <c r="Q23" s="429" t="str">
        <f ca="1">IFERROR(VLOOKUP(Q$2,Rango_Admin_DailyPred,MATCH($F23,Rango_Admin_DailyPred_Primera,0),0),"-")</f>
        <v>Kane</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8" t="str" cm="1">
        <f t="array" aca="1" ref="A24" ca="1">IFERROR(INDEX(ADMIN!$K$6:$K$258,SMALL(IF(ADMIN!$G$6:$G$258=$J$1,ROW(ADMIN!$G$6:$G$258)-ROW(ADMIN!$G$6)+1),ROWS($A$1:A21))),"")</f>
        <v/>
      </c>
      <c r="B24" s="8" t="str">
        <f t="shared" ca="1" si="0"/>
        <v xml:space="preserve">
</v>
      </c>
      <c r="C24" s="8" t="str" cm="1">
        <f t="array" aca="1" ref="C24" ca="1">IFERROR(IF(INDEX(ADMIN!$M$6:$M$258,SMALL(IF(ADMIN!$G$6:$G$258=$J$1,ROW(ADMIN!$G$6:$G$258)-ROW(ADMIN!$G$6)+1),ROWS($A$1:A21)))="-", "", " ("&amp;INDEX(ADMIN!$M$6:$M$258,SMALL(IF(ADMIN!$G$6:$G$258=$J$1,ROW(ADMIN!$G$6:$G$258)-ROW(ADMIN!$G$6)+1),ROWS($A$1:A21)))&amp;")"),"")</f>
        <v/>
      </c>
      <c r="D24" s="8" t="str" cm="1">
        <f t="array" aca="1" ref="D24" ca="1">IFERROR(IF($J$1&gt;=20,INDEX(ADMIN!$C$6:$C$258,SMALL(IF(ADMIN!$G$6:$G$258=$J$1,ROW(ADMIN!$G$6:$G$258)-ROW(ADMIN!$G$6)+1),ROWS($D$1:D21))),""),"")</f>
        <v/>
      </c>
      <c r="E24" s="19">
        <f t="shared" si="1"/>
        <v>69</v>
      </c>
      <c r="F24" s="448" t="str" cm="1">
        <f t="array" ref="F24">IFERROR(INDEX(Rango_Admin_DailyPred_Primera,1,E24),"-")</f>
        <v>Pablo C</v>
      </c>
      <c r="G24" s="429" t="str">
        <f ca="1">IFERROR(VLOOKUP(G$2,Rango_Admin_DailyPred,MATCH($F24,Rango_Admin_DailyPred_Primera,0),0),"-")</f>
        <v>Alemania-Inglaterra·2|1-2</v>
      </c>
      <c r="H24" s="429" t="str">
        <f ca="1">IFERROR(VLOOKUP(H$2,Rango_Admin_DailyPred,MATCH($F24,Rango_Admin_DailyPred_Primera,0),0),"-")</f>
        <v>España-Argentina·1|1-0</v>
      </c>
      <c r="I24" s="429" t="str">
        <f ca="1">IFERROR(VLOOKUP(I$2,Rango_Admin_DailyPred,MATCH($F24,Rango_Admin_DailyPred_Primera,0),0),"-")</f>
        <v>España</v>
      </c>
      <c r="J24" s="429" t="str">
        <f ca="1">IFERROR(VLOOKUP(J$2,Rango_Admin_DailyPred,MATCH($F24,Rango_Admin_DailyPred_Primera,0),0),"-")</f>
        <v>Argentina</v>
      </c>
      <c r="K24" s="429" t="str">
        <f ca="1">IFERROR(VLOOKUP(K$2,Rango_Admin_DailyPred,MATCH($F24,Rango_Admin_DailyPred_Primera,0),0),"-")</f>
        <v>Inglaterra</v>
      </c>
      <c r="L24" s="429" t="str">
        <f ca="1">IFERROR(VLOOKUP(L$2,Rango_Admin_DailyPred,MATCH($F24,Rango_Admin_DailyPred_Primera,0),0),"-")</f>
        <v>Kane</v>
      </c>
      <c r="M24" s="429" t="str">
        <f ca="1">IFERROR(VLOOKUP(M$2,Rango_Admin_DailyPred,MATCH($F24,Rango_Admin_DailyPred_Primera,0),0),"-")</f>
        <v>Yamal</v>
      </c>
      <c r="N24" s="429" t="str">
        <f ca="1">IFERROR(VLOOKUP(N$2,Rango_Admin_DailyPred,MATCH($F24,Rango_Admin_DailyPred_Primera,0),0),"-")</f>
        <v>Ferran Torres</v>
      </c>
      <c r="O24" s="429" t="str">
        <f ca="1">IFERROR(VLOOKUP(O$2,Rango_Admin_DailyPred,MATCH($F24,Rango_Admin_DailyPred_Primera,0),0),"-")</f>
        <v>Messi</v>
      </c>
      <c r="P24" s="429" t="str">
        <f ca="1">IFERROR(VLOOKUP(P$2,Rango_Admin_DailyPred,MATCH($F24,Rango_Admin_DailyPred_Primera,0),0),"-")</f>
        <v>Yamal</v>
      </c>
      <c r="Q24" s="429" t="str">
        <f ca="1">IFERROR(VLOOKUP(Q$2,Rango_Admin_DailyPred,MATCH($F24,Rango_Admin_DailyPred_Primera,0),0),"-")</f>
        <v>Rodri</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8" t="str" cm="1">
        <f t="array" aca="1" ref="A25" ca="1">IFERROR(INDEX(ADMIN!$K$6:$K$258,SMALL(IF(ADMIN!$G$6:$G$258=$J$1,ROW(ADMIN!$G$6:$G$258)-ROW(ADMIN!$G$6)+1),ROWS($A$1:A22))),"")</f>
        <v/>
      </c>
      <c r="B25" s="8" t="str">
        <f t="shared" ca="1" si="0"/>
        <v xml:space="preserve">
</v>
      </c>
      <c r="C25" s="8" t="str" cm="1">
        <f t="array" aca="1" ref="C25" ca="1">IFERROR(IF(INDEX(ADMIN!$M$6:$M$258,SMALL(IF(ADMIN!$G$6:$G$258=$J$1,ROW(ADMIN!$G$6:$G$258)-ROW(ADMIN!$G$6)+1),ROWS($A$1:A22)))="-", "", " ("&amp;INDEX(ADMIN!$M$6:$M$258,SMALL(IF(ADMIN!$G$6:$G$258=$J$1,ROW(ADMIN!$G$6:$G$258)-ROW(ADMIN!$G$6)+1),ROWS($A$1:A22)))&amp;")"),"")</f>
        <v/>
      </c>
      <c r="D25" s="8" t="str" cm="1">
        <f t="array" aca="1" ref="D25" ca="1">IFERROR(IF($J$1&gt;=20,INDEX(ADMIN!$C$6:$C$258,SMALL(IF(ADMIN!$G$6:$G$258=$J$1,ROW(ADMIN!$G$6:$G$258)-ROW(ADMIN!$G$6)+1),ROWS($D$1:D22))),""),"")</f>
        <v/>
      </c>
      <c r="E25" s="19">
        <f t="shared" si="1"/>
        <v>72</v>
      </c>
      <c r="F25" s="448" t="str" cm="1">
        <f t="array" ref="F25">IFERROR(INDEX(Rango_Admin_DailyPred_Primera,1,E25),"-")</f>
        <v>bau</v>
      </c>
      <c r="G25" s="429" t="str">
        <f ca="1">IFERROR(VLOOKUP(G$2,Rango_Admin_DailyPred,MATCH($F25,Rango_Admin_DailyPred_Primera,0),0),"-")</f>
        <v>España-Brasil·1|1-0</v>
      </c>
      <c r="H25" s="429" t="str">
        <f ca="1">IFERROR(VLOOKUP(H$2,Rango_Admin_DailyPred,MATCH($F25,Rango_Admin_DailyPred_Primera,0),0),"-")</f>
        <v>Francia-Portugal·2|0-2</v>
      </c>
      <c r="I25" s="429" t="str">
        <f ca="1">IFERROR(VLOOKUP(I$2,Rango_Admin_DailyPred,MATCH($F25,Rango_Admin_DailyPred_Primera,0),0),"-")</f>
        <v>Portugal</v>
      </c>
      <c r="J25" s="429" t="str">
        <f ca="1">IFERROR(VLOOKUP(J$2,Rango_Admin_DailyPred,MATCH($F25,Rango_Admin_DailyPred_Primera,0),0),"-")</f>
        <v>Francia</v>
      </c>
      <c r="K25" s="429" t="str">
        <f ca="1">IFERROR(VLOOKUP(K$2,Rango_Admin_DailyPred,MATCH($F25,Rango_Admin_DailyPred_Primera,0),0),"-")</f>
        <v>España</v>
      </c>
      <c r="L25" s="429" t="str">
        <f ca="1">IFERROR(VLOOKUP(L$2,Rango_Admin_DailyPred,MATCH($F25,Rango_Admin_DailyPred_Primera,0),0),"-")</f>
        <v>Cristiano Ronaldo</v>
      </c>
      <c r="M25" s="429" t="str">
        <f ca="1">IFERROR(VLOOKUP(M$2,Rango_Admin_DailyPred,MATCH($F25,Rango_Admin_DailyPred_Primera,0),0),"-")</f>
        <v>Yamal</v>
      </c>
      <c r="N25" s="429" t="str">
        <f ca="1">IFERROR(VLOOKUP(N$2,Rango_Admin_DailyPred,MATCH($F25,Rango_Admin_DailyPred_Primera,0),0),"-")</f>
        <v>Messi</v>
      </c>
      <c r="O25" s="429" t="str">
        <f ca="1">IFERROR(VLOOKUP(O$2,Rango_Admin_DailyPred,MATCH($F25,Rango_Admin_DailyPred_Primera,0),0),"-")</f>
        <v>Cristiano Ronaldo</v>
      </c>
      <c r="P25" s="429" t="str">
        <f ca="1">IFERROR(VLOOKUP(P$2,Rango_Admin_DailyPred,MATCH($F25,Rango_Admin_DailyPred_Primera,0),0),"-")</f>
        <v>Dembele</v>
      </c>
      <c r="Q25" s="429" t="str">
        <f ca="1">IFERROR(VLOOKUP(Q$2,Rango_Admin_DailyPred,MATCH($F25,Rango_Admin_DailyPred_Primera,0),0),"-")</f>
        <v>Rodri</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8" t="str" cm="1">
        <f t="array" aca="1" ref="A26" ca="1">IFERROR(INDEX(ADMIN!$K$6:$K$258,SMALL(IF(ADMIN!$G$6:$G$258=$J$1,ROW(ADMIN!$G$6:$G$258)-ROW(ADMIN!$G$6)+1),ROWS($A$1:A23))),"")</f>
        <v/>
      </c>
      <c r="B26" s="8" t="str">
        <f t="shared" ca="1" si="0"/>
        <v xml:space="preserve">
</v>
      </c>
      <c r="C26" s="8" t="str" cm="1">
        <f t="array" aca="1" ref="C26" ca="1">IFERROR(IF(INDEX(ADMIN!$M$6:$M$258,SMALL(IF(ADMIN!$G$6:$G$258=$J$1,ROW(ADMIN!$G$6:$G$258)-ROW(ADMIN!$G$6)+1),ROWS($A$1:A23)))="-", "", " ("&amp;INDEX(ADMIN!$M$6:$M$258,SMALL(IF(ADMIN!$G$6:$G$258=$J$1,ROW(ADMIN!$G$6:$G$258)-ROW(ADMIN!$G$6)+1),ROWS($A$1:A23)))&amp;")"),"")</f>
        <v/>
      </c>
      <c r="D26" s="8" t="str" cm="1">
        <f t="array" aca="1" ref="D26" ca="1">IFERROR(IF($J$1&gt;=20,INDEX(ADMIN!$C$6:$C$258,SMALL(IF(ADMIN!$G$6:$G$258=$J$1,ROW(ADMIN!$G$6:$G$258)-ROW(ADMIN!$G$6)+1),ROWS($D$1:D23))),""),"")</f>
        <v/>
      </c>
      <c r="E26" s="19">
        <f t="shared" si="1"/>
        <v>75</v>
      </c>
      <c r="F26" s="448" t="str" cm="1">
        <f t="array" ref="F26">IFERROR(INDEX(Rango_Admin_DailyPred_Primera,1,E26),"-")</f>
        <v>Florentino Netanyahu</v>
      </c>
      <c r="G26" s="429" t="str">
        <f ca="1">IFERROR(VLOOKUP(G$2,Rango_Admin_DailyPred,MATCH($F26,Rango_Admin_DailyPred_Primera,0),0),"-")</f>
        <v>Francia-Argentina·1|1-0</v>
      </c>
      <c r="H26" s="429" t="str">
        <f ca="1">IFERROR(VLOOKUP(H$2,Rango_Admin_DailyPred,MATCH($F26,Rango_Admin_DailyPred_Primera,0),0),"-")</f>
        <v>España-Brasil·1|3-1</v>
      </c>
      <c r="I26" s="429" t="str">
        <f ca="1">IFERROR(VLOOKUP(I$2,Rango_Admin_DailyPred,MATCH($F26,Rango_Admin_DailyPred_Primera,0),0),"-")</f>
        <v>España</v>
      </c>
      <c r="J26" s="429" t="str">
        <f ca="1">IFERROR(VLOOKUP(J$2,Rango_Admin_DailyPred,MATCH($F26,Rango_Admin_DailyPred_Primera,0),0),"-")</f>
        <v>Brasil</v>
      </c>
      <c r="K26" s="429" t="str">
        <f ca="1">IFERROR(VLOOKUP(K$2,Rango_Admin_DailyPred,MATCH($F26,Rango_Admin_DailyPred_Primera,0),0),"-")</f>
        <v>Francia</v>
      </c>
      <c r="L26" s="429" t="str">
        <f ca="1">IFERROR(VLOOKUP(L$2,Rango_Admin_DailyPred,MATCH($F26,Rango_Admin_DailyPred_Primera,0),0),"-")</f>
        <v>Raphinha</v>
      </c>
      <c r="M26" s="429" t="str">
        <f ca="1">IFERROR(VLOOKUP(M$2,Rango_Admin_DailyPred,MATCH($F26,Rango_Admin_DailyPred_Primera,0),0),"-")</f>
        <v>Yamal</v>
      </c>
      <c r="N26" s="429" t="str">
        <f ca="1">IFERROR(VLOOKUP(N$2,Rango_Admin_DailyPred,MATCH($F26,Rango_Admin_DailyPred_Primera,0),0),"-")</f>
        <v>Haaland</v>
      </c>
      <c r="O26" s="429" t="str">
        <f ca="1">IFERROR(VLOOKUP(O$2,Rango_Admin_DailyPred,MATCH($F26,Rango_Admin_DailyPred_Primera,0),0),"-")</f>
        <v>Yamal</v>
      </c>
      <c r="P26" s="429" t="str">
        <f ca="1">IFERROR(VLOOKUP(P$2,Rango_Admin_DailyPred,MATCH($F26,Rango_Admin_DailyPred_Primera,0),0),"-")</f>
        <v>Raphinha</v>
      </c>
      <c r="Q26" s="429" t="str">
        <f ca="1">IFERROR(VLOOKUP(Q$2,Rango_Admin_DailyPred,MATCH($F26,Rango_Admin_DailyPred_Primera,0),0),"-")</f>
        <v>Mbappe</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8" t="str" cm="1">
        <f t="array" aca="1" ref="A27" ca="1">IFERROR(INDEX(ADMIN!$K$6:$K$258,SMALL(IF(ADMIN!$G$6:$G$258=$J$1,ROW(ADMIN!$G$6:$G$258)-ROW(ADMIN!$G$6)+1),ROWS($A$1:A24))),"")</f>
        <v/>
      </c>
      <c r="B27" s="8" t="str">
        <f t="shared" ca="1" si="0"/>
        <v xml:space="preserve">
</v>
      </c>
      <c r="C27" s="8" t="str" cm="1">
        <f t="array" aca="1" ref="C27" ca="1">IFERROR(IF(INDEX(ADMIN!$M$6:$M$258,SMALL(IF(ADMIN!$G$6:$G$258=$J$1,ROW(ADMIN!$G$6:$G$258)-ROW(ADMIN!$G$6)+1),ROWS($A$1:A24)))="-", "", " ("&amp;INDEX(ADMIN!$M$6:$M$258,SMALL(IF(ADMIN!$G$6:$G$258=$J$1,ROW(ADMIN!$G$6:$G$258)-ROW(ADMIN!$G$6)+1),ROWS($A$1:A24)))&amp;")"),"")</f>
        <v/>
      </c>
      <c r="D27" s="8" t="str" cm="1">
        <f t="array" aca="1" ref="D27" ca="1">IFERROR(IF($J$1&gt;=20,INDEX(ADMIN!$C$6:$C$258,SMALL(IF(ADMIN!$G$6:$G$258=$J$1,ROW(ADMIN!$G$6:$G$258)-ROW(ADMIN!$G$6)+1),ROWS($D$1:D24))),""),"")</f>
        <v/>
      </c>
      <c r="E27" s="19">
        <f t="shared" si="1"/>
        <v>78</v>
      </c>
      <c r="F27" s="448" t="str" cm="1">
        <f t="array" ref="F27">IFERROR(INDEX(Rango_Admin_DailyPred_Primera,1,E27),"-")</f>
        <v>Lucas Oriol</v>
      </c>
      <c r="G27" s="429" t="str">
        <f ca="1">IFERROR(VLOOKUP(G$2,Rango_Admin_DailyPred,MATCH($F27,Rango_Admin_DailyPred_Primera,0),0),"-")</f>
        <v>Francia-Inglaterra·X|1-1</v>
      </c>
      <c r="H27" s="429" t="str">
        <f ca="1">IFERROR(VLOOKUP(H$2,Rango_Admin_DailyPred,MATCH($F27,Rango_Admin_DailyPred_Primera,0),0),"-")</f>
        <v>España-Portugal·1|2-1</v>
      </c>
      <c r="I27" s="429" t="str">
        <f ca="1">IFERROR(VLOOKUP(I$2,Rango_Admin_DailyPred,MATCH($F27,Rango_Admin_DailyPred_Primera,0),0),"-")</f>
        <v>España</v>
      </c>
      <c r="J27" s="429" t="str">
        <f ca="1">IFERROR(VLOOKUP(J$2,Rango_Admin_DailyPred,MATCH($F27,Rango_Admin_DailyPred_Primera,0),0),"-")</f>
        <v>Portugal</v>
      </c>
      <c r="K27" s="429" t="str">
        <f ca="1">IFERROR(VLOOKUP(K$2,Rango_Admin_DailyPred,MATCH($F27,Rango_Admin_DailyPred_Primera,0),0),"-")</f>
        <v>Francia</v>
      </c>
      <c r="L27" s="429" t="str">
        <f ca="1">IFERROR(VLOOKUP(L$2,Rango_Admin_DailyPred,MATCH($F27,Rango_Admin_DailyPred_Primera,0),0),"-")</f>
        <v>Mbappe</v>
      </c>
      <c r="M27" s="429" t="str">
        <f ca="1">IFERROR(VLOOKUP(M$2,Rango_Admin_DailyPred,MATCH($F27,Rango_Admin_DailyPred_Primera,0),0),"-")</f>
        <v>Kane</v>
      </c>
      <c r="N27" s="429" t="str">
        <f ca="1">IFERROR(VLOOKUP(N$2,Rango_Admin_DailyPred,MATCH($F27,Rango_Admin_DailyPred_Primera,0),0),"-")</f>
        <v>Cristiano Ronaldo</v>
      </c>
      <c r="O27" s="429" t="str">
        <f ca="1">IFERROR(VLOOKUP(O$2,Rango_Admin_DailyPred,MATCH($F27,Rango_Admin_DailyPred_Primera,0),0),"-")</f>
        <v>Yamal</v>
      </c>
      <c r="P27" s="429" t="str">
        <f ca="1">IFERROR(VLOOKUP(P$2,Rango_Admin_DailyPred,MATCH($F27,Rango_Admin_DailyPred_Primera,0),0),"-")</f>
        <v>Fernandes</v>
      </c>
      <c r="Q27" s="429" t="str">
        <f ca="1">IFERROR(VLOOKUP(Q$2,Rango_Admin_DailyPred,MATCH($F27,Rango_Admin_DailyPred_Primera,0),0),"-")</f>
        <v>Rodri</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8" t="str" cm="1">
        <f t="array" aca="1" ref="A28" ca="1">IFERROR(INDEX(ADMIN!$K$6:$K$258,SMALL(IF(ADMIN!$G$6:$G$258=$J$1,ROW(ADMIN!$G$6:$G$258)-ROW(ADMIN!$G$6)+1),ROWS($A$1:A25))),"")</f>
        <v/>
      </c>
      <c r="B28" s="8" t="str">
        <f t="shared" ca="1" si="0"/>
        <v xml:space="preserve">
</v>
      </c>
      <c r="C28" s="8" t="str" cm="1">
        <f t="array" aca="1" ref="C28" ca="1">IFERROR(IF(INDEX(ADMIN!$M$6:$M$258,SMALL(IF(ADMIN!$G$6:$G$258=$J$1,ROW(ADMIN!$G$6:$G$258)-ROW(ADMIN!$G$6)+1),ROWS($A$1:A25)))="-", "", " ("&amp;INDEX(ADMIN!$M$6:$M$258,SMALL(IF(ADMIN!$G$6:$G$258=$J$1,ROW(ADMIN!$G$6:$G$258)-ROW(ADMIN!$G$6)+1),ROWS($A$1:A25)))&amp;")"),"")</f>
        <v/>
      </c>
      <c r="D28" s="8" t="str" cm="1">
        <f t="array" aca="1" ref="D28" ca="1">IFERROR(IF($J$1&gt;=20,INDEX(ADMIN!$C$6:$C$258,SMALL(IF(ADMIN!$G$6:$G$258=$J$1,ROW(ADMIN!$G$6:$G$258)-ROW(ADMIN!$G$6)+1),ROWS($D$1:D25))),""),"")</f>
        <v/>
      </c>
      <c r="E28" s="19">
        <f t="shared" si="1"/>
        <v>81</v>
      </c>
      <c r="F28" s="448" t="str" cm="1">
        <f t="array" ref="F28">IFERROR(INDEX(Rango_Admin_DailyPred_Primera,1,E28),"-")</f>
        <v>YTD</v>
      </c>
      <c r="G28" s="429" t="str">
        <f ca="1">IFERROR(VLOOKUP(G$2,Rango_Admin_DailyPred,MATCH($F28,Rango_Admin_DailyPred_Primera,0),0),"-")</f>
        <v>Francia-Noruega·X|2-2</v>
      </c>
      <c r="H28" s="429" t="str">
        <f ca="1">IFERROR(VLOOKUP(H$2,Rango_Admin_DailyPred,MATCH($F28,Rango_Admin_DailyPred_Primera,0),0),"-")</f>
        <v>España-Portugal·1|3-0</v>
      </c>
      <c r="I28" s="429" t="str">
        <f ca="1">IFERROR(VLOOKUP(I$2,Rango_Admin_DailyPred,MATCH($F28,Rango_Admin_DailyPred_Primera,0),0),"-")</f>
        <v>España</v>
      </c>
      <c r="J28" s="429" t="str">
        <f ca="1">IFERROR(VLOOKUP(J$2,Rango_Admin_DailyPred,MATCH($F28,Rango_Admin_DailyPred_Primera,0),0),"-")</f>
        <v>Portugal</v>
      </c>
      <c r="K28" s="429" t="str">
        <f ca="1">IFERROR(VLOOKUP(K$2,Rango_Admin_DailyPred,MATCH($F28,Rango_Admin_DailyPred_Primera,0),0),"-")</f>
        <v>Francia</v>
      </c>
      <c r="L28" s="429" t="str">
        <f ca="1">IFERROR(VLOOKUP(L$2,Rango_Admin_DailyPred,MATCH($F28,Rango_Admin_DailyPred_Primera,0),0),"-")</f>
        <v>Haaland</v>
      </c>
      <c r="M28" s="429" t="str">
        <f ca="1">IFERROR(VLOOKUP(M$2,Rango_Admin_DailyPred,MATCH($F28,Rango_Admin_DailyPred_Primera,0),0),"-")</f>
        <v>Mbappe</v>
      </c>
      <c r="N28" s="429" t="str">
        <f ca="1">IFERROR(VLOOKUP(N$2,Rango_Admin_DailyPred,MATCH($F28,Rango_Admin_DailyPred_Primera,0),0),"-")</f>
        <v>Kenan Yıldız</v>
      </c>
      <c r="O28" s="429" t="str">
        <f ca="1">IFERROR(VLOOKUP(O$2,Rango_Admin_DailyPred,MATCH($F28,Rango_Admin_DailyPred_Primera,0),0),"-")</f>
        <v>Yamal</v>
      </c>
      <c r="P28" s="429" t="str">
        <f ca="1">IFERROR(VLOOKUP(P$2,Rango_Admin_DailyPred,MATCH($F28,Rango_Admin_DailyPred_Primera,0),0),"-")</f>
        <v>Haaland</v>
      </c>
      <c r="Q28" s="429" t="str">
        <f ca="1">IFERROR(VLOOKUP(Q$2,Rango_Admin_DailyPred,MATCH($F28,Rango_Admin_DailyPred_Primera,0),0),"-")</f>
        <v>Vitinha</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8" t="str" cm="1">
        <f t="array" aca="1" ref="A29" ca="1">IFERROR(INDEX(ADMIN!$K$6:$K$258,SMALL(IF(ADMIN!$G$6:$G$258=$J$1,ROW(ADMIN!$G$6:$G$258)-ROW(ADMIN!$G$6)+1),ROWS($A$1:A26))),"")</f>
        <v/>
      </c>
      <c r="B29" s="8" t="str">
        <f t="shared" ca="1" si="0"/>
        <v xml:space="preserve">
</v>
      </c>
      <c r="C29" s="8" t="str" cm="1">
        <f t="array" aca="1" ref="C29" ca="1">IFERROR(IF(INDEX(ADMIN!$M$6:$M$258,SMALL(IF(ADMIN!$G$6:$G$258=$J$1,ROW(ADMIN!$G$6:$G$258)-ROW(ADMIN!$G$6)+1),ROWS($A$1:A26)))="-", "", " ("&amp;INDEX(ADMIN!$M$6:$M$258,SMALL(IF(ADMIN!$G$6:$G$258=$J$1,ROW(ADMIN!$G$6:$G$258)-ROW(ADMIN!$G$6)+1),ROWS($A$1:A26)))&amp;")"),"")</f>
        <v/>
      </c>
      <c r="D29" s="8" t="str" cm="1">
        <f t="array" aca="1" ref="D29" ca="1">IFERROR(IF($J$1&gt;=20,INDEX(ADMIN!$C$6:$C$258,SMALL(IF(ADMIN!$G$6:$G$258=$J$1,ROW(ADMIN!$G$6:$G$258)-ROW(ADMIN!$G$6)+1),ROWS($D$1:D26))),""),"")</f>
        <v/>
      </c>
      <c r="E29" s="19">
        <f t="shared" si="1"/>
        <v>84</v>
      </c>
      <c r="F29" s="448" t="str" cm="1">
        <f t="array" ref="F29">IFERROR(INDEX(Rango_Admin_DailyPred_Primera,1,E29),"-")</f>
        <v>William Hartley</v>
      </c>
      <c r="G29" s="429" t="str">
        <f ca="1">IFERROR(VLOOKUP(G$2,Rango_Admin_DailyPred,MATCH($F29,Rango_Admin_DailyPred_Primera,0),0),"-")</f>
        <v>Francia-Brasil·1|3-1</v>
      </c>
      <c r="H29" s="429" t="str">
        <f ca="1">IFERROR(VLOOKUP(H$2,Rango_Admin_DailyPred,MATCH($F29,Rango_Admin_DailyPred_Primera,0),0),"-")</f>
        <v>España-Portugal·X|2-2</v>
      </c>
      <c r="I29" s="429" t="str">
        <f ca="1">IFERROR(VLOOKUP(I$2,Rango_Admin_DailyPred,MATCH($F29,Rango_Admin_DailyPred_Primera,0),0),"-")</f>
        <v>España</v>
      </c>
      <c r="J29" s="429" t="str">
        <f ca="1">IFERROR(VLOOKUP(J$2,Rango_Admin_DailyPred,MATCH($F29,Rango_Admin_DailyPred_Primera,0),0),"-")</f>
        <v>Portugal</v>
      </c>
      <c r="K29" s="429" t="str">
        <f ca="1">IFERROR(VLOOKUP(K$2,Rango_Admin_DailyPred,MATCH($F29,Rango_Admin_DailyPred_Primera,0),0),"-")</f>
        <v>Francia</v>
      </c>
      <c r="L29" s="429" t="str">
        <f ca="1">IFERROR(VLOOKUP(L$2,Rango_Admin_DailyPred,MATCH($F29,Rango_Admin_DailyPred_Primera,0),0),"-")</f>
        <v>Oyarzabal</v>
      </c>
      <c r="M29" s="429" t="str">
        <f ca="1">IFERROR(VLOOKUP(M$2,Rango_Admin_DailyPred,MATCH($F29,Rango_Admin_DailyPred_Primera,0),0),"-")</f>
        <v>Olise</v>
      </c>
      <c r="N29" s="429" t="str">
        <f ca="1">IFERROR(VLOOKUP(N$2,Rango_Admin_DailyPred,MATCH($F29,Rango_Admin_DailyPred_Primera,0),0),"-")</f>
        <v>Kane</v>
      </c>
      <c r="O29" s="429" t="str">
        <f ca="1">IFERROR(VLOOKUP(O$2,Rango_Admin_DailyPred,MATCH($F29,Rango_Admin_DailyPred_Primera,0),0),"-")</f>
        <v>Pedri</v>
      </c>
      <c r="P29" s="429" t="str">
        <f ca="1">IFERROR(VLOOKUP(P$2,Rango_Admin_DailyPred,MATCH($F29,Rango_Admin_DailyPred_Primera,0),0),"-")</f>
        <v>Fernandes</v>
      </c>
      <c r="Q29" s="429" t="str">
        <f ca="1">IFERROR(VLOOKUP(Q$2,Rango_Admin_DailyPred,MATCH($F29,Rango_Admin_DailyPred_Primera,0),0),"-")</f>
        <v>Yamal</v>
      </c>
      <c r="R29" s="429" t="str">
        <f ca="1">IFERROR(VLOOKUP(R$2,Rango_Admin_DailyPred,MATCH($F29,Rango_Admin_DailyPred_Primera,0),0),"-")</f>
        <v>-</v>
      </c>
      <c r="S29" s="429" t="str">
        <f ca="1">IFERROR(VLOOKUP(S$2,Rango_Admin_DailyPred,MATCH($F29,Rango_Admin_DailyPred_Primera,0),0),"-")</f>
        <v>-</v>
      </c>
      <c r="T29" s="429" t="str">
        <f ca="1">IFERROR(VLOOKUP(T$2,Rango_Admin_DailyPred,MATCH($F29,Rango_Admin_DailyPred_Primera,0),0),"-")</f>
        <v>-</v>
      </c>
      <c r="U29" s="429" t="str">
        <f ca="1">IFERROR(VLOOKUP(U$2,Rango_Admin_DailyPred,MATCH($F29,Rango_Admin_DailyPred_Primera,0),0),"-")</f>
        <v>-</v>
      </c>
      <c r="V29" s="429" t="str">
        <f ca="1">IFERROR(VLOOKUP(V$2,Rango_Admin_DailyPred,MATCH($F29,Rango_Admin_DailyPred_Primera,0),0),"-")</f>
        <v>-</v>
      </c>
      <c r="W29" s="429" t="str">
        <f ca="1">IFERROR(VLOOKUP(W$2,Rango_Admin_DailyPred,MATCH($F29,Rango_Admin_DailyPred_Primera,0),0),"-")</f>
        <v>-</v>
      </c>
      <c r="X29" s="429" t="str">
        <f ca="1">IFERROR(VLOOKUP(X$2,Rango_Admin_DailyPred,MATCH($F29,Rango_Admin_DailyPred_Primera,0),0),"-")</f>
        <v>-</v>
      </c>
      <c r="Y29" s="429" t="str">
        <f ca="1">IFERROR(VLOOKUP(Y$2,Rango_Admin_DailyPred,MATCH($F29,Rango_Admin_DailyPred_Primera,0),0),"-")</f>
        <v>-</v>
      </c>
      <c r="Z29" s="429" t="str">
        <f ca="1">IFERROR(VLOOKUP(Z$2,Rango_Admin_DailyPred,MATCH($F29,Rango_Admin_DailyPred_Primera,0),0),"-")</f>
        <v>-</v>
      </c>
      <c r="AA29" s="429" t="str">
        <f ca="1">IFERROR(VLOOKUP(AA$2,Rango_Admin_DailyPred,MATCH($F29,Rango_Admin_DailyPred_Primera,0),0),"-")</f>
        <v>-</v>
      </c>
      <c r="AB29" s="429" t="str">
        <f ca="1">IFERROR(VLOOKUP(AB$2,Rango_Admin_DailyPred,MATCH($F29,Rango_Admin_DailyPred_Primera,0),0),"-")</f>
        <v>-</v>
      </c>
      <c r="AC29" s="429" t="str">
        <f ca="1">IFERROR(VLOOKUP(AC$2,Rango_Admin_DailyPred,MATCH($F29,Rango_Admin_DailyPred_Primera,0),0),"-")</f>
        <v>-</v>
      </c>
      <c r="AD29" s="429" t="str">
        <f ca="1">IFERROR(VLOOKUP(AD$2,Rango_Admin_DailyPred,MATCH($F29,Rango_Admin_DailyPred_Primera,0),0),"-")</f>
        <v>-</v>
      </c>
      <c r="AE29" s="429" t="str">
        <f ca="1">IFERROR(VLOOKUP(AE$2,Rango_Admin_DailyPred,MATCH($F29,Rango_Admin_DailyPred_Primera,0),0),"-")</f>
        <v>-</v>
      </c>
      <c r="AF29" s="429" t="str">
        <f ca="1">IFERROR(VLOOKUP(AF$2,Rango_Admin_DailyPred,MATCH($F29,Rango_Admin_DailyPred_Primera,0),0),"-")</f>
        <v>-</v>
      </c>
      <c r="AG29" s="429" t="str">
        <f ca="1">IFERROR(VLOOKUP(AG$2,Rango_Admin_DailyPred,MATCH($F29,Rango_Admin_DailyPred_Primera,0),0),"-")</f>
        <v>-</v>
      </c>
      <c r="AH29" s="429" t="str">
        <f ca="1">IFERROR(VLOOKUP(AH$2,Rango_Admin_DailyPred,MATCH($F29,Rango_Admin_DailyPred_Primera,0),0),"-")</f>
        <v>-</v>
      </c>
      <c r="AI29" s="429" t="str">
        <f ca="1">IFERROR(VLOOKUP(AI$2,Rango_Admin_DailyPred,MATCH($F29,Rango_Admin_DailyPred_Primera,0),0),"-")</f>
        <v>-</v>
      </c>
      <c r="AJ29" s="429" t="str">
        <f ca="1">IFERROR(VLOOKUP(AJ$2,Rango_Admin_DailyPred,MATCH($F29,Rango_Admin_DailyPred_Primera,0),0),"-")</f>
        <v>-</v>
      </c>
      <c r="AK29" s="429" t="str">
        <f ca="1">IFERROR(VLOOKUP(AK$2,Rango_Admin_DailyPred,MATCH($F29,Rango_Admin_DailyPred_Primera,0),0),"-")</f>
        <v>-</v>
      </c>
      <c r="AL29" s="429" t="str">
        <f ca="1">IFERROR(VLOOKUP(AL$2,Rango_Admin_DailyPred,MATCH($F29,Rango_Admin_DailyPred_Primera,0),0),"-")</f>
        <v>-</v>
      </c>
      <c r="AM29" s="297"/>
      <c r="AN29" s="297"/>
      <c r="AO29" s="297"/>
    </row>
    <row r="30" spans="1:41">
      <c r="A30" s="8" t="str" cm="1">
        <f t="array" aca="1" ref="A30" ca="1">IFERROR(INDEX(ADMIN!$K$6:$K$258,SMALL(IF(ADMIN!$G$6:$G$258=$J$1,ROW(ADMIN!$G$6:$G$258)-ROW(ADMIN!$G$6)+1),ROWS($A$1:A27))),"")</f>
        <v/>
      </c>
      <c r="B30" s="8" t="str">
        <f t="shared" ca="1" si="0"/>
        <v xml:space="preserve">
</v>
      </c>
      <c r="C30" s="8" t="str" cm="1">
        <f t="array" aca="1" ref="C30" ca="1">IFERROR(IF(INDEX(ADMIN!$M$6:$M$258,SMALL(IF(ADMIN!$G$6:$G$258=$J$1,ROW(ADMIN!$G$6:$G$258)-ROW(ADMIN!$G$6)+1),ROWS($A$1:A27)))="-", "", " ("&amp;INDEX(ADMIN!$M$6:$M$258,SMALL(IF(ADMIN!$G$6:$G$258=$J$1,ROW(ADMIN!$G$6:$G$258)-ROW(ADMIN!$G$6)+1),ROWS($A$1:A27)))&amp;")"),"")</f>
        <v/>
      </c>
      <c r="D30" s="8" t="str" cm="1">
        <f t="array" aca="1" ref="D30" ca="1">IFERROR(IF($J$1&gt;=20,INDEX(ADMIN!$C$6:$C$258,SMALL(IF(ADMIN!$G$6:$G$258=$J$1,ROW(ADMIN!$G$6:$G$258)-ROW(ADMIN!$G$6)+1),ROWS($D$1:D27))),""),"")</f>
        <v/>
      </c>
      <c r="E30" s="19">
        <f t="shared" si="1"/>
        <v>87</v>
      </c>
      <c r="F30" s="448" t="str" cm="1">
        <f t="array" ref="F30">IFERROR(INDEX(Rango_Admin_DailyPred_Primera,1,E30),"-")</f>
        <v>Kurtischamp</v>
      </c>
      <c r="G30" s="429" t="str">
        <f ca="1">IFERROR(VLOOKUP(G$2,Rango_Admin_DailyPred,MATCH($F30,Rango_Admin_DailyPred_Primera,0),0),"-")</f>
        <v>Francia-Brasil·1|3-2</v>
      </c>
      <c r="H30" s="429" t="str">
        <f ca="1">IFERROR(VLOOKUP(H$2,Rango_Admin_DailyPred,MATCH($F30,Rango_Admin_DailyPred_Primera,0),0),"-")</f>
        <v>España-Argentina·1|1-0</v>
      </c>
      <c r="I30" s="429" t="str">
        <f ca="1">IFERROR(VLOOKUP(I$2,Rango_Admin_DailyPred,MATCH($F30,Rango_Admin_DailyPred_Primera,0),0),"-")</f>
        <v>España</v>
      </c>
      <c r="J30" s="429" t="str">
        <f ca="1">IFERROR(VLOOKUP(J$2,Rango_Admin_DailyPred,MATCH($F30,Rango_Admin_DailyPred_Primera,0),0),"-")</f>
        <v>Argentina</v>
      </c>
      <c r="K30" s="429" t="str">
        <f ca="1">IFERROR(VLOOKUP(K$2,Rango_Admin_DailyPred,MATCH($F30,Rango_Admin_DailyPred_Primera,0),0),"-")</f>
        <v>Francia</v>
      </c>
      <c r="L30" s="429" t="str">
        <f ca="1">IFERROR(VLOOKUP(L$2,Rango_Admin_DailyPred,MATCH($F30,Rango_Admin_DailyPred_Primera,0),0),"-")</f>
        <v>Yamal</v>
      </c>
      <c r="M30" s="429" t="str">
        <f ca="1">IFERROR(VLOOKUP(M$2,Rango_Admin_DailyPred,MATCH($F30,Rango_Admin_DailyPred_Primera,0),0),"-")</f>
        <v>Julián Álvarez</v>
      </c>
      <c r="N30" s="429" t="str">
        <f ca="1">IFERROR(VLOOKUP(N$2,Rango_Admin_DailyPred,MATCH($F30,Rango_Admin_DailyPred_Primera,0),0),"-")</f>
        <v>Mbappe</v>
      </c>
      <c r="O30" s="429" t="str">
        <f ca="1">IFERROR(VLOOKUP(O$2,Rango_Admin_DailyPred,MATCH($F30,Rango_Admin_DailyPred_Primera,0),0),"-")</f>
        <v>Yamal</v>
      </c>
      <c r="P30" s="429" t="str">
        <f ca="1">IFERROR(VLOOKUP(P$2,Rango_Admin_DailyPred,MATCH($F30,Rango_Admin_DailyPred_Primera,0),0),"-")</f>
        <v>Julián Álvarez</v>
      </c>
      <c r="Q30" s="429" t="str">
        <f ca="1">IFERROR(VLOOKUP(Q$2,Rango_Admin_DailyPred,MATCH($F30,Rango_Admin_DailyPred_Primera,0),0),"-")</f>
        <v>Mbappe</v>
      </c>
      <c r="R30" s="429" t="str">
        <f ca="1">IFERROR(VLOOKUP(R$2,Rango_Admin_DailyPred,MATCH($F30,Rango_Admin_DailyPred_Primera,0),0),"-")</f>
        <v>-</v>
      </c>
      <c r="S30" s="429" t="str">
        <f ca="1">IFERROR(VLOOKUP(S$2,Rango_Admin_DailyPred,MATCH($F30,Rango_Admin_DailyPred_Primera,0),0),"-")</f>
        <v>-</v>
      </c>
      <c r="T30" s="429" t="str">
        <f ca="1">IFERROR(VLOOKUP(T$2,Rango_Admin_DailyPred,MATCH($F30,Rango_Admin_DailyPred_Primera,0),0),"-")</f>
        <v>-</v>
      </c>
      <c r="U30" s="429" t="str">
        <f ca="1">IFERROR(VLOOKUP(U$2,Rango_Admin_DailyPred,MATCH($F30,Rango_Admin_DailyPred_Primera,0),0),"-")</f>
        <v>-</v>
      </c>
      <c r="V30" s="429" t="str">
        <f ca="1">IFERROR(VLOOKUP(V$2,Rango_Admin_DailyPred,MATCH($F30,Rango_Admin_DailyPred_Primera,0),0),"-")</f>
        <v>-</v>
      </c>
      <c r="W30" s="429" t="str">
        <f ca="1">IFERROR(VLOOKUP(W$2,Rango_Admin_DailyPred,MATCH($F30,Rango_Admin_DailyPred_Primera,0),0),"-")</f>
        <v>-</v>
      </c>
      <c r="X30" s="429" t="str">
        <f ca="1">IFERROR(VLOOKUP(X$2,Rango_Admin_DailyPred,MATCH($F30,Rango_Admin_DailyPred_Primera,0),0),"-")</f>
        <v>-</v>
      </c>
      <c r="Y30" s="429" t="str">
        <f ca="1">IFERROR(VLOOKUP(Y$2,Rango_Admin_DailyPred,MATCH($F30,Rango_Admin_DailyPred_Primera,0),0),"-")</f>
        <v>-</v>
      </c>
      <c r="Z30" s="429" t="str">
        <f ca="1">IFERROR(VLOOKUP(Z$2,Rango_Admin_DailyPred,MATCH($F30,Rango_Admin_DailyPred_Primera,0),0),"-")</f>
        <v>-</v>
      </c>
      <c r="AA30" s="429" t="str">
        <f ca="1">IFERROR(VLOOKUP(AA$2,Rango_Admin_DailyPred,MATCH($F30,Rango_Admin_DailyPred_Primera,0),0),"-")</f>
        <v>-</v>
      </c>
      <c r="AB30" s="429" t="str">
        <f ca="1">IFERROR(VLOOKUP(AB$2,Rango_Admin_DailyPred,MATCH($F30,Rango_Admin_DailyPred_Primera,0),0),"-")</f>
        <v>-</v>
      </c>
      <c r="AC30" s="429" t="str">
        <f ca="1">IFERROR(VLOOKUP(AC$2,Rango_Admin_DailyPred,MATCH($F30,Rango_Admin_DailyPred_Primera,0),0),"-")</f>
        <v>-</v>
      </c>
      <c r="AD30" s="429" t="str">
        <f ca="1">IFERROR(VLOOKUP(AD$2,Rango_Admin_DailyPred,MATCH($F30,Rango_Admin_DailyPred_Primera,0),0),"-")</f>
        <v>-</v>
      </c>
      <c r="AE30" s="429" t="str">
        <f ca="1">IFERROR(VLOOKUP(AE$2,Rango_Admin_DailyPred,MATCH($F30,Rango_Admin_DailyPred_Primera,0),0),"-")</f>
        <v>-</v>
      </c>
      <c r="AF30" s="429" t="str">
        <f ca="1">IFERROR(VLOOKUP(AF$2,Rango_Admin_DailyPred,MATCH($F30,Rango_Admin_DailyPred_Primera,0),0),"-")</f>
        <v>-</v>
      </c>
      <c r="AG30" s="429" t="str">
        <f ca="1">IFERROR(VLOOKUP(AG$2,Rango_Admin_DailyPred,MATCH($F30,Rango_Admin_DailyPred_Primera,0),0),"-")</f>
        <v>-</v>
      </c>
      <c r="AH30" s="429" t="str">
        <f ca="1">IFERROR(VLOOKUP(AH$2,Rango_Admin_DailyPred,MATCH($F30,Rango_Admin_DailyPred_Primera,0),0),"-")</f>
        <v>-</v>
      </c>
      <c r="AI30" s="429" t="str">
        <f ca="1">IFERROR(VLOOKUP(AI$2,Rango_Admin_DailyPred,MATCH($F30,Rango_Admin_DailyPred_Primera,0),0),"-")</f>
        <v>-</v>
      </c>
      <c r="AJ30" s="429" t="str">
        <f ca="1">IFERROR(VLOOKUP(AJ$2,Rango_Admin_DailyPred,MATCH($F30,Rango_Admin_DailyPred_Primera,0),0),"-")</f>
        <v>-</v>
      </c>
      <c r="AK30" s="429" t="str">
        <f ca="1">IFERROR(VLOOKUP(AK$2,Rango_Admin_DailyPred,MATCH($F30,Rango_Admin_DailyPred_Primera,0),0),"-")</f>
        <v>-</v>
      </c>
      <c r="AL30" s="429" t="str">
        <f ca="1">IFERROR(VLOOKUP(AL$2,Rango_Admin_DailyPred,MATCH($F30,Rango_Admin_DailyPred_Primera,0),0),"-")</f>
        <v>-</v>
      </c>
      <c r="AM30" s="297"/>
      <c r="AN30" s="297"/>
      <c r="AO30" s="297"/>
    </row>
    <row r="31" spans="1:41">
      <c r="A31" s="8" t="str" cm="1">
        <f t="array" aca="1" ref="A31" ca="1">IFERROR(INDEX(ADMIN!$K$6:$K$258,SMALL(IF(ADMIN!$G$6:$G$258=$J$1,ROW(ADMIN!$G$6:$G$258)-ROW(ADMIN!$G$6)+1),ROWS($A$1:A28))),"")</f>
        <v/>
      </c>
      <c r="B31" s="8" t="str">
        <f t="shared" ca="1" si="0"/>
        <v xml:space="preserve">
</v>
      </c>
      <c r="C31" s="8" t="str" cm="1">
        <f t="array" aca="1" ref="C31" ca="1">IFERROR(IF(INDEX(ADMIN!$M$6:$M$258,SMALL(IF(ADMIN!$G$6:$G$258=$J$1,ROW(ADMIN!$G$6:$G$258)-ROW(ADMIN!$G$6)+1),ROWS($A$1:A28)))="-", "", " ("&amp;INDEX(ADMIN!$M$6:$M$258,SMALL(IF(ADMIN!$G$6:$G$258=$J$1,ROW(ADMIN!$G$6:$G$258)-ROW(ADMIN!$G$6)+1),ROWS($A$1:A28)))&amp;")"),"")</f>
        <v/>
      </c>
      <c r="D31" s="8" t="str" cm="1">
        <f t="array" aca="1" ref="D31" ca="1">IFERROR(IF($J$1&gt;=20,INDEX(ADMIN!$C$6:$C$258,SMALL(IF(ADMIN!$G$6:$G$258=$J$1,ROW(ADMIN!$G$6:$G$258)-ROW(ADMIN!$G$6)+1),ROWS($D$1:D28))),""),"")</f>
        <v/>
      </c>
      <c r="E31" s="19">
        <f t="shared" si="1"/>
        <v>90</v>
      </c>
      <c r="F31" s="448" t="str" cm="1">
        <f t="array" ref="F31">IFERROR(INDEX(Rango_Admin_DailyPred_Primera,1,E31),"-")</f>
        <v>KIRICOCHO</v>
      </c>
      <c r="G31" s="429" t="str">
        <f ca="1">IFERROR(VLOOKUP(G$2,Rango_Admin_DailyPred,MATCH($F31,Rango_Admin_DailyPred_Primera,0),0),"-")</f>
        <v>Francia-Brasil·1|3-2</v>
      </c>
      <c r="H31" s="429" t="str">
        <f ca="1">IFERROR(VLOOKUP(H$2,Rango_Admin_DailyPred,MATCH($F31,Rango_Admin_DailyPred_Primera,0),0),"-")</f>
        <v>España-Portugal·X|1-1</v>
      </c>
      <c r="I31" s="429" t="str">
        <f ca="1">IFERROR(VLOOKUP(I$2,Rango_Admin_DailyPred,MATCH($F31,Rango_Admin_DailyPred_Primera,0),0),"-")</f>
        <v>Portugal</v>
      </c>
      <c r="J31" s="429" t="str">
        <f ca="1">IFERROR(VLOOKUP(J$2,Rango_Admin_DailyPred,MATCH($F31,Rango_Admin_DailyPred_Primera,0),0),"-")</f>
        <v>España</v>
      </c>
      <c r="K31" s="429" t="str">
        <f ca="1">IFERROR(VLOOKUP(K$2,Rango_Admin_DailyPred,MATCH($F31,Rango_Admin_DailyPred_Primera,0),0),"-")</f>
        <v>Francia</v>
      </c>
      <c r="L31" s="429" t="str">
        <f ca="1">IFERROR(VLOOKUP(L$2,Rango_Admin_DailyPred,MATCH($F31,Rango_Admin_DailyPred_Primera,0),0),"-")</f>
        <v>Mbappe</v>
      </c>
      <c r="M31" s="429" t="str">
        <f ca="1">IFERROR(VLOOKUP(M$2,Rango_Admin_DailyPred,MATCH($F31,Rango_Admin_DailyPred_Primera,0),0),"-")</f>
        <v>Kane</v>
      </c>
      <c r="N31" s="429" t="str">
        <f ca="1">IFERROR(VLOOKUP(N$2,Rango_Admin_DailyPred,MATCH($F31,Rango_Admin_DailyPred_Primera,0),0),"-")</f>
        <v>Julián Álvarez</v>
      </c>
      <c r="O31" s="429" t="str">
        <f ca="1">IFERROR(VLOOKUP(O$2,Rango_Admin_DailyPred,MATCH($F31,Rango_Admin_DailyPred_Primera,0),0),"-")</f>
        <v>Yamal</v>
      </c>
      <c r="P31" s="429" t="str">
        <f ca="1">IFERROR(VLOOKUP(P$2,Rango_Admin_DailyPred,MATCH($F31,Rango_Admin_DailyPred_Primera,0),0),"-")</f>
        <v>Vitinha</v>
      </c>
      <c r="Q31" s="429" t="str">
        <f ca="1">IFERROR(VLOOKUP(Q$2,Rango_Admin_DailyPred,MATCH($F31,Rango_Admin_DailyPred_Primera,0),0),"-")</f>
        <v>Olise</v>
      </c>
      <c r="R31" s="429" t="str">
        <f ca="1">IFERROR(VLOOKUP(R$2,Rango_Admin_DailyPred,MATCH($F31,Rango_Admin_DailyPred_Primera,0),0),"-")</f>
        <v>-</v>
      </c>
      <c r="S31" s="429" t="str">
        <f ca="1">IFERROR(VLOOKUP(S$2,Rango_Admin_DailyPred,MATCH($F31,Rango_Admin_DailyPred_Primera,0),0),"-")</f>
        <v>-</v>
      </c>
      <c r="T31" s="429" t="str">
        <f ca="1">IFERROR(VLOOKUP(T$2,Rango_Admin_DailyPred,MATCH($F31,Rango_Admin_DailyPred_Primera,0),0),"-")</f>
        <v>-</v>
      </c>
      <c r="U31" s="429" t="str">
        <f ca="1">IFERROR(VLOOKUP(U$2,Rango_Admin_DailyPred,MATCH($F31,Rango_Admin_DailyPred_Primera,0),0),"-")</f>
        <v>-</v>
      </c>
      <c r="V31" s="429" t="str">
        <f ca="1">IFERROR(VLOOKUP(V$2,Rango_Admin_DailyPred,MATCH($F31,Rango_Admin_DailyPred_Primera,0),0),"-")</f>
        <v>-</v>
      </c>
      <c r="W31" s="429" t="str">
        <f ca="1">IFERROR(VLOOKUP(W$2,Rango_Admin_DailyPred,MATCH($F31,Rango_Admin_DailyPred_Primera,0),0),"-")</f>
        <v>-</v>
      </c>
      <c r="X31" s="429" t="str">
        <f ca="1">IFERROR(VLOOKUP(X$2,Rango_Admin_DailyPred,MATCH($F31,Rango_Admin_DailyPred_Primera,0),0),"-")</f>
        <v>-</v>
      </c>
      <c r="Y31" s="429" t="str">
        <f ca="1">IFERROR(VLOOKUP(Y$2,Rango_Admin_DailyPred,MATCH($F31,Rango_Admin_DailyPred_Primera,0),0),"-")</f>
        <v>-</v>
      </c>
      <c r="Z31" s="429" t="str">
        <f ca="1">IFERROR(VLOOKUP(Z$2,Rango_Admin_DailyPred,MATCH($F31,Rango_Admin_DailyPred_Primera,0),0),"-")</f>
        <v>-</v>
      </c>
      <c r="AA31" s="429" t="str">
        <f ca="1">IFERROR(VLOOKUP(AA$2,Rango_Admin_DailyPred,MATCH($F31,Rango_Admin_DailyPred_Primera,0),0),"-")</f>
        <v>-</v>
      </c>
      <c r="AB31" s="429" t="str">
        <f ca="1">IFERROR(VLOOKUP(AB$2,Rango_Admin_DailyPred,MATCH($F31,Rango_Admin_DailyPred_Primera,0),0),"-")</f>
        <v>-</v>
      </c>
      <c r="AC31" s="429" t="str">
        <f ca="1">IFERROR(VLOOKUP(AC$2,Rango_Admin_DailyPred,MATCH($F31,Rango_Admin_DailyPred_Primera,0),0),"-")</f>
        <v>-</v>
      </c>
      <c r="AD31" s="429" t="str">
        <f ca="1">IFERROR(VLOOKUP(AD$2,Rango_Admin_DailyPred,MATCH($F31,Rango_Admin_DailyPred_Primera,0),0),"-")</f>
        <v>-</v>
      </c>
      <c r="AE31" s="429" t="str">
        <f ca="1">IFERROR(VLOOKUP(AE$2,Rango_Admin_DailyPred,MATCH($F31,Rango_Admin_DailyPred_Primera,0),0),"-")</f>
        <v>-</v>
      </c>
      <c r="AF31" s="429" t="str">
        <f ca="1">IFERROR(VLOOKUP(AF$2,Rango_Admin_DailyPred,MATCH($F31,Rango_Admin_DailyPred_Primera,0),0),"-")</f>
        <v>-</v>
      </c>
      <c r="AG31" s="429" t="str">
        <f ca="1">IFERROR(VLOOKUP(AG$2,Rango_Admin_DailyPred,MATCH($F31,Rango_Admin_DailyPred_Primera,0),0),"-")</f>
        <v>-</v>
      </c>
      <c r="AH31" s="429" t="str">
        <f ca="1">IFERROR(VLOOKUP(AH$2,Rango_Admin_DailyPred,MATCH($F31,Rango_Admin_DailyPred_Primera,0),0),"-")</f>
        <v>-</v>
      </c>
      <c r="AI31" s="429" t="str">
        <f ca="1">IFERROR(VLOOKUP(AI$2,Rango_Admin_DailyPred,MATCH($F31,Rango_Admin_DailyPred_Primera,0),0),"-")</f>
        <v>-</v>
      </c>
      <c r="AJ31" s="429" t="str">
        <f ca="1">IFERROR(VLOOKUP(AJ$2,Rango_Admin_DailyPred,MATCH($F31,Rango_Admin_DailyPred_Primera,0),0),"-")</f>
        <v>-</v>
      </c>
      <c r="AK31" s="429" t="str">
        <f ca="1">IFERROR(VLOOKUP(AK$2,Rango_Admin_DailyPred,MATCH($F31,Rango_Admin_DailyPred_Primera,0),0),"-")</f>
        <v>-</v>
      </c>
      <c r="AL31" s="429" t="str">
        <f ca="1">IFERROR(VLOOKUP(AL$2,Rango_Admin_DailyPred,MATCH($F31,Rango_Admin_DailyPred_Primera,0),0),"-")</f>
        <v>-</v>
      </c>
      <c r="AM31" s="297"/>
      <c r="AN31" s="297"/>
      <c r="AO31" s="297"/>
    </row>
    <row r="32" spans="1:41">
      <c r="A32" s="8" t="str" cm="1">
        <f t="array" aca="1" ref="A32" ca="1">IFERROR(INDEX(ADMIN!$K$6:$K$258,SMALL(IF(ADMIN!$G$6:$G$258=$J$1,ROW(ADMIN!$G$6:$G$258)-ROW(ADMIN!$G$6)+1),ROWS($A$1:A29))),"")</f>
        <v/>
      </c>
      <c r="B32" s="8" t="str">
        <f t="shared" ca="1" si="0"/>
        <v xml:space="preserve">
</v>
      </c>
      <c r="C32" s="8" t="str" cm="1">
        <f t="array" aca="1" ref="C32" ca="1">IFERROR(IF(INDEX(ADMIN!$M$6:$M$258,SMALL(IF(ADMIN!$G$6:$G$258=$J$1,ROW(ADMIN!$G$6:$G$258)-ROW(ADMIN!$G$6)+1),ROWS($A$1:A29)))="-", "", " ("&amp;INDEX(ADMIN!$M$6:$M$258,SMALL(IF(ADMIN!$G$6:$G$258=$J$1,ROW(ADMIN!$G$6:$G$258)-ROW(ADMIN!$G$6)+1),ROWS($A$1:A29)))&amp;")"),"")</f>
        <v/>
      </c>
      <c r="D32" s="8" t="str" cm="1">
        <f t="array" aca="1" ref="D32" ca="1">IFERROR(IF($J$1&gt;=20,INDEX(ADMIN!$C$6:$C$258,SMALL(IF(ADMIN!$G$6:$G$258=$J$1,ROW(ADMIN!$G$6:$G$258)-ROW(ADMIN!$G$6)+1),ROWS($D$1:D29))),""),"")</f>
        <v/>
      </c>
      <c r="E32" s="19">
        <f t="shared" si="1"/>
        <v>93</v>
      </c>
      <c r="F32" s="448" t="str" cm="1">
        <f t="array" ref="F32">IFERROR(INDEX(Rango_Admin_DailyPred_Primera,1,E32),"-")</f>
        <v>BeliBeltrán</v>
      </c>
      <c r="G32" s="429" t="str">
        <f ca="1">IFERROR(VLOOKUP(G$2,Rango_Admin_DailyPred,MATCH($F32,Rango_Admin_DailyPred_Primera,0),0),"-")</f>
        <v>España-Argentina·1|2-1</v>
      </c>
      <c r="H32" s="429" t="str">
        <f ca="1">IFERROR(VLOOKUP(H$2,Rango_Admin_DailyPred,MATCH($F32,Rango_Admin_DailyPred_Primera,0),0),"-")</f>
        <v>Francia-Inglaterra·2|0-1</v>
      </c>
      <c r="I32" s="429" t="str">
        <f ca="1">IFERROR(VLOOKUP(I$2,Rango_Admin_DailyPred,MATCH($F32,Rango_Admin_DailyPred_Primera,0),0),"-")</f>
        <v>Inglaterra</v>
      </c>
      <c r="J32" s="429" t="str">
        <f ca="1">IFERROR(VLOOKUP(J$2,Rango_Admin_DailyPred,MATCH($F32,Rango_Admin_DailyPred_Primera,0),0),"-")</f>
        <v>Francia</v>
      </c>
      <c r="K32" s="429" t="str">
        <f ca="1">IFERROR(VLOOKUP(K$2,Rango_Admin_DailyPred,MATCH($F32,Rango_Admin_DailyPred_Primera,0),0),"-")</f>
        <v>España</v>
      </c>
      <c r="L32" s="429" t="str">
        <f ca="1">IFERROR(VLOOKUP(L$2,Rango_Admin_DailyPred,MATCH($F32,Rango_Admin_DailyPred_Primera,0),0),"-")</f>
        <v>Haaland</v>
      </c>
      <c r="M32" s="429" t="str">
        <f ca="1">IFERROR(VLOOKUP(M$2,Rango_Admin_DailyPred,MATCH($F32,Rango_Admin_DailyPred_Primera,0),0),"-")</f>
        <v>Olise</v>
      </c>
      <c r="N32" s="429" t="str">
        <f ca="1">IFERROR(VLOOKUP(N$2,Rango_Admin_DailyPred,MATCH($F32,Rango_Admin_DailyPred_Primera,0),0),"-")</f>
        <v>Kane</v>
      </c>
      <c r="O32" s="429" t="str">
        <f ca="1">IFERROR(VLOOKUP(O$2,Rango_Admin_DailyPred,MATCH($F32,Rango_Admin_DailyPred_Primera,0),0),"-")</f>
        <v>Kane</v>
      </c>
      <c r="P32" s="429" t="str">
        <f ca="1">IFERROR(VLOOKUP(P$2,Rango_Admin_DailyPred,MATCH($F32,Rango_Admin_DailyPred_Primera,0),0),"-")</f>
        <v>Olise</v>
      </c>
      <c r="Q32" s="429" t="str">
        <f ca="1">IFERROR(VLOOKUP(Q$2,Rango_Admin_DailyPred,MATCH($F32,Rango_Admin_DailyPred_Primera,0),0),"-")</f>
        <v>Yamal</v>
      </c>
      <c r="R32" s="429" t="str">
        <f ca="1">IFERROR(VLOOKUP(R$2,Rango_Admin_DailyPred,MATCH($F32,Rango_Admin_DailyPred_Primera,0),0),"-")</f>
        <v>-</v>
      </c>
      <c r="S32" s="429" t="str">
        <f ca="1">IFERROR(VLOOKUP(S$2,Rango_Admin_DailyPred,MATCH($F32,Rango_Admin_DailyPred_Primera,0),0),"-")</f>
        <v>-</v>
      </c>
      <c r="T32" s="429" t="str">
        <f ca="1">IFERROR(VLOOKUP(T$2,Rango_Admin_DailyPred,MATCH($F32,Rango_Admin_DailyPred_Primera,0),0),"-")</f>
        <v>-</v>
      </c>
      <c r="U32" s="429" t="str">
        <f ca="1">IFERROR(VLOOKUP(U$2,Rango_Admin_DailyPred,MATCH($F32,Rango_Admin_DailyPred_Primera,0),0),"-")</f>
        <v>-</v>
      </c>
      <c r="V32" s="429" t="str">
        <f ca="1">IFERROR(VLOOKUP(V$2,Rango_Admin_DailyPred,MATCH($F32,Rango_Admin_DailyPred_Primera,0),0),"-")</f>
        <v>-</v>
      </c>
      <c r="W32" s="429" t="str">
        <f ca="1">IFERROR(VLOOKUP(W$2,Rango_Admin_DailyPred,MATCH($F32,Rango_Admin_DailyPred_Primera,0),0),"-")</f>
        <v>-</v>
      </c>
      <c r="X32" s="429" t="str">
        <f ca="1">IFERROR(VLOOKUP(X$2,Rango_Admin_DailyPred,MATCH($F32,Rango_Admin_DailyPred_Primera,0),0),"-")</f>
        <v>-</v>
      </c>
      <c r="Y32" s="429" t="str">
        <f ca="1">IFERROR(VLOOKUP(Y$2,Rango_Admin_DailyPred,MATCH($F32,Rango_Admin_DailyPred_Primera,0),0),"-")</f>
        <v>-</v>
      </c>
      <c r="Z32" s="429" t="str">
        <f ca="1">IFERROR(VLOOKUP(Z$2,Rango_Admin_DailyPred,MATCH($F32,Rango_Admin_DailyPred_Primera,0),0),"-")</f>
        <v>-</v>
      </c>
      <c r="AA32" s="429" t="str">
        <f ca="1">IFERROR(VLOOKUP(AA$2,Rango_Admin_DailyPred,MATCH($F32,Rango_Admin_DailyPred_Primera,0),0),"-")</f>
        <v>-</v>
      </c>
      <c r="AB32" s="429" t="str">
        <f ca="1">IFERROR(VLOOKUP(AB$2,Rango_Admin_DailyPred,MATCH($F32,Rango_Admin_DailyPred_Primera,0),0),"-")</f>
        <v>-</v>
      </c>
      <c r="AC32" s="429" t="str">
        <f ca="1">IFERROR(VLOOKUP(AC$2,Rango_Admin_DailyPred,MATCH($F32,Rango_Admin_DailyPred_Primera,0),0),"-")</f>
        <v>-</v>
      </c>
      <c r="AD32" s="429" t="str">
        <f ca="1">IFERROR(VLOOKUP(AD$2,Rango_Admin_DailyPred,MATCH($F32,Rango_Admin_DailyPred_Primera,0),0),"-")</f>
        <v>-</v>
      </c>
      <c r="AE32" s="429" t="str">
        <f ca="1">IFERROR(VLOOKUP(AE$2,Rango_Admin_DailyPred,MATCH($F32,Rango_Admin_DailyPred_Primera,0),0),"-")</f>
        <v>-</v>
      </c>
      <c r="AF32" s="429" t="str">
        <f ca="1">IFERROR(VLOOKUP(AF$2,Rango_Admin_DailyPred,MATCH($F32,Rango_Admin_DailyPred_Primera,0),0),"-")</f>
        <v>-</v>
      </c>
      <c r="AG32" s="429" t="str">
        <f ca="1">IFERROR(VLOOKUP(AG$2,Rango_Admin_DailyPred,MATCH($F32,Rango_Admin_DailyPred_Primera,0),0),"-")</f>
        <v>-</v>
      </c>
      <c r="AH32" s="429" t="str">
        <f ca="1">IFERROR(VLOOKUP(AH$2,Rango_Admin_DailyPred,MATCH($F32,Rango_Admin_DailyPred_Primera,0),0),"-")</f>
        <v>-</v>
      </c>
      <c r="AI32" s="429" t="str">
        <f ca="1">IFERROR(VLOOKUP(AI$2,Rango_Admin_DailyPred,MATCH($F32,Rango_Admin_DailyPred_Primera,0),0),"-")</f>
        <v>-</v>
      </c>
      <c r="AJ32" s="429" t="str">
        <f ca="1">IFERROR(VLOOKUP(AJ$2,Rango_Admin_DailyPred,MATCH($F32,Rango_Admin_DailyPred_Primera,0),0),"-")</f>
        <v>-</v>
      </c>
      <c r="AK32" s="429" t="str">
        <f ca="1">IFERROR(VLOOKUP(AK$2,Rango_Admin_DailyPred,MATCH($F32,Rango_Admin_DailyPred_Primera,0),0),"-")</f>
        <v>-</v>
      </c>
      <c r="AL32" s="429" t="str">
        <f ca="1">IFERROR(VLOOKUP(AL$2,Rango_Admin_DailyPred,MATCH($F32,Rango_Admin_DailyPred_Primera,0),0),"-")</f>
        <v>-</v>
      </c>
      <c r="AM32" s="297"/>
      <c r="AN32" s="297"/>
      <c r="AO32" s="297"/>
    </row>
    <row r="33" spans="1:41">
      <c r="A33" s="8" t="str" cm="1">
        <f t="array" aca="1" ref="A33" ca="1">IFERROR(INDEX(ADMIN!$K$6:$K$258,SMALL(IF(ADMIN!$G$6:$G$258=$J$1,ROW(ADMIN!$G$6:$G$258)-ROW(ADMIN!$G$6)+1),ROWS($A$1:A30))),"")</f>
        <v/>
      </c>
      <c r="B33" s="8" t="str">
        <f t="shared" ca="1" si="0"/>
        <v xml:space="preserve">
</v>
      </c>
      <c r="C33" s="8" t="str" cm="1">
        <f t="array" aca="1" ref="C33" ca="1">IFERROR(IF(INDEX(ADMIN!$M$6:$M$258,SMALL(IF(ADMIN!$G$6:$G$258=$J$1,ROW(ADMIN!$G$6:$G$258)-ROW(ADMIN!$G$6)+1),ROWS($A$1:A30)))="-", "", " ("&amp;INDEX(ADMIN!$M$6:$M$258,SMALL(IF(ADMIN!$G$6:$G$258=$J$1,ROW(ADMIN!$G$6:$G$258)-ROW(ADMIN!$G$6)+1),ROWS($A$1:A30)))&amp;")"),"")</f>
        <v/>
      </c>
      <c r="D33" s="8" t="str" cm="1">
        <f t="array" aca="1" ref="D33" ca="1">IFERROR(IF($J$1&gt;=20,INDEX(ADMIN!$C$6:$C$258,SMALL(IF(ADMIN!$G$6:$G$258=$J$1,ROW(ADMIN!$G$6:$G$258)-ROW(ADMIN!$G$6)+1),ROWS($D$1:D30))),""),"")</f>
        <v/>
      </c>
      <c r="E33" s="19">
        <f t="shared" si="1"/>
        <v>96</v>
      </c>
      <c r="F33" s="448" t="str" cm="1">
        <f t="array" ref="F33">IFERROR(INDEX(Rango_Admin_DailyPred_Primera,1,E33),"-")</f>
        <v>Fernando Carlos García-Ramos Redondo</v>
      </c>
      <c r="G33" s="429" t="str">
        <f ca="1">IFERROR(VLOOKUP(G$2,Rango_Admin_DailyPred,MATCH($F33,Rango_Admin_DailyPred_Primera,0),0),"-")</f>
        <v>Francia-Brasil·1|3-0</v>
      </c>
      <c r="H33" s="429" t="str">
        <f ca="1">IFERROR(VLOOKUP(H$2,Rango_Admin_DailyPred,MATCH($F33,Rango_Admin_DailyPred_Primera,0),0),"-")</f>
        <v>España-Argentina·1|2-0</v>
      </c>
      <c r="I33" s="429" t="str">
        <f ca="1">IFERROR(VLOOKUP(I$2,Rango_Admin_DailyPred,MATCH($F33,Rango_Admin_DailyPred_Primera,0),0),"-")</f>
        <v>España</v>
      </c>
      <c r="J33" s="429" t="str">
        <f ca="1">IFERROR(VLOOKUP(J$2,Rango_Admin_DailyPred,MATCH($F33,Rango_Admin_DailyPred_Primera,0),0),"-")</f>
        <v>Argentina</v>
      </c>
      <c r="K33" s="429" t="str">
        <f ca="1">IFERROR(VLOOKUP(K$2,Rango_Admin_DailyPred,MATCH($F33,Rango_Admin_DailyPred_Primera,0),0),"-")</f>
        <v>Francia</v>
      </c>
      <c r="L33" s="429" t="str">
        <f ca="1">IFERROR(VLOOKUP(L$2,Rango_Admin_DailyPred,MATCH($F33,Rango_Admin_DailyPred_Primera,0),0),"-")</f>
        <v>Oyarzabal</v>
      </c>
      <c r="M33" s="429" t="str">
        <f ca="1">IFERROR(VLOOKUP(M$2,Rango_Admin_DailyPred,MATCH($F33,Rango_Admin_DailyPred_Primera,0),0),"-")</f>
        <v>Kane</v>
      </c>
      <c r="N33" s="429" t="str">
        <f ca="1">IFERROR(VLOOKUP(N$2,Rango_Admin_DailyPred,MATCH($F33,Rango_Admin_DailyPred_Primera,0),0),"-")</f>
        <v>Raphina</v>
      </c>
      <c r="O33" s="429" t="str">
        <f ca="1">IFERROR(VLOOKUP(O$2,Rango_Admin_DailyPred,MATCH($F33,Rango_Admin_DailyPred_Primera,0),0),"-")</f>
        <v>Yamal</v>
      </c>
      <c r="P33" s="429" t="str">
        <f ca="1">IFERROR(VLOOKUP(P$2,Rango_Admin_DailyPred,MATCH($F33,Rango_Admin_DailyPred_Primera,0),0),"-")</f>
        <v>Messi</v>
      </c>
      <c r="Q33" s="429" t="str">
        <f ca="1">IFERROR(VLOOKUP(Q$2,Rango_Admin_DailyPred,MATCH($F33,Rango_Admin_DailyPred_Primera,0),0),"-")</f>
        <v>Dembele</v>
      </c>
      <c r="R33" s="429" t="str">
        <f ca="1">IFERROR(VLOOKUP(R$2,Rango_Admin_DailyPred,MATCH($F33,Rango_Admin_DailyPred_Primera,0),0),"-")</f>
        <v>-</v>
      </c>
      <c r="S33" s="429" t="str">
        <f ca="1">IFERROR(VLOOKUP(S$2,Rango_Admin_DailyPred,MATCH($F33,Rango_Admin_DailyPred_Primera,0),0),"-")</f>
        <v>-</v>
      </c>
      <c r="T33" s="429" t="str">
        <f ca="1">IFERROR(VLOOKUP(T$2,Rango_Admin_DailyPred,MATCH($F33,Rango_Admin_DailyPred_Primera,0),0),"-")</f>
        <v>-</v>
      </c>
      <c r="U33" s="429" t="str">
        <f ca="1">IFERROR(VLOOKUP(U$2,Rango_Admin_DailyPred,MATCH($F33,Rango_Admin_DailyPred_Primera,0),0),"-")</f>
        <v>-</v>
      </c>
      <c r="V33" s="429" t="str">
        <f ca="1">IFERROR(VLOOKUP(V$2,Rango_Admin_DailyPred,MATCH($F33,Rango_Admin_DailyPred_Primera,0),0),"-")</f>
        <v>-</v>
      </c>
      <c r="W33" s="429" t="str">
        <f ca="1">IFERROR(VLOOKUP(W$2,Rango_Admin_DailyPred,MATCH($F33,Rango_Admin_DailyPred_Primera,0),0),"-")</f>
        <v>-</v>
      </c>
      <c r="X33" s="429" t="str">
        <f ca="1">IFERROR(VLOOKUP(X$2,Rango_Admin_DailyPred,MATCH($F33,Rango_Admin_DailyPred_Primera,0),0),"-")</f>
        <v>-</v>
      </c>
      <c r="Y33" s="429" t="str">
        <f ca="1">IFERROR(VLOOKUP(Y$2,Rango_Admin_DailyPred,MATCH($F33,Rango_Admin_DailyPred_Primera,0),0),"-")</f>
        <v>-</v>
      </c>
      <c r="Z33" s="429" t="str">
        <f ca="1">IFERROR(VLOOKUP(Z$2,Rango_Admin_DailyPred,MATCH($F33,Rango_Admin_DailyPred_Primera,0),0),"-")</f>
        <v>-</v>
      </c>
      <c r="AA33" s="429" t="str">
        <f ca="1">IFERROR(VLOOKUP(AA$2,Rango_Admin_DailyPred,MATCH($F33,Rango_Admin_DailyPred_Primera,0),0),"-")</f>
        <v>-</v>
      </c>
      <c r="AB33" s="429" t="str">
        <f ca="1">IFERROR(VLOOKUP(AB$2,Rango_Admin_DailyPred,MATCH($F33,Rango_Admin_DailyPred_Primera,0),0),"-")</f>
        <v>-</v>
      </c>
      <c r="AC33" s="429" t="str">
        <f ca="1">IFERROR(VLOOKUP(AC$2,Rango_Admin_DailyPred,MATCH($F33,Rango_Admin_DailyPred_Primera,0),0),"-")</f>
        <v>-</v>
      </c>
      <c r="AD33" s="429" t="str">
        <f ca="1">IFERROR(VLOOKUP(AD$2,Rango_Admin_DailyPred,MATCH($F33,Rango_Admin_DailyPred_Primera,0),0),"-")</f>
        <v>-</v>
      </c>
      <c r="AE33" s="429" t="str">
        <f ca="1">IFERROR(VLOOKUP(AE$2,Rango_Admin_DailyPred,MATCH($F33,Rango_Admin_DailyPred_Primera,0),0),"-")</f>
        <v>-</v>
      </c>
      <c r="AF33" s="429" t="str">
        <f ca="1">IFERROR(VLOOKUP(AF$2,Rango_Admin_DailyPred,MATCH($F33,Rango_Admin_DailyPred_Primera,0),0),"-")</f>
        <v>-</v>
      </c>
      <c r="AG33" s="429" t="str">
        <f ca="1">IFERROR(VLOOKUP(AG$2,Rango_Admin_DailyPred,MATCH($F33,Rango_Admin_DailyPred_Primera,0),0),"-")</f>
        <v>-</v>
      </c>
      <c r="AH33" s="429" t="str">
        <f ca="1">IFERROR(VLOOKUP(AH$2,Rango_Admin_DailyPred,MATCH($F33,Rango_Admin_DailyPred_Primera,0),0),"-")</f>
        <v>-</v>
      </c>
      <c r="AI33" s="429" t="str">
        <f ca="1">IFERROR(VLOOKUP(AI$2,Rango_Admin_DailyPred,MATCH($F33,Rango_Admin_DailyPred_Primera,0),0),"-")</f>
        <v>-</v>
      </c>
      <c r="AJ33" s="429" t="str">
        <f ca="1">IFERROR(VLOOKUP(AJ$2,Rango_Admin_DailyPred,MATCH($F33,Rango_Admin_DailyPred_Primera,0),0),"-")</f>
        <v>-</v>
      </c>
      <c r="AK33" s="429" t="str">
        <f ca="1">IFERROR(VLOOKUP(AK$2,Rango_Admin_DailyPred,MATCH($F33,Rango_Admin_DailyPred_Primera,0),0),"-")</f>
        <v>-</v>
      </c>
      <c r="AL33" s="429" t="str">
        <f ca="1">IFERROR(VLOOKUP(AL$2,Rango_Admin_DailyPred,MATCH($F33,Rango_Admin_DailyPred_Primera,0),0),"-")</f>
        <v>-</v>
      </c>
      <c r="AM33" s="297"/>
      <c r="AN33" s="297"/>
      <c r="AO33" s="297"/>
    </row>
    <row r="34" spans="1:41">
      <c r="A34" s="8" t="str" cm="1">
        <f t="array" aca="1" ref="A34" ca="1">IFERROR(INDEX(ADMIN!$K$6:$K$258,SMALL(IF(ADMIN!$G$6:$G$258=$J$1,ROW(ADMIN!$G$6:$G$258)-ROW(ADMIN!$G$6)+1),ROWS($A$1:A31))),"")</f>
        <v/>
      </c>
      <c r="B34" s="8" t="str">
        <f t="shared" ca="1" si="0"/>
        <v xml:space="preserve">
</v>
      </c>
      <c r="C34" s="8" t="str" cm="1">
        <f t="array" aca="1" ref="C34" ca="1">IFERROR(IF(INDEX(ADMIN!$M$6:$M$258,SMALL(IF(ADMIN!$G$6:$G$258=$J$1,ROW(ADMIN!$G$6:$G$258)-ROW(ADMIN!$G$6)+1),ROWS($A$1:A31)))="-", "", " ("&amp;INDEX(ADMIN!$M$6:$M$258,SMALL(IF(ADMIN!$G$6:$G$258=$J$1,ROW(ADMIN!$G$6:$G$258)-ROW(ADMIN!$G$6)+1),ROWS($A$1:A31)))&amp;")"),"")</f>
        <v/>
      </c>
      <c r="D34" s="8" t="str" cm="1">
        <f t="array" aca="1" ref="D34" ca="1">IFERROR(IF($J$1&gt;=20,INDEX(ADMIN!$C$6:$C$258,SMALL(IF(ADMIN!$G$6:$G$258=$J$1,ROW(ADMIN!$G$6:$G$258)-ROW(ADMIN!$G$6)+1),ROWS($D$1:D31))),""),"")</f>
        <v/>
      </c>
      <c r="E34" s="19">
        <f t="shared" si="1"/>
        <v>99</v>
      </c>
      <c r="F34" s="448" t="str" cm="1">
        <f t="array" ref="F34">IFERROR(INDEX(Rango_Admin_DailyPred_Primera,1,E34),"-")</f>
        <v>Vicuinho</v>
      </c>
      <c r="G34" s="429" t="str">
        <f ca="1">IFERROR(VLOOKUP(G$2,Rango_Admin_DailyPred,MATCH($F34,Rango_Admin_DailyPred_Primera,0),0),"-")</f>
        <v>Turquía-Argentina·2|1-3</v>
      </c>
      <c r="H34" s="429" t="str">
        <f ca="1">IFERROR(VLOOKUP(H$2,Rango_Admin_DailyPred,MATCH($F34,Rango_Admin_DailyPred_Primera,0),0),"-")</f>
        <v>Alemania-Brasil·2|0-2</v>
      </c>
      <c r="I34" s="429" t="str">
        <f ca="1">IFERROR(VLOOKUP(I$2,Rango_Admin_DailyPred,MATCH($F34,Rango_Admin_DailyPred_Primera,0),0),"-")</f>
        <v>Brasil</v>
      </c>
      <c r="J34" s="429" t="str">
        <f ca="1">IFERROR(VLOOKUP(J$2,Rango_Admin_DailyPred,MATCH($F34,Rango_Admin_DailyPred_Primera,0),0),"-")</f>
        <v>Alemania</v>
      </c>
      <c r="K34" s="429" t="str">
        <f ca="1">IFERROR(VLOOKUP(K$2,Rango_Admin_DailyPred,MATCH($F34,Rango_Admin_DailyPred_Primera,0),0),"-")</f>
        <v>Argentina</v>
      </c>
      <c r="L34" s="429" t="str">
        <f ca="1">IFERROR(VLOOKUP(L$2,Rango_Admin_DailyPred,MATCH($F34,Rango_Admin_DailyPred_Primera,0),0),"-")</f>
        <v>Endrick</v>
      </c>
      <c r="M34" s="429" t="str">
        <f ca="1">IFERROR(VLOOKUP(M$2,Rango_Admin_DailyPred,MATCH($F34,Rango_Admin_DailyPred_Primera,0),0),"-")</f>
        <v>Olise</v>
      </c>
      <c r="N34" s="429" t="str">
        <f ca="1">IFERROR(VLOOKUP(N$2,Rango_Admin_DailyPred,MATCH($F34,Rango_Admin_DailyPred_Primera,0),0),"-")</f>
        <v>Messi</v>
      </c>
      <c r="O34" s="429" t="str">
        <f ca="1">IFERROR(VLOOKUP(O$2,Rango_Admin_DailyPred,MATCH($F34,Rango_Admin_DailyPred_Primera,0),0),"-")</f>
        <v>Raphina</v>
      </c>
      <c r="P34" s="429" t="str">
        <f ca="1">IFERROR(VLOOKUP(P$2,Rango_Admin_DailyPred,MATCH($F34,Rango_Admin_DailyPred_Primera,0),0),"-")</f>
        <v>Wirtz</v>
      </c>
      <c r="Q34" s="429" t="str">
        <f ca="1">IFERROR(VLOOKUP(Q$2,Rango_Admin_DailyPred,MATCH($F34,Rango_Admin_DailyPred_Primera,0),0),"-")</f>
        <v>Messi</v>
      </c>
      <c r="R34" s="429" t="str">
        <f ca="1">IFERROR(VLOOKUP(R$2,Rango_Admin_DailyPred,MATCH($F34,Rango_Admin_DailyPred_Primera,0),0),"-")</f>
        <v>-</v>
      </c>
      <c r="S34" s="429" t="str">
        <f ca="1">IFERROR(VLOOKUP(S$2,Rango_Admin_DailyPred,MATCH($F34,Rango_Admin_DailyPred_Primera,0),0),"-")</f>
        <v>-</v>
      </c>
      <c r="T34" s="429" t="str">
        <f ca="1">IFERROR(VLOOKUP(T$2,Rango_Admin_DailyPred,MATCH($F34,Rango_Admin_DailyPred_Primera,0),0),"-")</f>
        <v>-</v>
      </c>
      <c r="U34" s="429" t="str">
        <f ca="1">IFERROR(VLOOKUP(U$2,Rango_Admin_DailyPred,MATCH($F34,Rango_Admin_DailyPred_Primera,0),0),"-")</f>
        <v>-</v>
      </c>
      <c r="V34" s="429" t="str">
        <f ca="1">IFERROR(VLOOKUP(V$2,Rango_Admin_DailyPred,MATCH($F34,Rango_Admin_DailyPred_Primera,0),0),"-")</f>
        <v>-</v>
      </c>
      <c r="W34" s="429" t="str">
        <f ca="1">IFERROR(VLOOKUP(W$2,Rango_Admin_DailyPred,MATCH($F34,Rango_Admin_DailyPred_Primera,0),0),"-")</f>
        <v>-</v>
      </c>
      <c r="X34" s="429" t="str">
        <f ca="1">IFERROR(VLOOKUP(X$2,Rango_Admin_DailyPred,MATCH($F34,Rango_Admin_DailyPred_Primera,0),0),"-")</f>
        <v>-</v>
      </c>
      <c r="Y34" s="429" t="str">
        <f ca="1">IFERROR(VLOOKUP(Y$2,Rango_Admin_DailyPred,MATCH($F34,Rango_Admin_DailyPred_Primera,0),0),"-")</f>
        <v>-</v>
      </c>
      <c r="Z34" s="429" t="str">
        <f ca="1">IFERROR(VLOOKUP(Z$2,Rango_Admin_DailyPred,MATCH($F34,Rango_Admin_DailyPred_Primera,0),0),"-")</f>
        <v>-</v>
      </c>
      <c r="AA34" s="429" t="str">
        <f ca="1">IFERROR(VLOOKUP(AA$2,Rango_Admin_DailyPred,MATCH($F34,Rango_Admin_DailyPred_Primera,0),0),"-")</f>
        <v>-</v>
      </c>
      <c r="AB34" s="429" t="str">
        <f ca="1">IFERROR(VLOOKUP(AB$2,Rango_Admin_DailyPred,MATCH($F34,Rango_Admin_DailyPred_Primera,0),0),"-")</f>
        <v>-</v>
      </c>
      <c r="AC34" s="429" t="str">
        <f ca="1">IFERROR(VLOOKUP(AC$2,Rango_Admin_DailyPred,MATCH($F34,Rango_Admin_DailyPred_Primera,0),0),"-")</f>
        <v>-</v>
      </c>
      <c r="AD34" s="429" t="str">
        <f ca="1">IFERROR(VLOOKUP(AD$2,Rango_Admin_DailyPred,MATCH($F34,Rango_Admin_DailyPred_Primera,0),0),"-")</f>
        <v>-</v>
      </c>
      <c r="AE34" s="429" t="str">
        <f ca="1">IFERROR(VLOOKUP(AE$2,Rango_Admin_DailyPred,MATCH($F34,Rango_Admin_DailyPred_Primera,0),0),"-")</f>
        <v>-</v>
      </c>
      <c r="AF34" s="429" t="str">
        <f ca="1">IFERROR(VLOOKUP(AF$2,Rango_Admin_DailyPred,MATCH($F34,Rango_Admin_DailyPred_Primera,0),0),"-")</f>
        <v>-</v>
      </c>
      <c r="AG34" s="429" t="str">
        <f ca="1">IFERROR(VLOOKUP(AG$2,Rango_Admin_DailyPred,MATCH($F34,Rango_Admin_DailyPred_Primera,0),0),"-")</f>
        <v>-</v>
      </c>
      <c r="AH34" s="429" t="str">
        <f ca="1">IFERROR(VLOOKUP(AH$2,Rango_Admin_DailyPred,MATCH($F34,Rango_Admin_DailyPred_Primera,0),0),"-")</f>
        <v>-</v>
      </c>
      <c r="AI34" s="429" t="str">
        <f ca="1">IFERROR(VLOOKUP(AI$2,Rango_Admin_DailyPred,MATCH($F34,Rango_Admin_DailyPred_Primera,0),0),"-")</f>
        <v>-</v>
      </c>
      <c r="AJ34" s="429" t="str">
        <f ca="1">IFERROR(VLOOKUP(AJ$2,Rango_Admin_DailyPred,MATCH($F34,Rango_Admin_DailyPred_Primera,0),0),"-")</f>
        <v>-</v>
      </c>
      <c r="AK34" s="429" t="str">
        <f ca="1">IFERROR(VLOOKUP(AK$2,Rango_Admin_DailyPred,MATCH($F34,Rango_Admin_DailyPred_Primera,0),0),"-")</f>
        <v>-</v>
      </c>
      <c r="AL34" s="429" t="str">
        <f ca="1">IFERROR(VLOOKUP(AL$2,Rango_Admin_DailyPred,MATCH($F34,Rango_Admin_DailyPred_Primera,0),0),"-")</f>
        <v>-</v>
      </c>
      <c r="AM34" s="297"/>
      <c r="AN34" s="297"/>
      <c r="AO34" s="297"/>
    </row>
    <row r="35" spans="1:41">
      <c r="A35" s="8" t="str" cm="1">
        <f t="array" aca="1" ref="A35" ca="1">IFERROR(INDEX(ADMIN!$K$6:$K$258,SMALL(IF(ADMIN!$G$6:$G$258=$J$1,ROW(ADMIN!$G$6:$G$258)-ROW(ADMIN!$G$6)+1),ROWS($A$1:A32))),"")</f>
        <v/>
      </c>
      <c r="B35" s="8" t="str">
        <f t="shared" ca="1" si="0"/>
        <v xml:space="preserve">
</v>
      </c>
      <c r="C35" s="8" t="str" cm="1">
        <f t="array" aca="1" ref="C35" ca="1">IFERROR(IF(INDEX(ADMIN!$M$6:$M$258,SMALL(IF(ADMIN!$G$6:$G$258=$J$1,ROW(ADMIN!$G$6:$G$258)-ROW(ADMIN!$G$6)+1),ROWS($A$1:A32)))="-", "", " ("&amp;INDEX(ADMIN!$M$6:$M$258,SMALL(IF(ADMIN!$G$6:$G$258=$J$1,ROW(ADMIN!$G$6:$G$258)-ROW(ADMIN!$G$6)+1),ROWS($A$1:A32)))&amp;")"),"")</f>
        <v/>
      </c>
      <c r="D35" s="8" t="str" cm="1">
        <f t="array" aca="1" ref="D35" ca="1">IFERROR(IF($J$1&gt;=20,INDEX(ADMIN!$C$6:$C$258,SMALL(IF(ADMIN!$G$6:$G$258=$J$1,ROW(ADMIN!$G$6:$G$258)-ROW(ADMIN!$G$6)+1),ROWS($D$1:D32))),""),"")</f>
        <v/>
      </c>
      <c r="E35" s="19">
        <f t="shared" si="1"/>
        <v>102</v>
      </c>
      <c r="F35" s="448" t="str" cm="1">
        <f t="array" ref="F35">IFERROR(INDEX(Rango_Admin_DailyPred_Primera,1,E35),"-")</f>
        <v>Miguel Suárez-Zuloaga</v>
      </c>
      <c r="G35" s="429" t="str">
        <f ca="1">IFERROR(VLOOKUP(G$2,Rango_Admin_DailyPred,MATCH($F35,Rango_Admin_DailyPred_Primera,0),0),"-")</f>
        <v>España-Brasil·1|1-0</v>
      </c>
      <c r="H35" s="429" t="str">
        <f ca="1">IFERROR(VLOOKUP(H$2,Rango_Admin_DailyPred,MATCH($F35,Rango_Admin_DailyPred_Primera,0),0),"-")</f>
        <v>Francia-Portugal·2|1-2</v>
      </c>
      <c r="I35" s="429" t="str">
        <f ca="1">IFERROR(VLOOKUP(I$2,Rango_Admin_DailyPred,MATCH($F35,Rango_Admin_DailyPred_Primera,0),0),"-")</f>
        <v>Portugal</v>
      </c>
      <c r="J35" s="429" t="str">
        <f ca="1">IFERROR(VLOOKUP(J$2,Rango_Admin_DailyPred,MATCH($F35,Rango_Admin_DailyPred_Primera,0),0),"-")</f>
        <v>Francia</v>
      </c>
      <c r="K35" s="429" t="str">
        <f ca="1">IFERROR(VLOOKUP(K$2,Rango_Admin_DailyPred,MATCH($F35,Rango_Admin_DailyPred_Primera,0),0),"-")</f>
        <v>España</v>
      </c>
      <c r="L35" s="429" t="str">
        <f ca="1">IFERROR(VLOOKUP(L$2,Rango_Admin_DailyPred,MATCH($F35,Rango_Admin_DailyPred_Primera,0),0),"-")</f>
        <v xml:space="preserve">Mbappe </v>
      </c>
      <c r="M35" s="429" t="str">
        <f ca="1">IFERROR(VLOOKUP(M$2,Rango_Admin_DailyPred,MATCH($F35,Rango_Admin_DailyPred_Primera,0),0),"-")</f>
        <v>Crsitiano Ronaldo</v>
      </c>
      <c r="N35" s="429" t="str">
        <f ca="1">IFERROR(VLOOKUP(N$2,Rango_Admin_DailyPred,MATCH($F35,Rango_Admin_DailyPred_Primera,0),0),"-")</f>
        <v>Kane</v>
      </c>
      <c r="O35" s="429" t="str">
        <f ca="1">IFERROR(VLOOKUP(O$2,Rango_Admin_DailyPred,MATCH($F35,Rango_Admin_DailyPred_Primera,0),0),"-")</f>
        <v>Cristiano Ronaldo</v>
      </c>
      <c r="P35" s="429" t="str">
        <f ca="1">IFERROR(VLOOKUP(P$2,Rango_Admin_DailyPred,MATCH($F35,Rango_Admin_DailyPred_Primera,0),0),"-")</f>
        <v xml:space="preserve">Mbappe </v>
      </c>
      <c r="Q35" s="429" t="str">
        <f ca="1">IFERROR(VLOOKUP(Q$2,Rango_Admin_DailyPred,MATCH($F35,Rango_Admin_DailyPred_Primera,0),0),"-")</f>
        <v>Yamal</v>
      </c>
      <c r="R35" s="429" t="str">
        <f ca="1">IFERROR(VLOOKUP(R$2,Rango_Admin_DailyPred,MATCH($F35,Rango_Admin_DailyPred_Primera,0),0),"-")</f>
        <v>-</v>
      </c>
      <c r="S35" s="429" t="str">
        <f ca="1">IFERROR(VLOOKUP(S$2,Rango_Admin_DailyPred,MATCH($F35,Rango_Admin_DailyPred_Primera,0),0),"-")</f>
        <v>-</v>
      </c>
      <c r="T35" s="429" t="str">
        <f ca="1">IFERROR(VLOOKUP(T$2,Rango_Admin_DailyPred,MATCH($F35,Rango_Admin_DailyPred_Primera,0),0),"-")</f>
        <v>-</v>
      </c>
      <c r="U35" s="429" t="str">
        <f ca="1">IFERROR(VLOOKUP(U$2,Rango_Admin_DailyPred,MATCH($F35,Rango_Admin_DailyPred_Primera,0),0),"-")</f>
        <v>-</v>
      </c>
      <c r="V35" s="429" t="str">
        <f ca="1">IFERROR(VLOOKUP(V$2,Rango_Admin_DailyPred,MATCH($F35,Rango_Admin_DailyPred_Primera,0),0),"-")</f>
        <v>-</v>
      </c>
      <c r="W35" s="429" t="str">
        <f ca="1">IFERROR(VLOOKUP(W$2,Rango_Admin_DailyPred,MATCH($F35,Rango_Admin_DailyPred_Primera,0),0),"-")</f>
        <v>-</v>
      </c>
      <c r="X35" s="429" t="str">
        <f ca="1">IFERROR(VLOOKUP(X$2,Rango_Admin_DailyPred,MATCH($F35,Rango_Admin_DailyPred_Primera,0),0),"-")</f>
        <v>-</v>
      </c>
      <c r="Y35" s="429" t="str">
        <f ca="1">IFERROR(VLOOKUP(Y$2,Rango_Admin_DailyPred,MATCH($F35,Rango_Admin_DailyPred_Primera,0),0),"-")</f>
        <v>-</v>
      </c>
      <c r="Z35" s="429" t="str">
        <f ca="1">IFERROR(VLOOKUP(Z$2,Rango_Admin_DailyPred,MATCH($F35,Rango_Admin_DailyPred_Primera,0),0),"-")</f>
        <v>-</v>
      </c>
      <c r="AA35" s="429" t="str">
        <f ca="1">IFERROR(VLOOKUP(AA$2,Rango_Admin_DailyPred,MATCH($F35,Rango_Admin_DailyPred_Primera,0),0),"-")</f>
        <v>-</v>
      </c>
      <c r="AB35" s="429" t="str">
        <f ca="1">IFERROR(VLOOKUP(AB$2,Rango_Admin_DailyPred,MATCH($F35,Rango_Admin_DailyPred_Primera,0),0),"-")</f>
        <v>-</v>
      </c>
      <c r="AC35" s="429" t="str">
        <f ca="1">IFERROR(VLOOKUP(AC$2,Rango_Admin_DailyPred,MATCH($F35,Rango_Admin_DailyPred_Primera,0),0),"-")</f>
        <v>-</v>
      </c>
      <c r="AD35" s="429" t="str">
        <f ca="1">IFERROR(VLOOKUP(AD$2,Rango_Admin_DailyPred,MATCH($F35,Rango_Admin_DailyPred_Primera,0),0),"-")</f>
        <v>-</v>
      </c>
      <c r="AE35" s="429" t="str">
        <f ca="1">IFERROR(VLOOKUP(AE$2,Rango_Admin_DailyPred,MATCH($F35,Rango_Admin_DailyPred_Primera,0),0),"-")</f>
        <v>-</v>
      </c>
      <c r="AF35" s="429" t="str">
        <f ca="1">IFERROR(VLOOKUP(AF$2,Rango_Admin_DailyPred,MATCH($F35,Rango_Admin_DailyPred_Primera,0),0),"-")</f>
        <v>-</v>
      </c>
      <c r="AG35" s="429" t="str">
        <f ca="1">IFERROR(VLOOKUP(AG$2,Rango_Admin_DailyPred,MATCH($F35,Rango_Admin_DailyPred_Primera,0),0),"-")</f>
        <v>-</v>
      </c>
      <c r="AH35" s="429" t="str">
        <f ca="1">IFERROR(VLOOKUP(AH$2,Rango_Admin_DailyPred,MATCH($F35,Rango_Admin_DailyPred_Primera,0),0),"-")</f>
        <v>-</v>
      </c>
      <c r="AI35" s="429" t="str">
        <f ca="1">IFERROR(VLOOKUP(AI$2,Rango_Admin_DailyPred,MATCH($F35,Rango_Admin_DailyPred_Primera,0),0),"-")</f>
        <v>-</v>
      </c>
      <c r="AJ35" s="429" t="str">
        <f ca="1">IFERROR(VLOOKUP(AJ$2,Rango_Admin_DailyPred,MATCH($F35,Rango_Admin_DailyPred_Primera,0),0),"-")</f>
        <v>-</v>
      </c>
      <c r="AK35" s="429" t="str">
        <f ca="1">IFERROR(VLOOKUP(AK$2,Rango_Admin_DailyPred,MATCH($F35,Rango_Admin_DailyPred_Primera,0),0),"-")</f>
        <v>-</v>
      </c>
      <c r="AL35" s="429" t="str">
        <f ca="1">IFERROR(VLOOKUP(AL$2,Rango_Admin_DailyPred,MATCH($F35,Rango_Admin_DailyPred_Primera,0),0),"-")</f>
        <v>-</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España-Ecuador·2|1-2</v>
      </c>
      <c r="H36" s="429" t="str">
        <f ca="1">IFERROR(VLOOKUP(H$2,Rango_Admin_DailyPred,MATCH($F36,Rango_Admin_DailyPred_Primera,0),0),"-")</f>
        <v>Francia-Portugal·1|3-1</v>
      </c>
      <c r="I36" s="429" t="str">
        <f ca="1">IFERROR(VLOOKUP(I$2,Rango_Admin_DailyPred,MATCH($F36,Rango_Admin_DailyPred_Primera,0),0),"-")</f>
        <v>Francia</v>
      </c>
      <c r="J36" s="429" t="str">
        <f ca="1">IFERROR(VLOOKUP(J$2,Rango_Admin_DailyPred,MATCH($F36,Rango_Admin_DailyPred_Primera,0),0),"-")</f>
        <v>Portugal</v>
      </c>
      <c r="K36" s="429" t="str">
        <f ca="1">IFERROR(VLOOKUP(K$2,Rango_Admin_DailyPred,MATCH($F36,Rango_Admin_DailyPred_Primera,0),0),"-")</f>
        <v>Ecuador</v>
      </c>
      <c r="L36" s="429" t="str">
        <f ca="1">IFERROR(VLOOKUP(L$2,Rango_Admin_DailyPred,MATCH($F36,Rango_Admin_DailyPred_Primera,0),0),"-")</f>
        <v>Oyarzabal</v>
      </c>
      <c r="M36" s="429" t="str">
        <f ca="1">IFERROR(VLOOKUP(M$2,Rango_Admin_DailyPred,MATCH($F36,Rango_Admin_DailyPred_Primera,0),0),"-")</f>
        <v>Mbappe</v>
      </c>
      <c r="N36" s="429" t="str">
        <f ca="1">IFERROR(VLOOKUP(N$2,Rango_Admin_DailyPred,MATCH($F36,Rango_Admin_DailyPred_Primera,0),0),"-")</f>
        <v>Cristiano Ronaldo</v>
      </c>
      <c r="O36" s="429" t="str">
        <f ca="1">IFERROR(VLOOKUP(O$2,Rango_Admin_DailyPred,MATCH($F36,Rango_Admin_DailyPred_Primera,0),0),"-")</f>
        <v>Olise</v>
      </c>
      <c r="P36" s="429" t="str">
        <f ca="1">IFERROR(VLOOKUP(P$2,Rango_Admin_DailyPred,MATCH($F36,Rango_Admin_DailyPred_Primera,0),0),"-")</f>
        <v>Vitinha</v>
      </c>
      <c r="Q36" s="429" t="str">
        <f ca="1">IFERROR(VLOOKUP(Q$2,Rango_Admin_DailyPred,MATCH($F36,Rango_Admin_DailyPred_Primera,0),0),"-")</f>
        <v>Raphinha</v>
      </c>
      <c r="R36" s="429" t="str">
        <f ca="1">IFERROR(VLOOKUP(R$2,Rango_Admin_DailyPred,MATCH($F36,Rango_Admin_DailyPred_Primera,0),0),"-")</f>
        <v>-</v>
      </c>
      <c r="S36" s="429" t="str">
        <f ca="1">IFERROR(VLOOKUP(S$2,Rango_Admin_DailyPred,MATCH($F36,Rango_Admin_DailyPred_Primera,0),0),"-")</f>
        <v>-</v>
      </c>
      <c r="T36" s="429" t="str">
        <f ca="1">IFERROR(VLOOKUP(T$2,Rango_Admin_DailyPred,MATCH($F36,Rango_Admin_DailyPred_Primera,0),0),"-")</f>
        <v>-</v>
      </c>
      <c r="U36" s="429" t="str">
        <f ca="1">IFERROR(VLOOKUP(U$2,Rango_Admin_DailyPred,MATCH($F36,Rango_Admin_DailyPred_Primera,0),0),"-")</f>
        <v>-</v>
      </c>
      <c r="V36" s="429" t="str">
        <f ca="1">IFERROR(VLOOKUP(V$2,Rango_Admin_DailyPred,MATCH($F36,Rango_Admin_DailyPred_Primera,0),0),"-")</f>
        <v>-</v>
      </c>
      <c r="W36" s="429" t="str">
        <f ca="1">IFERROR(VLOOKUP(W$2,Rango_Admin_DailyPred,MATCH($F36,Rango_Admin_DailyPred_Primera,0),0),"-")</f>
        <v>-</v>
      </c>
      <c r="X36" s="429" t="str">
        <f ca="1">IFERROR(VLOOKUP(X$2,Rango_Admin_DailyPred,MATCH($F36,Rango_Admin_DailyPred_Primera,0),0),"-")</f>
        <v>-</v>
      </c>
      <c r="Y36" s="429" t="str">
        <f ca="1">IFERROR(VLOOKUP(Y$2,Rango_Admin_DailyPred,MATCH($F36,Rango_Admin_DailyPred_Primera,0),0),"-")</f>
        <v>-</v>
      </c>
      <c r="Z36" s="429" t="str">
        <f ca="1">IFERROR(VLOOKUP(Z$2,Rango_Admin_DailyPred,MATCH($F36,Rango_Admin_DailyPred_Primera,0),0),"-")</f>
        <v>-</v>
      </c>
      <c r="AA36" s="429" t="str">
        <f ca="1">IFERROR(VLOOKUP(AA$2,Rango_Admin_DailyPred,MATCH($F36,Rango_Admin_DailyPred_Primera,0),0),"-")</f>
        <v>-</v>
      </c>
      <c r="AB36" s="429" t="str">
        <f ca="1">IFERROR(VLOOKUP(AB$2,Rango_Admin_DailyPred,MATCH($F36,Rango_Admin_DailyPred_Primera,0),0),"-")</f>
        <v>-</v>
      </c>
      <c r="AC36" s="429" t="str">
        <f ca="1">IFERROR(VLOOKUP(AC$2,Rango_Admin_DailyPred,MATCH($F36,Rango_Admin_DailyPred_Primera,0),0),"-")</f>
        <v>-</v>
      </c>
      <c r="AD36" s="429" t="str">
        <f ca="1">IFERROR(VLOOKUP(AD$2,Rango_Admin_DailyPred,MATCH($F36,Rango_Admin_DailyPred_Primera,0),0),"-")</f>
        <v>-</v>
      </c>
      <c r="AE36" s="429" t="str">
        <f ca="1">IFERROR(VLOOKUP(AE$2,Rango_Admin_DailyPred,MATCH($F36,Rango_Admin_DailyPred_Primera,0),0),"-")</f>
        <v>-</v>
      </c>
      <c r="AF36" s="429" t="str">
        <f ca="1">IFERROR(VLOOKUP(AF$2,Rango_Admin_DailyPred,MATCH($F36,Rango_Admin_DailyPred_Primera,0),0),"-")</f>
        <v>-</v>
      </c>
      <c r="AG36" s="429" t="str">
        <f ca="1">IFERROR(VLOOKUP(AG$2,Rango_Admin_DailyPred,MATCH($F36,Rango_Admin_DailyPred_Primera,0),0),"-")</f>
        <v>-</v>
      </c>
      <c r="AH36" s="429" t="str">
        <f ca="1">IFERROR(VLOOKUP(AH$2,Rango_Admin_DailyPred,MATCH($F36,Rango_Admin_DailyPred_Primera,0),0),"-")</f>
        <v>-</v>
      </c>
      <c r="AI36" s="429" t="str">
        <f ca="1">IFERROR(VLOOKUP(AI$2,Rango_Admin_DailyPred,MATCH($F36,Rango_Admin_DailyPred_Primera,0),0),"-")</f>
        <v>-</v>
      </c>
      <c r="AJ36" s="429" t="str">
        <f ca="1">IFERROR(VLOOKUP(AJ$2,Rango_Admin_DailyPred,MATCH($F36,Rango_Admin_DailyPred_Primera,0),0),"-")</f>
        <v>-</v>
      </c>
      <c r="AK36" s="429" t="str">
        <f ca="1">IFERROR(VLOOKUP(AK$2,Rango_Admin_DailyPred,MATCH($F36,Rango_Admin_DailyPred_Primera,0),0),"-")</f>
        <v>-</v>
      </c>
      <c r="AL36" s="429" t="str">
        <f ca="1">IFERROR(VLOOKUP(AL$2,Rango_Admin_DailyPred,MATCH($F36,Rango_Admin_DailyPred_Primera,0),0),"-")</f>
        <v>-</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Francia-Brasil·2|1-3</v>
      </c>
      <c r="H37" s="429" t="str">
        <f ca="1">IFERROR(VLOOKUP(H$2,Rango_Admin_DailyPred,MATCH($F37,Rango_Admin_DailyPred_Primera,0),0),"-")</f>
        <v>España-Portugal·X|1-1</v>
      </c>
      <c r="I37" s="429" t="str">
        <f ca="1">IFERROR(VLOOKUP(I$2,Rango_Admin_DailyPred,MATCH($F37,Rango_Admin_DailyPred_Primera,0),0),"-")</f>
        <v>España</v>
      </c>
      <c r="J37" s="429" t="str">
        <f ca="1">IFERROR(VLOOKUP(J$2,Rango_Admin_DailyPred,MATCH($F37,Rango_Admin_DailyPred_Primera,0),0),"-")</f>
        <v>Portugal</v>
      </c>
      <c r="K37" s="429" t="str">
        <f ca="1">IFERROR(VLOOKUP(K$2,Rango_Admin_DailyPred,MATCH($F37,Rango_Admin_DailyPred_Primera,0),0),"-")</f>
        <v>Brasil</v>
      </c>
      <c r="L37" s="429" t="str">
        <f ca="1">IFERROR(VLOOKUP(L$2,Rango_Admin_DailyPred,MATCH($F37,Rango_Admin_DailyPred_Primera,0),0),"-")</f>
        <v>Mbappe</v>
      </c>
      <c r="M37" s="429" t="str">
        <f ca="1">IFERROR(VLOOKUP(M$2,Rango_Admin_DailyPred,MATCH($F37,Rango_Admin_DailyPred_Primera,0),0),"-")</f>
        <v>Fernandes</v>
      </c>
      <c r="N37" s="429" t="str">
        <f ca="1">IFERROR(VLOOKUP(N$2,Rango_Admin_DailyPred,MATCH($F37,Rango_Admin_DailyPred_Primera,0),0),"-")</f>
        <v>Vinicius jr</v>
      </c>
      <c r="O37" s="429" t="str">
        <f ca="1">IFERROR(VLOOKUP(O$2,Rango_Admin_DailyPred,MATCH($F37,Rango_Admin_DailyPred_Primera,0),0),"-")</f>
        <v>Pedri</v>
      </c>
      <c r="P37" s="429" t="str">
        <f ca="1">IFERROR(VLOOKUP(P$2,Rango_Admin_DailyPred,MATCH($F37,Rango_Admin_DailyPred_Primera,0),0),"-")</f>
        <v>Fernandes</v>
      </c>
      <c r="Q37" s="429" t="str">
        <f ca="1">IFERROR(VLOOKUP(Q$2,Rango_Admin_DailyPred,MATCH($F37,Rango_Admin_DailyPred_Primera,0),0),"-")</f>
        <v>Yamal</v>
      </c>
      <c r="R37" s="429" t="str">
        <f ca="1">IFERROR(VLOOKUP(R$2,Rango_Admin_DailyPred,MATCH($F37,Rango_Admin_DailyPred_Primera,0),0),"-")</f>
        <v>-</v>
      </c>
      <c r="S37" s="429" t="str">
        <f ca="1">IFERROR(VLOOKUP(S$2,Rango_Admin_DailyPred,MATCH($F37,Rango_Admin_DailyPred_Primera,0),0),"-")</f>
        <v>-</v>
      </c>
      <c r="T37" s="429" t="str">
        <f ca="1">IFERROR(VLOOKUP(T$2,Rango_Admin_DailyPred,MATCH($F37,Rango_Admin_DailyPred_Primera,0),0),"-")</f>
        <v>-</v>
      </c>
      <c r="U37" s="429" t="str">
        <f ca="1">IFERROR(VLOOKUP(U$2,Rango_Admin_DailyPred,MATCH($F37,Rango_Admin_DailyPred_Primera,0),0),"-")</f>
        <v>-</v>
      </c>
      <c r="V37" s="429" t="str">
        <f ca="1">IFERROR(VLOOKUP(V$2,Rango_Admin_DailyPred,MATCH($F37,Rango_Admin_DailyPred_Primera,0),0),"-")</f>
        <v>-</v>
      </c>
      <c r="W37" s="429" t="str">
        <f ca="1">IFERROR(VLOOKUP(W$2,Rango_Admin_DailyPred,MATCH($F37,Rango_Admin_DailyPred_Primera,0),0),"-")</f>
        <v>-</v>
      </c>
      <c r="X37" s="429" t="str">
        <f ca="1">IFERROR(VLOOKUP(X$2,Rango_Admin_DailyPred,MATCH($F37,Rango_Admin_DailyPred_Primera,0),0),"-")</f>
        <v>-</v>
      </c>
      <c r="Y37" s="429" t="str">
        <f ca="1">IFERROR(VLOOKUP(Y$2,Rango_Admin_DailyPred,MATCH($F37,Rango_Admin_DailyPred_Primera,0),0),"-")</f>
        <v>-</v>
      </c>
      <c r="Z37" s="429" t="str">
        <f ca="1">IFERROR(VLOOKUP(Z$2,Rango_Admin_DailyPred,MATCH($F37,Rango_Admin_DailyPred_Primera,0),0),"-")</f>
        <v>-</v>
      </c>
      <c r="AA37" s="429" t="str">
        <f ca="1">IFERROR(VLOOKUP(AA$2,Rango_Admin_DailyPred,MATCH($F37,Rango_Admin_DailyPred_Primera,0),0),"-")</f>
        <v>-</v>
      </c>
      <c r="AB37" s="429" t="str">
        <f ca="1">IFERROR(VLOOKUP(AB$2,Rango_Admin_DailyPred,MATCH($F37,Rango_Admin_DailyPred_Primera,0),0),"-")</f>
        <v>-</v>
      </c>
      <c r="AC37" s="429" t="str">
        <f ca="1">IFERROR(VLOOKUP(AC$2,Rango_Admin_DailyPred,MATCH($F37,Rango_Admin_DailyPred_Primera,0),0),"-")</f>
        <v>-</v>
      </c>
      <c r="AD37" s="429" t="str">
        <f ca="1">IFERROR(VLOOKUP(AD$2,Rango_Admin_DailyPred,MATCH($F37,Rango_Admin_DailyPred_Primera,0),0),"-")</f>
        <v>-</v>
      </c>
      <c r="AE37" s="429" t="str">
        <f ca="1">IFERROR(VLOOKUP(AE$2,Rango_Admin_DailyPred,MATCH($F37,Rango_Admin_DailyPred_Primera,0),0),"-")</f>
        <v>-</v>
      </c>
      <c r="AF37" s="429" t="str">
        <f ca="1">IFERROR(VLOOKUP(AF$2,Rango_Admin_DailyPred,MATCH($F37,Rango_Admin_DailyPred_Primera,0),0),"-")</f>
        <v>-</v>
      </c>
      <c r="AG37" s="429" t="str">
        <f ca="1">IFERROR(VLOOKUP(AG$2,Rango_Admin_DailyPred,MATCH($F37,Rango_Admin_DailyPred_Primera,0),0),"-")</f>
        <v>-</v>
      </c>
      <c r="AH37" s="429" t="str">
        <f ca="1">IFERROR(VLOOKUP(AH$2,Rango_Admin_DailyPred,MATCH($F37,Rango_Admin_DailyPred_Primera,0),0),"-")</f>
        <v>-</v>
      </c>
      <c r="AI37" s="429" t="str">
        <f ca="1">IFERROR(VLOOKUP(AI$2,Rango_Admin_DailyPred,MATCH($F37,Rango_Admin_DailyPred_Primera,0),0),"-")</f>
        <v>-</v>
      </c>
      <c r="AJ37" s="429" t="str">
        <f ca="1">IFERROR(VLOOKUP(AJ$2,Rango_Admin_DailyPred,MATCH($F37,Rango_Admin_DailyPred_Primera,0),0),"-")</f>
        <v>-</v>
      </c>
      <c r="AK37" s="429" t="str">
        <f ca="1">IFERROR(VLOOKUP(AK$2,Rango_Admin_DailyPred,MATCH($F37,Rango_Admin_DailyPred_Primera,0),0),"-")</f>
        <v>-</v>
      </c>
      <c r="AL37" s="429" t="str">
        <f ca="1">IFERROR(VLOOKUP(AL$2,Rango_Admin_DailyPred,MATCH($F37,Rango_Admin_DailyPred_Primera,0),0),"-")</f>
        <v>-</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Inglaterra-Países Bajos·1|2-0</v>
      </c>
      <c r="H38" s="429" t="str">
        <f ca="1">IFERROR(VLOOKUP(H$2,Rango_Admin_DailyPred,MATCH($F38,Rango_Admin_DailyPred_Primera,0),0),"-")</f>
        <v>Brasil-Portugal·1|2-1</v>
      </c>
      <c r="I38" s="429" t="str">
        <f ca="1">IFERROR(VLOOKUP(I$2,Rango_Admin_DailyPred,MATCH($F38,Rango_Admin_DailyPred_Primera,0),0),"-")</f>
        <v>Brasil</v>
      </c>
      <c r="J38" s="429" t="str">
        <f ca="1">IFERROR(VLOOKUP(J$2,Rango_Admin_DailyPred,MATCH($F38,Rango_Admin_DailyPred_Primera,0),0),"-")</f>
        <v>Portugal</v>
      </c>
      <c r="K38" s="429" t="str">
        <f ca="1">IFERROR(VLOOKUP(K$2,Rango_Admin_DailyPred,MATCH($F38,Rango_Admin_DailyPred_Primera,0),0),"-")</f>
        <v>Inglaterra</v>
      </c>
      <c r="L38" s="429" t="str">
        <f ca="1">IFERROR(VLOOKUP(L$2,Rango_Admin_DailyPred,MATCH($F38,Rango_Admin_DailyPred_Primera,0),0),"-")</f>
        <v>Mbappe</v>
      </c>
      <c r="M38" s="429" t="str">
        <f ca="1">IFERROR(VLOOKUP(M$2,Rango_Admin_DailyPred,MATCH($F38,Rango_Admin_DailyPred_Primera,0),0),"-")</f>
        <v>Kane</v>
      </c>
      <c r="N38" s="429" t="str">
        <f ca="1">IFERROR(VLOOKUP(N$2,Rango_Admin_DailyPred,MATCH($F38,Rango_Admin_DailyPred_Primera,0),0),"-")</f>
        <v>Cristiano Ronaldo</v>
      </c>
      <c r="O38" s="429" t="str">
        <f ca="1">IFERROR(VLOOKUP(O$2,Rango_Admin_DailyPred,MATCH($F38,Rango_Admin_DailyPred_Primera,0),0),"-")</f>
        <v>Vinicius jr</v>
      </c>
      <c r="P38" s="429" t="str">
        <f ca="1">IFERROR(VLOOKUP(P$2,Rango_Admin_DailyPred,MATCH($F38,Rango_Admin_DailyPred_Primera,0),0),"-")</f>
        <v>Cristiano Ronaldo</v>
      </c>
      <c r="Q38" s="429" t="str">
        <f ca="1">IFERROR(VLOOKUP(Q$2,Rango_Admin_DailyPred,MATCH($F38,Rango_Admin_DailyPred_Primera,0),0),"-")</f>
        <v>Kane</v>
      </c>
      <c r="R38" s="429" t="str">
        <f ca="1">IFERROR(VLOOKUP(R$2,Rango_Admin_DailyPred,MATCH($F38,Rango_Admin_DailyPred_Primera,0),0),"-")</f>
        <v>-</v>
      </c>
      <c r="S38" s="429" t="str">
        <f ca="1">IFERROR(VLOOKUP(S$2,Rango_Admin_DailyPred,MATCH($F38,Rango_Admin_DailyPred_Primera,0),0),"-")</f>
        <v>-</v>
      </c>
      <c r="T38" s="429" t="str">
        <f ca="1">IFERROR(VLOOKUP(T$2,Rango_Admin_DailyPred,MATCH($F38,Rango_Admin_DailyPred_Primera,0),0),"-")</f>
        <v>-</v>
      </c>
      <c r="U38" s="429" t="str">
        <f ca="1">IFERROR(VLOOKUP(U$2,Rango_Admin_DailyPred,MATCH($F38,Rango_Admin_DailyPred_Primera,0),0),"-")</f>
        <v>-</v>
      </c>
      <c r="V38" s="429" t="str">
        <f ca="1">IFERROR(VLOOKUP(V$2,Rango_Admin_DailyPred,MATCH($F38,Rango_Admin_DailyPred_Primera,0),0),"-")</f>
        <v>-</v>
      </c>
      <c r="W38" s="429" t="str">
        <f ca="1">IFERROR(VLOOKUP(W$2,Rango_Admin_DailyPred,MATCH($F38,Rango_Admin_DailyPred_Primera,0),0),"-")</f>
        <v>-</v>
      </c>
      <c r="X38" s="429" t="str">
        <f ca="1">IFERROR(VLOOKUP(X$2,Rango_Admin_DailyPred,MATCH($F38,Rango_Admin_DailyPred_Primera,0),0),"-")</f>
        <v>-</v>
      </c>
      <c r="Y38" s="429" t="str">
        <f ca="1">IFERROR(VLOOKUP(Y$2,Rango_Admin_DailyPred,MATCH($F38,Rango_Admin_DailyPred_Primera,0),0),"-")</f>
        <v>-</v>
      </c>
      <c r="Z38" s="429" t="str">
        <f ca="1">IFERROR(VLOOKUP(Z$2,Rango_Admin_DailyPred,MATCH($F38,Rango_Admin_DailyPred_Primera,0),0),"-")</f>
        <v>-</v>
      </c>
      <c r="AA38" s="429" t="str">
        <f ca="1">IFERROR(VLOOKUP(AA$2,Rango_Admin_DailyPred,MATCH($F38,Rango_Admin_DailyPred_Primera,0),0),"-")</f>
        <v>-</v>
      </c>
      <c r="AB38" s="429" t="str">
        <f ca="1">IFERROR(VLOOKUP(AB$2,Rango_Admin_DailyPred,MATCH($F38,Rango_Admin_DailyPred_Primera,0),0),"-")</f>
        <v>-</v>
      </c>
      <c r="AC38" s="429" t="str">
        <f ca="1">IFERROR(VLOOKUP(AC$2,Rango_Admin_DailyPred,MATCH($F38,Rango_Admin_DailyPred_Primera,0),0),"-")</f>
        <v>-</v>
      </c>
      <c r="AD38" s="429" t="str">
        <f ca="1">IFERROR(VLOOKUP(AD$2,Rango_Admin_DailyPred,MATCH($F38,Rango_Admin_DailyPred_Primera,0),0),"-")</f>
        <v>-</v>
      </c>
      <c r="AE38" s="429" t="str">
        <f ca="1">IFERROR(VLOOKUP(AE$2,Rango_Admin_DailyPred,MATCH($F38,Rango_Admin_DailyPred_Primera,0),0),"-")</f>
        <v>-</v>
      </c>
      <c r="AF38" s="429" t="str">
        <f ca="1">IFERROR(VLOOKUP(AF$2,Rango_Admin_DailyPred,MATCH($F38,Rango_Admin_DailyPred_Primera,0),0),"-")</f>
        <v>-</v>
      </c>
      <c r="AG38" s="429" t="str">
        <f ca="1">IFERROR(VLOOKUP(AG$2,Rango_Admin_DailyPred,MATCH($F38,Rango_Admin_DailyPred_Primera,0),0),"-")</f>
        <v>-</v>
      </c>
      <c r="AH38" s="429" t="str">
        <f ca="1">IFERROR(VLOOKUP(AH$2,Rango_Admin_DailyPred,MATCH($F38,Rango_Admin_DailyPred_Primera,0),0),"-")</f>
        <v>-</v>
      </c>
      <c r="AI38" s="429" t="str">
        <f ca="1">IFERROR(VLOOKUP(AI$2,Rango_Admin_DailyPred,MATCH($F38,Rango_Admin_DailyPred_Primera,0),0),"-")</f>
        <v>-</v>
      </c>
      <c r="AJ38" s="429" t="str">
        <f ca="1">IFERROR(VLOOKUP(AJ$2,Rango_Admin_DailyPred,MATCH($F38,Rango_Admin_DailyPred_Primera,0),0),"-")</f>
        <v>-</v>
      </c>
      <c r="AK38" s="429" t="str">
        <f ca="1">IFERROR(VLOOKUP(AK$2,Rango_Admin_DailyPred,MATCH($F38,Rango_Admin_DailyPred_Primera,0),0),"-")</f>
        <v>-</v>
      </c>
      <c r="AL38" s="429" t="str">
        <f ca="1">IFERROR(VLOOKUP(AL$2,Rango_Admin_DailyPred,MATCH($F38,Rango_Admin_DailyPred_Primera,0),0),"-")</f>
        <v>-</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Alemania-Colombia·1|2-0</v>
      </c>
      <c r="H39" s="429" t="str">
        <f ca="1">IFERROR(VLOOKUP(H$2,Rango_Admin_DailyPred,MATCH($F39,Rango_Admin_DailyPred_Primera,0),0),"-")</f>
        <v>España-Brasil·1|3-2</v>
      </c>
      <c r="I39" s="429" t="str">
        <f ca="1">IFERROR(VLOOKUP(I$2,Rango_Admin_DailyPred,MATCH($F39,Rango_Admin_DailyPred_Primera,0),0),"-")</f>
        <v>España</v>
      </c>
      <c r="J39" s="429" t="str">
        <f ca="1">IFERROR(VLOOKUP(J$2,Rango_Admin_DailyPred,MATCH($F39,Rango_Admin_DailyPred_Primera,0),0),"-")</f>
        <v>Brasil</v>
      </c>
      <c r="K39" s="429" t="str">
        <f ca="1">IFERROR(VLOOKUP(K$2,Rango_Admin_DailyPred,MATCH($F39,Rango_Admin_DailyPred_Primera,0),0),"-")</f>
        <v>Alemania</v>
      </c>
      <c r="L39" s="429" t="str">
        <f ca="1">IFERROR(VLOOKUP(L$2,Rango_Admin_DailyPred,MATCH($F39,Rango_Admin_DailyPred_Primera,0),0),"-")</f>
        <v>Oyarzabal</v>
      </c>
      <c r="M39" s="429" t="str">
        <f ca="1">IFERROR(VLOOKUP(M$2,Rango_Admin_DailyPred,MATCH($F39,Rango_Admin_DailyPred_Primera,0),0),"-")</f>
        <v>Vinicius Jr</v>
      </c>
      <c r="N39" s="429" t="str">
        <f ca="1">IFERROR(VLOOKUP(N$2,Rango_Admin_DailyPred,MATCH($F39,Rango_Admin_DailyPred_Primera,0),0),"-")</f>
        <v>Luis Diaz</v>
      </c>
      <c r="O39" s="429" t="str">
        <f ca="1">IFERROR(VLOOKUP(O$2,Rango_Admin_DailyPred,MATCH($F39,Rango_Admin_DailyPred_Primera,0),0),"-")</f>
        <v>Yamal</v>
      </c>
      <c r="P39" s="429" t="str">
        <f ca="1">IFERROR(VLOOKUP(P$2,Rango_Admin_DailyPred,MATCH($F39,Rango_Admin_DailyPred_Primera,0),0),"-")</f>
        <v>Luis Diaz</v>
      </c>
      <c r="Q39" s="429" t="str">
        <f ca="1">IFERROR(VLOOKUP(Q$2,Rango_Admin_DailyPred,MATCH($F39,Rango_Admin_DailyPred_Primera,0),0),"-")</f>
        <v>Musiala</v>
      </c>
      <c r="R39" s="429" t="str">
        <f ca="1">IFERROR(VLOOKUP(R$2,Rango_Admin_DailyPred,MATCH($F39,Rango_Admin_DailyPred_Primera,0),0),"-")</f>
        <v>-</v>
      </c>
      <c r="S39" s="429" t="str">
        <f ca="1">IFERROR(VLOOKUP(S$2,Rango_Admin_DailyPred,MATCH($F39,Rango_Admin_DailyPred_Primera,0),0),"-")</f>
        <v>-</v>
      </c>
      <c r="T39" s="429" t="str">
        <f ca="1">IFERROR(VLOOKUP(T$2,Rango_Admin_DailyPred,MATCH($F39,Rango_Admin_DailyPred_Primera,0),0),"-")</f>
        <v>-</v>
      </c>
      <c r="U39" s="429" t="str">
        <f ca="1">IFERROR(VLOOKUP(U$2,Rango_Admin_DailyPred,MATCH($F39,Rango_Admin_DailyPred_Primera,0),0),"-")</f>
        <v>-</v>
      </c>
      <c r="V39" s="429" t="str">
        <f ca="1">IFERROR(VLOOKUP(V$2,Rango_Admin_DailyPred,MATCH($F39,Rango_Admin_DailyPred_Primera,0),0),"-")</f>
        <v>-</v>
      </c>
      <c r="W39" s="429" t="str">
        <f ca="1">IFERROR(VLOOKUP(W$2,Rango_Admin_DailyPred,MATCH($F39,Rango_Admin_DailyPred_Primera,0),0),"-")</f>
        <v>-</v>
      </c>
      <c r="X39" s="429" t="str">
        <f ca="1">IFERROR(VLOOKUP(X$2,Rango_Admin_DailyPred,MATCH($F39,Rango_Admin_DailyPred_Primera,0),0),"-")</f>
        <v>-</v>
      </c>
      <c r="Y39" s="429" t="str">
        <f ca="1">IFERROR(VLOOKUP(Y$2,Rango_Admin_DailyPred,MATCH($F39,Rango_Admin_DailyPred_Primera,0),0),"-")</f>
        <v>-</v>
      </c>
      <c r="Z39" s="429" t="str">
        <f ca="1">IFERROR(VLOOKUP(Z$2,Rango_Admin_DailyPred,MATCH($F39,Rango_Admin_DailyPred_Primera,0),0),"-")</f>
        <v>-</v>
      </c>
      <c r="AA39" s="429" t="str">
        <f ca="1">IFERROR(VLOOKUP(AA$2,Rango_Admin_DailyPred,MATCH($F39,Rango_Admin_DailyPred_Primera,0),0),"-")</f>
        <v>-</v>
      </c>
      <c r="AB39" s="429" t="str">
        <f ca="1">IFERROR(VLOOKUP(AB$2,Rango_Admin_DailyPred,MATCH($F39,Rango_Admin_DailyPred_Primera,0),0),"-")</f>
        <v>-</v>
      </c>
      <c r="AC39" s="429" t="str">
        <f ca="1">IFERROR(VLOOKUP(AC$2,Rango_Admin_DailyPred,MATCH($F39,Rango_Admin_DailyPred_Primera,0),0),"-")</f>
        <v>-</v>
      </c>
      <c r="AD39" s="429" t="str">
        <f ca="1">IFERROR(VLOOKUP(AD$2,Rango_Admin_DailyPred,MATCH($F39,Rango_Admin_DailyPred_Primera,0),0),"-")</f>
        <v>-</v>
      </c>
      <c r="AE39" s="429" t="str">
        <f ca="1">IFERROR(VLOOKUP(AE$2,Rango_Admin_DailyPred,MATCH($F39,Rango_Admin_DailyPred_Primera,0),0),"-")</f>
        <v>-</v>
      </c>
      <c r="AF39" s="429" t="str">
        <f ca="1">IFERROR(VLOOKUP(AF$2,Rango_Admin_DailyPred,MATCH($F39,Rango_Admin_DailyPred_Primera,0),0),"-")</f>
        <v>-</v>
      </c>
      <c r="AG39" s="429" t="str">
        <f ca="1">IFERROR(VLOOKUP(AG$2,Rango_Admin_DailyPred,MATCH($F39,Rango_Admin_DailyPred_Primera,0),0),"-")</f>
        <v>-</v>
      </c>
      <c r="AH39" s="429" t="str">
        <f ca="1">IFERROR(VLOOKUP(AH$2,Rango_Admin_DailyPred,MATCH($F39,Rango_Admin_DailyPred_Primera,0),0),"-")</f>
        <v>-</v>
      </c>
      <c r="AI39" s="429" t="str">
        <f ca="1">IFERROR(VLOOKUP(AI$2,Rango_Admin_DailyPred,MATCH($F39,Rango_Admin_DailyPred_Primera,0),0),"-")</f>
        <v>-</v>
      </c>
      <c r="AJ39" s="429" t="str">
        <f ca="1">IFERROR(VLOOKUP(AJ$2,Rango_Admin_DailyPred,MATCH($F39,Rango_Admin_DailyPred_Primera,0),0),"-")</f>
        <v>-</v>
      </c>
      <c r="AK39" s="429" t="str">
        <f ca="1">IFERROR(VLOOKUP(AK$2,Rango_Admin_DailyPred,MATCH($F39,Rango_Admin_DailyPred_Primera,0),0),"-")</f>
        <v>-</v>
      </c>
      <c r="AL39" s="429" t="str">
        <f ca="1">IFERROR(VLOOKUP(AL$2,Rango_Admin_DailyPred,MATCH($F39,Rango_Admin_DailyPred_Primera,0),0),"-")</f>
        <v>-</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Francia-Inglaterra·1|3-1</v>
      </c>
      <c r="H40" s="429" t="str">
        <f ca="1">IFERROR(VLOOKUP(H$2,Rango_Admin_DailyPred,MATCH($F40,Rango_Admin_DailyPred_Primera,0),0),"-")</f>
        <v>España-Portugal·2|1-2</v>
      </c>
      <c r="I40" s="429" t="str">
        <f ca="1">IFERROR(VLOOKUP(I$2,Rango_Admin_DailyPred,MATCH($F40,Rango_Admin_DailyPred_Primera,0),0),"-")</f>
        <v>Portugal</v>
      </c>
      <c r="J40" s="429" t="str">
        <f ca="1">IFERROR(VLOOKUP(J$2,Rango_Admin_DailyPred,MATCH($F40,Rango_Admin_DailyPred_Primera,0),0),"-")</f>
        <v>España</v>
      </c>
      <c r="K40" s="429" t="str">
        <f ca="1">IFERROR(VLOOKUP(K$2,Rango_Admin_DailyPred,MATCH($F40,Rango_Admin_DailyPred_Primera,0),0),"-")</f>
        <v>Francia</v>
      </c>
      <c r="L40" s="429" t="str">
        <f ca="1">IFERROR(VLOOKUP(L$2,Rango_Admin_DailyPred,MATCH($F40,Rango_Admin_DailyPred_Primera,0),0),"-")</f>
        <v>Mbappe</v>
      </c>
      <c r="M40" s="429" t="str">
        <f ca="1">IFERROR(VLOOKUP(M$2,Rango_Admin_DailyPred,MATCH($F40,Rango_Admin_DailyPred_Primera,0),0),"-")</f>
        <v>Haaland</v>
      </c>
      <c r="N40" s="429" t="str">
        <f ca="1">IFERROR(VLOOKUP(N$2,Rango_Admin_DailyPred,MATCH($F40,Rango_Admin_DailyPred_Primera,0),0),"-")</f>
        <v>Kane</v>
      </c>
      <c r="O40" s="429" t="str">
        <f ca="1">IFERROR(VLOOKUP(O$2,Rango_Admin_DailyPred,MATCH($F40,Rango_Admin_DailyPred_Primera,0),0),"-")</f>
        <v>Yamal</v>
      </c>
      <c r="P40" s="429" t="str">
        <f ca="1">IFERROR(VLOOKUP(P$2,Rango_Admin_DailyPred,MATCH($F40,Rango_Admin_DailyPred_Primera,0),0),"-")</f>
        <v>Mbappe</v>
      </c>
      <c r="Q40" s="429" t="str">
        <f ca="1">IFERROR(VLOOKUP(Q$2,Rango_Admin_DailyPred,MATCH($F40,Rango_Admin_DailyPred_Primera,0),0),"-")</f>
        <v>Haaland</v>
      </c>
      <c r="R40" s="429" t="str">
        <f ca="1">IFERROR(VLOOKUP(R$2,Rango_Admin_DailyPred,MATCH($F40,Rango_Admin_DailyPred_Primera,0),0),"-")</f>
        <v>-</v>
      </c>
      <c r="S40" s="429" t="str">
        <f ca="1">IFERROR(VLOOKUP(S$2,Rango_Admin_DailyPred,MATCH($F40,Rango_Admin_DailyPred_Primera,0),0),"-")</f>
        <v>-</v>
      </c>
      <c r="T40" s="429" t="str">
        <f ca="1">IFERROR(VLOOKUP(T$2,Rango_Admin_DailyPred,MATCH($F40,Rango_Admin_DailyPred_Primera,0),0),"-")</f>
        <v>-</v>
      </c>
      <c r="U40" s="429" t="str">
        <f ca="1">IFERROR(VLOOKUP(U$2,Rango_Admin_DailyPred,MATCH($F40,Rango_Admin_DailyPred_Primera,0),0),"-")</f>
        <v>-</v>
      </c>
      <c r="V40" s="429" t="str">
        <f ca="1">IFERROR(VLOOKUP(V$2,Rango_Admin_DailyPred,MATCH($F40,Rango_Admin_DailyPred_Primera,0),0),"-")</f>
        <v>-</v>
      </c>
      <c r="W40" s="429" t="str">
        <f ca="1">IFERROR(VLOOKUP(W$2,Rango_Admin_DailyPred,MATCH($F40,Rango_Admin_DailyPred_Primera,0),0),"-")</f>
        <v>-</v>
      </c>
      <c r="X40" s="429" t="str">
        <f ca="1">IFERROR(VLOOKUP(X$2,Rango_Admin_DailyPred,MATCH($F40,Rango_Admin_DailyPred_Primera,0),0),"-")</f>
        <v>-</v>
      </c>
      <c r="Y40" s="429" t="str">
        <f ca="1">IFERROR(VLOOKUP(Y$2,Rango_Admin_DailyPred,MATCH($F40,Rango_Admin_DailyPred_Primera,0),0),"-")</f>
        <v>-</v>
      </c>
      <c r="Z40" s="429" t="str">
        <f ca="1">IFERROR(VLOOKUP(Z$2,Rango_Admin_DailyPred,MATCH($F40,Rango_Admin_DailyPred_Primera,0),0),"-")</f>
        <v>-</v>
      </c>
      <c r="AA40" s="429" t="str">
        <f ca="1">IFERROR(VLOOKUP(AA$2,Rango_Admin_DailyPred,MATCH($F40,Rango_Admin_DailyPred_Primera,0),0),"-")</f>
        <v>-</v>
      </c>
      <c r="AB40" s="429" t="str">
        <f ca="1">IFERROR(VLOOKUP(AB$2,Rango_Admin_DailyPred,MATCH($F40,Rango_Admin_DailyPred_Primera,0),0),"-")</f>
        <v>-</v>
      </c>
      <c r="AC40" s="429" t="str">
        <f ca="1">IFERROR(VLOOKUP(AC$2,Rango_Admin_DailyPred,MATCH($F40,Rango_Admin_DailyPred_Primera,0),0),"-")</f>
        <v>-</v>
      </c>
      <c r="AD40" s="429" t="str">
        <f ca="1">IFERROR(VLOOKUP(AD$2,Rango_Admin_DailyPred,MATCH($F40,Rango_Admin_DailyPred_Primera,0),0),"-")</f>
        <v>-</v>
      </c>
      <c r="AE40" s="429" t="str">
        <f ca="1">IFERROR(VLOOKUP(AE$2,Rango_Admin_DailyPred,MATCH($F40,Rango_Admin_DailyPred_Primera,0),0),"-")</f>
        <v>-</v>
      </c>
      <c r="AF40" s="429" t="str">
        <f ca="1">IFERROR(VLOOKUP(AF$2,Rango_Admin_DailyPred,MATCH($F40,Rango_Admin_DailyPred_Primera,0),0),"-")</f>
        <v>-</v>
      </c>
      <c r="AG40" s="429" t="str">
        <f ca="1">IFERROR(VLOOKUP(AG$2,Rango_Admin_DailyPred,MATCH($F40,Rango_Admin_DailyPred_Primera,0),0),"-")</f>
        <v>-</v>
      </c>
      <c r="AH40" s="429" t="str">
        <f ca="1">IFERROR(VLOOKUP(AH$2,Rango_Admin_DailyPred,MATCH($F40,Rango_Admin_DailyPred_Primera,0),0),"-")</f>
        <v>-</v>
      </c>
      <c r="AI40" s="429" t="str">
        <f ca="1">IFERROR(VLOOKUP(AI$2,Rango_Admin_DailyPred,MATCH($F40,Rango_Admin_DailyPred_Primera,0),0),"-")</f>
        <v>-</v>
      </c>
      <c r="AJ40" s="429" t="str">
        <f ca="1">IFERROR(VLOOKUP(AJ$2,Rango_Admin_DailyPred,MATCH($F40,Rango_Admin_DailyPred_Primera,0),0),"-")</f>
        <v>-</v>
      </c>
      <c r="AK40" s="429" t="str">
        <f ca="1">IFERROR(VLOOKUP(AK$2,Rango_Admin_DailyPred,MATCH($F40,Rango_Admin_DailyPred_Primera,0),0),"-")</f>
        <v>-</v>
      </c>
      <c r="AL40" s="429" t="str">
        <f ca="1">IFERROR(VLOOKUP(AL$2,Rango_Admin_DailyPred,MATCH($F40,Rango_Admin_DailyPred_Primera,0),0),"-")</f>
        <v>-</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Alemania-Brasil·1|3-1</v>
      </c>
      <c r="H41" s="429" t="str">
        <f ca="1">IFERROR(VLOOKUP(H$2,Rango_Admin_DailyPred,MATCH($F41,Rango_Admin_DailyPred_Primera,0),0),"-")</f>
        <v>España-Argentina·1|2-0</v>
      </c>
      <c r="I41" s="429" t="str">
        <f ca="1">IFERROR(VLOOKUP(I$2,Rango_Admin_DailyPred,MATCH($F41,Rango_Admin_DailyPred_Primera,0),0),"-")</f>
        <v>España</v>
      </c>
      <c r="J41" s="429" t="str">
        <f ca="1">IFERROR(VLOOKUP(J$2,Rango_Admin_DailyPred,MATCH($F41,Rango_Admin_DailyPred_Primera,0),0),"-")</f>
        <v>Argentina</v>
      </c>
      <c r="K41" s="429" t="str">
        <f ca="1">IFERROR(VLOOKUP(K$2,Rango_Admin_DailyPred,MATCH($F41,Rango_Admin_DailyPred_Primera,0),0),"-")</f>
        <v>Alemania</v>
      </c>
      <c r="L41" s="429" t="str">
        <f ca="1">IFERROR(VLOOKUP(L$2,Rango_Admin_DailyPred,MATCH($F41,Rango_Admin_DailyPred_Primera,0),0),"-")</f>
        <v>Oyarzabal</v>
      </c>
      <c r="M41" s="429" t="str">
        <f ca="1">IFERROR(VLOOKUP(M$2,Rango_Admin_DailyPred,MATCH($F41,Rango_Admin_DailyPred_Primera,0),0),"-")</f>
        <v>Julián Álvarez</v>
      </c>
      <c r="N41" s="429" t="str">
        <f ca="1">IFERROR(VLOOKUP(N$2,Rango_Admin_DailyPred,MATCH($F41,Rango_Admin_DailyPred_Primera,0),0),"-")</f>
        <v>IGOR THIAGO</v>
      </c>
      <c r="O41" s="429" t="str">
        <f ca="1">IFERROR(VLOOKUP(O$2,Rango_Admin_DailyPred,MATCH($F41,Rango_Admin_DailyPred_Primera,0),0),"-")</f>
        <v>PEDRI</v>
      </c>
      <c r="P41" s="429" t="str">
        <f ca="1">IFERROR(VLOOKUP(P$2,Rango_Admin_DailyPred,MATCH($F41,Rango_Admin_DailyPred_Primera,0),0),"-")</f>
        <v>Messi</v>
      </c>
      <c r="Q41" s="429" t="str">
        <f ca="1">IFERROR(VLOOKUP(Q$2,Rango_Admin_DailyPred,MATCH($F41,Rango_Admin_DailyPred_Primera,0),0),"-")</f>
        <v>Vinicius jr</v>
      </c>
      <c r="R41" s="429" t="str">
        <f ca="1">IFERROR(VLOOKUP(R$2,Rango_Admin_DailyPred,MATCH($F41,Rango_Admin_DailyPred_Primera,0),0),"-")</f>
        <v>-</v>
      </c>
      <c r="S41" s="429" t="str">
        <f ca="1">IFERROR(VLOOKUP(S$2,Rango_Admin_DailyPred,MATCH($F41,Rango_Admin_DailyPred_Primera,0),0),"-")</f>
        <v>-</v>
      </c>
      <c r="T41" s="429" t="str">
        <f ca="1">IFERROR(VLOOKUP(T$2,Rango_Admin_DailyPred,MATCH($F41,Rango_Admin_DailyPred_Primera,0),0),"-")</f>
        <v>-</v>
      </c>
      <c r="U41" s="429" t="str">
        <f ca="1">IFERROR(VLOOKUP(U$2,Rango_Admin_DailyPred,MATCH($F41,Rango_Admin_DailyPred_Primera,0),0),"-")</f>
        <v>-</v>
      </c>
      <c r="V41" s="429" t="str">
        <f ca="1">IFERROR(VLOOKUP(V$2,Rango_Admin_DailyPred,MATCH($F41,Rango_Admin_DailyPred_Primera,0),0),"-")</f>
        <v>-</v>
      </c>
      <c r="W41" s="429" t="str">
        <f ca="1">IFERROR(VLOOKUP(W$2,Rango_Admin_DailyPred,MATCH($F41,Rango_Admin_DailyPred_Primera,0),0),"-")</f>
        <v>-</v>
      </c>
      <c r="X41" s="429" t="str">
        <f ca="1">IFERROR(VLOOKUP(X$2,Rango_Admin_DailyPred,MATCH($F41,Rango_Admin_DailyPred_Primera,0),0),"-")</f>
        <v>-</v>
      </c>
      <c r="Y41" s="429" t="str">
        <f ca="1">IFERROR(VLOOKUP(Y$2,Rango_Admin_DailyPred,MATCH($F41,Rango_Admin_DailyPred_Primera,0),0),"-")</f>
        <v>-</v>
      </c>
      <c r="Z41" s="429" t="str">
        <f ca="1">IFERROR(VLOOKUP(Z$2,Rango_Admin_DailyPred,MATCH($F41,Rango_Admin_DailyPred_Primera,0),0),"-")</f>
        <v>-</v>
      </c>
      <c r="AA41" s="429" t="str">
        <f ca="1">IFERROR(VLOOKUP(AA$2,Rango_Admin_DailyPred,MATCH($F41,Rango_Admin_DailyPred_Primera,0),0),"-")</f>
        <v>-</v>
      </c>
      <c r="AB41" s="429" t="str">
        <f ca="1">IFERROR(VLOOKUP(AB$2,Rango_Admin_DailyPred,MATCH($F41,Rango_Admin_DailyPred_Primera,0),0),"-")</f>
        <v>-</v>
      </c>
      <c r="AC41" s="429" t="str">
        <f ca="1">IFERROR(VLOOKUP(AC$2,Rango_Admin_DailyPred,MATCH($F41,Rango_Admin_DailyPred_Primera,0),0),"-")</f>
        <v>-</v>
      </c>
      <c r="AD41" s="429" t="str">
        <f ca="1">IFERROR(VLOOKUP(AD$2,Rango_Admin_DailyPred,MATCH($F41,Rango_Admin_DailyPred_Primera,0),0),"-")</f>
        <v>-</v>
      </c>
      <c r="AE41" s="429" t="str">
        <f ca="1">IFERROR(VLOOKUP(AE$2,Rango_Admin_DailyPred,MATCH($F41,Rango_Admin_DailyPred_Primera,0),0),"-")</f>
        <v>-</v>
      </c>
      <c r="AF41" s="429" t="str">
        <f ca="1">IFERROR(VLOOKUP(AF$2,Rango_Admin_DailyPred,MATCH($F41,Rango_Admin_DailyPred_Primera,0),0),"-")</f>
        <v>-</v>
      </c>
      <c r="AG41" s="429" t="str">
        <f ca="1">IFERROR(VLOOKUP(AG$2,Rango_Admin_DailyPred,MATCH($F41,Rango_Admin_DailyPred_Primera,0),0),"-")</f>
        <v>-</v>
      </c>
      <c r="AH41" s="429" t="str">
        <f ca="1">IFERROR(VLOOKUP(AH$2,Rango_Admin_DailyPred,MATCH($F41,Rango_Admin_DailyPred_Primera,0),0),"-")</f>
        <v>-</v>
      </c>
      <c r="AI41" s="429" t="str">
        <f ca="1">IFERROR(VLOOKUP(AI$2,Rango_Admin_DailyPred,MATCH($F41,Rango_Admin_DailyPred_Primera,0),0),"-")</f>
        <v>-</v>
      </c>
      <c r="AJ41" s="429" t="str">
        <f ca="1">IFERROR(VLOOKUP(AJ$2,Rango_Admin_DailyPred,MATCH($F41,Rango_Admin_DailyPred_Primera,0),0),"-")</f>
        <v>-</v>
      </c>
      <c r="AK41" s="429" t="str">
        <f ca="1">IFERROR(VLOOKUP(AK$2,Rango_Admin_DailyPred,MATCH($F41,Rango_Admin_DailyPred_Primera,0),0),"-")</f>
        <v>-</v>
      </c>
      <c r="AL41" s="429" t="str">
        <f ca="1">IFERROR(VLOOKUP(AL$2,Rango_Admin_DailyPred,MATCH($F41,Rango_Admin_DailyPred_Primera,0),0),"-")</f>
        <v>-</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Alemania-Brasil·2|1-3</v>
      </c>
      <c r="H42" s="429" t="str">
        <f ca="1">IFERROR(VLOOKUP(H$2,Rango_Admin_DailyPred,MATCH($F42,Rango_Admin_DailyPred_Primera,0),0),"-")</f>
        <v>España-Portugal·1|2-1</v>
      </c>
      <c r="I42" s="429" t="str">
        <f ca="1">IFERROR(VLOOKUP(I$2,Rango_Admin_DailyPred,MATCH($F42,Rango_Admin_DailyPred_Primera,0),0),"-")</f>
        <v>España</v>
      </c>
      <c r="J42" s="429" t="str">
        <f ca="1">IFERROR(VLOOKUP(J$2,Rango_Admin_DailyPred,MATCH($F42,Rango_Admin_DailyPred_Primera,0),0),"-")</f>
        <v>Portugal</v>
      </c>
      <c r="K42" s="429" t="str">
        <f ca="1">IFERROR(VLOOKUP(K$2,Rango_Admin_DailyPred,MATCH($F42,Rango_Admin_DailyPred_Primera,0),0),"-")</f>
        <v>Brasil</v>
      </c>
      <c r="L42" s="429" t="str">
        <f ca="1">IFERROR(VLOOKUP(L$2,Rango_Admin_DailyPred,MATCH($F42,Rango_Admin_DailyPred_Primera,0),0),"-")</f>
        <v>Cristiano Ronaldo</v>
      </c>
      <c r="M42" s="429" t="str">
        <f ca="1">IFERROR(VLOOKUP(M$2,Rango_Admin_DailyPred,MATCH($F42,Rango_Admin_DailyPred_Primera,0),0),"-")</f>
        <v>Vinicius Jr</v>
      </c>
      <c r="N42" s="429" t="str">
        <f ca="1">IFERROR(VLOOKUP(N$2,Rango_Admin_DailyPred,MATCH($F42,Rango_Admin_DailyPred_Primera,0),0),"-")</f>
        <v>Mbappe</v>
      </c>
      <c r="O42" s="429" t="str">
        <f ca="1">IFERROR(VLOOKUP(O$2,Rango_Admin_DailyPred,MATCH($F42,Rango_Admin_DailyPred_Primera,0),0),"-")</f>
        <v>Yamal</v>
      </c>
      <c r="P42" s="429" t="str">
        <f ca="1">IFERROR(VLOOKUP(P$2,Rango_Admin_DailyPred,MATCH($F42,Rango_Admin_DailyPred_Primera,0),0),"-")</f>
        <v>Vitinha</v>
      </c>
      <c r="Q42" s="429" t="str">
        <f ca="1">IFERROR(VLOOKUP(Q$2,Rango_Admin_DailyPred,MATCH($F42,Rango_Admin_DailyPred_Primera,0),0),"-")</f>
        <v>Vinicius Jr</v>
      </c>
      <c r="R42" s="429" t="str">
        <f ca="1">IFERROR(VLOOKUP(R$2,Rango_Admin_DailyPred,MATCH($F42,Rango_Admin_DailyPred_Primera,0),0),"-")</f>
        <v>-</v>
      </c>
      <c r="S42" s="429" t="str">
        <f ca="1">IFERROR(VLOOKUP(S$2,Rango_Admin_DailyPred,MATCH($F42,Rango_Admin_DailyPred_Primera,0),0),"-")</f>
        <v>-</v>
      </c>
      <c r="T42" s="429" t="str">
        <f ca="1">IFERROR(VLOOKUP(T$2,Rango_Admin_DailyPred,MATCH($F42,Rango_Admin_DailyPred_Primera,0),0),"-")</f>
        <v>-</v>
      </c>
      <c r="U42" s="429" t="str">
        <f ca="1">IFERROR(VLOOKUP(U$2,Rango_Admin_DailyPred,MATCH($F42,Rango_Admin_DailyPred_Primera,0),0),"-")</f>
        <v>-</v>
      </c>
      <c r="V42" s="429" t="str">
        <f ca="1">IFERROR(VLOOKUP(V$2,Rango_Admin_DailyPred,MATCH($F42,Rango_Admin_DailyPred_Primera,0),0),"-")</f>
        <v>-</v>
      </c>
      <c r="W42" s="429" t="str">
        <f ca="1">IFERROR(VLOOKUP(W$2,Rango_Admin_DailyPred,MATCH($F42,Rango_Admin_DailyPred_Primera,0),0),"-")</f>
        <v>-</v>
      </c>
      <c r="X42" s="429" t="str">
        <f ca="1">IFERROR(VLOOKUP(X$2,Rango_Admin_DailyPred,MATCH($F42,Rango_Admin_DailyPred_Primera,0),0),"-")</f>
        <v>-</v>
      </c>
      <c r="Y42" s="429" t="str">
        <f ca="1">IFERROR(VLOOKUP(Y$2,Rango_Admin_DailyPred,MATCH($F42,Rango_Admin_DailyPred_Primera,0),0),"-")</f>
        <v>-</v>
      </c>
      <c r="Z42" s="429" t="str">
        <f ca="1">IFERROR(VLOOKUP(Z$2,Rango_Admin_DailyPred,MATCH($F42,Rango_Admin_DailyPred_Primera,0),0),"-")</f>
        <v>-</v>
      </c>
      <c r="AA42" s="429" t="str">
        <f ca="1">IFERROR(VLOOKUP(AA$2,Rango_Admin_DailyPred,MATCH($F42,Rango_Admin_DailyPred_Primera,0),0),"-")</f>
        <v>-</v>
      </c>
      <c r="AB42" s="429" t="str">
        <f ca="1">IFERROR(VLOOKUP(AB$2,Rango_Admin_DailyPred,MATCH($F42,Rango_Admin_DailyPred_Primera,0),0),"-")</f>
        <v>-</v>
      </c>
      <c r="AC42" s="429" t="str">
        <f ca="1">IFERROR(VLOOKUP(AC$2,Rango_Admin_DailyPred,MATCH($F42,Rango_Admin_DailyPred_Primera,0),0),"-")</f>
        <v>-</v>
      </c>
      <c r="AD42" s="429" t="str">
        <f ca="1">IFERROR(VLOOKUP(AD$2,Rango_Admin_DailyPred,MATCH($F42,Rango_Admin_DailyPred_Primera,0),0),"-")</f>
        <v>-</v>
      </c>
      <c r="AE42" s="429" t="str">
        <f ca="1">IFERROR(VLOOKUP(AE$2,Rango_Admin_DailyPred,MATCH($F42,Rango_Admin_DailyPred_Primera,0),0),"-")</f>
        <v>-</v>
      </c>
      <c r="AF42" s="429" t="str">
        <f ca="1">IFERROR(VLOOKUP(AF$2,Rango_Admin_DailyPred,MATCH($F42,Rango_Admin_DailyPred_Primera,0),0),"-")</f>
        <v>-</v>
      </c>
      <c r="AG42" s="429" t="str">
        <f ca="1">IFERROR(VLOOKUP(AG$2,Rango_Admin_DailyPred,MATCH($F42,Rango_Admin_DailyPred_Primera,0),0),"-")</f>
        <v>-</v>
      </c>
      <c r="AH42" s="429" t="str">
        <f ca="1">IFERROR(VLOOKUP(AH$2,Rango_Admin_DailyPred,MATCH($F42,Rango_Admin_DailyPred_Primera,0),0),"-")</f>
        <v>-</v>
      </c>
      <c r="AI42" s="429" t="str">
        <f ca="1">IFERROR(VLOOKUP(AI$2,Rango_Admin_DailyPred,MATCH($F42,Rango_Admin_DailyPred_Primera,0),0),"-")</f>
        <v>-</v>
      </c>
      <c r="AJ42" s="429" t="str">
        <f ca="1">IFERROR(VLOOKUP(AJ$2,Rango_Admin_DailyPred,MATCH($F42,Rango_Admin_DailyPred_Primera,0),0),"-")</f>
        <v>-</v>
      </c>
      <c r="AK42" s="429" t="str">
        <f ca="1">IFERROR(VLOOKUP(AK$2,Rango_Admin_DailyPred,MATCH($F42,Rango_Admin_DailyPred_Primera,0),0),"-")</f>
        <v>-</v>
      </c>
      <c r="AL42" s="429" t="str">
        <f ca="1">IFERROR(VLOOKUP(AL$2,Rango_Admin_DailyPred,MATCH($F42,Rango_Admin_DailyPred_Primera,0),0),"-")</f>
        <v>-</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Alemania-Uruguay·2|1-2</v>
      </c>
      <c r="H43" s="429" t="str">
        <f ca="1">IFERROR(VLOOKUP(H$2,Rango_Admin_DailyPred,MATCH($F43,Rango_Admin_DailyPred_Primera,0),0),"-")</f>
        <v>España-Inglaterra·X|1-1</v>
      </c>
      <c r="I43" s="429" t="str">
        <f ca="1">IFERROR(VLOOKUP(I$2,Rango_Admin_DailyPred,MATCH($F43,Rango_Admin_DailyPred_Primera,0),0),"-")</f>
        <v>España</v>
      </c>
      <c r="J43" s="429" t="str">
        <f ca="1">IFERROR(VLOOKUP(J$2,Rango_Admin_DailyPred,MATCH($F43,Rango_Admin_DailyPred_Primera,0),0),"-")</f>
        <v>Inglaterra</v>
      </c>
      <c r="K43" s="429" t="str">
        <f ca="1">IFERROR(VLOOKUP(K$2,Rango_Admin_DailyPred,MATCH($F43,Rango_Admin_DailyPred_Primera,0),0),"-")</f>
        <v>Uruguay</v>
      </c>
      <c r="L43" s="429" t="str">
        <f ca="1">IFERROR(VLOOKUP(L$2,Rango_Admin_DailyPred,MATCH($F43,Rango_Admin_DailyPred_Primera,0),0),"-")</f>
        <v>Kane</v>
      </c>
      <c r="M43" s="429" t="str">
        <f ca="1">IFERROR(VLOOKUP(M$2,Rango_Admin_DailyPred,MATCH($F43,Rango_Admin_DailyPred_Primera,0),0),"-")</f>
        <v>Havertz</v>
      </c>
      <c r="N43" s="429" t="str">
        <f ca="1">IFERROR(VLOOKUP(N$2,Rango_Admin_DailyPred,MATCH($F43,Rango_Admin_DailyPred_Primera,0),0),"-")</f>
        <v>Cristiano Ronaldo</v>
      </c>
      <c r="O43" s="429" t="str">
        <f ca="1">IFERROR(VLOOKUP(O$2,Rango_Admin_DailyPred,MATCH($F43,Rango_Admin_DailyPred_Primera,0),0),"-")</f>
        <v>Pedri</v>
      </c>
      <c r="P43" s="429" t="str">
        <f ca="1">IFERROR(VLOOKUP(P$2,Rango_Admin_DailyPred,MATCH($F43,Rango_Admin_DailyPred_Primera,0),0),"-")</f>
        <v>Kane</v>
      </c>
      <c r="Q43" s="429" t="str">
        <f ca="1">IFERROR(VLOOKUP(Q$2,Rango_Admin_DailyPred,MATCH($F43,Rango_Admin_DailyPred_Primera,0),0),"-")</f>
        <v>Unai Simón</v>
      </c>
      <c r="R43" s="429" t="str">
        <f ca="1">IFERROR(VLOOKUP(R$2,Rango_Admin_DailyPred,MATCH($F43,Rango_Admin_DailyPred_Primera,0),0),"-")</f>
        <v>-</v>
      </c>
      <c r="S43" s="429" t="str">
        <f ca="1">IFERROR(VLOOKUP(S$2,Rango_Admin_DailyPred,MATCH($F43,Rango_Admin_DailyPred_Primera,0),0),"-")</f>
        <v>-</v>
      </c>
      <c r="T43" s="429" t="str">
        <f ca="1">IFERROR(VLOOKUP(T$2,Rango_Admin_DailyPred,MATCH($F43,Rango_Admin_DailyPred_Primera,0),0),"-")</f>
        <v>-</v>
      </c>
      <c r="U43" s="429" t="str">
        <f ca="1">IFERROR(VLOOKUP(U$2,Rango_Admin_DailyPred,MATCH($F43,Rango_Admin_DailyPred_Primera,0),0),"-")</f>
        <v>-</v>
      </c>
      <c r="V43" s="429" t="str">
        <f ca="1">IFERROR(VLOOKUP(V$2,Rango_Admin_DailyPred,MATCH($F43,Rango_Admin_DailyPred_Primera,0),0),"-")</f>
        <v>-</v>
      </c>
      <c r="W43" s="429" t="str">
        <f ca="1">IFERROR(VLOOKUP(W$2,Rango_Admin_DailyPred,MATCH($F43,Rango_Admin_DailyPred_Primera,0),0),"-")</f>
        <v>-</v>
      </c>
      <c r="X43" s="429" t="str">
        <f ca="1">IFERROR(VLOOKUP(X$2,Rango_Admin_DailyPred,MATCH($F43,Rango_Admin_DailyPred_Primera,0),0),"-")</f>
        <v>-</v>
      </c>
      <c r="Y43" s="429" t="str">
        <f ca="1">IFERROR(VLOOKUP(Y$2,Rango_Admin_DailyPred,MATCH($F43,Rango_Admin_DailyPred_Primera,0),0),"-")</f>
        <v>-</v>
      </c>
      <c r="Z43" s="429" t="str">
        <f ca="1">IFERROR(VLOOKUP(Z$2,Rango_Admin_DailyPred,MATCH($F43,Rango_Admin_DailyPred_Primera,0),0),"-")</f>
        <v>-</v>
      </c>
      <c r="AA43" s="429" t="str">
        <f ca="1">IFERROR(VLOOKUP(AA$2,Rango_Admin_DailyPred,MATCH($F43,Rango_Admin_DailyPred_Primera,0),0),"-")</f>
        <v>-</v>
      </c>
      <c r="AB43" s="429" t="str">
        <f ca="1">IFERROR(VLOOKUP(AB$2,Rango_Admin_DailyPred,MATCH($F43,Rango_Admin_DailyPred_Primera,0),0),"-")</f>
        <v>-</v>
      </c>
      <c r="AC43" s="429" t="str">
        <f ca="1">IFERROR(VLOOKUP(AC$2,Rango_Admin_DailyPred,MATCH($F43,Rango_Admin_DailyPred_Primera,0),0),"-")</f>
        <v>-</v>
      </c>
      <c r="AD43" s="429" t="str">
        <f ca="1">IFERROR(VLOOKUP(AD$2,Rango_Admin_DailyPred,MATCH($F43,Rango_Admin_DailyPred_Primera,0),0),"-")</f>
        <v>-</v>
      </c>
      <c r="AE43" s="429" t="str">
        <f ca="1">IFERROR(VLOOKUP(AE$2,Rango_Admin_DailyPred,MATCH($F43,Rango_Admin_DailyPred_Primera,0),0),"-")</f>
        <v>-</v>
      </c>
      <c r="AF43" s="429" t="str">
        <f ca="1">IFERROR(VLOOKUP(AF$2,Rango_Admin_DailyPred,MATCH($F43,Rango_Admin_DailyPred_Primera,0),0),"-")</f>
        <v>-</v>
      </c>
      <c r="AG43" s="429" t="str">
        <f ca="1">IFERROR(VLOOKUP(AG$2,Rango_Admin_DailyPred,MATCH($F43,Rango_Admin_DailyPred_Primera,0),0),"-")</f>
        <v>-</v>
      </c>
      <c r="AH43" s="429" t="str">
        <f ca="1">IFERROR(VLOOKUP(AH$2,Rango_Admin_DailyPred,MATCH($F43,Rango_Admin_DailyPred_Primera,0),0),"-")</f>
        <v>-</v>
      </c>
      <c r="AI43" s="429" t="str">
        <f ca="1">IFERROR(VLOOKUP(AI$2,Rango_Admin_DailyPred,MATCH($F43,Rango_Admin_DailyPred_Primera,0),0),"-")</f>
        <v>-</v>
      </c>
      <c r="AJ43" s="429" t="str">
        <f ca="1">IFERROR(VLOOKUP(AJ$2,Rango_Admin_DailyPred,MATCH($F43,Rango_Admin_DailyPred_Primera,0),0),"-")</f>
        <v>-</v>
      </c>
      <c r="AK43" s="429" t="str">
        <f ca="1">IFERROR(VLOOKUP(AK$2,Rango_Admin_DailyPred,MATCH($F43,Rango_Admin_DailyPred_Primera,0),0),"-")</f>
        <v>-</v>
      </c>
      <c r="AL43" s="429" t="str">
        <f ca="1">IFERROR(VLOOKUP(AL$2,Rango_Admin_DailyPred,MATCH($F43,Rango_Admin_DailyPred_Primera,0),0),"-")</f>
        <v>-</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Francia-Inglaterra·1|4-1</v>
      </c>
      <c r="H44" s="429" t="str">
        <f ca="1">IFERROR(VLOOKUP(H$2,Rango_Admin_DailyPred,MATCH($F44,Rango_Admin_DailyPred_Primera,0),0),"-")</f>
        <v>España-Portugal·1|2-1</v>
      </c>
      <c r="I44" s="429" t="str">
        <f ca="1">IFERROR(VLOOKUP(I$2,Rango_Admin_DailyPred,MATCH($F44,Rango_Admin_DailyPred_Primera,0),0),"-")</f>
        <v>España</v>
      </c>
      <c r="J44" s="429" t="str">
        <f ca="1">IFERROR(VLOOKUP(J$2,Rango_Admin_DailyPred,MATCH($F44,Rango_Admin_DailyPred_Primera,0),0),"-")</f>
        <v>Portugal</v>
      </c>
      <c r="K44" s="429" t="str">
        <f ca="1">IFERROR(VLOOKUP(K$2,Rango_Admin_DailyPred,MATCH($F44,Rango_Admin_DailyPred_Primera,0),0),"-")</f>
        <v>Francia</v>
      </c>
      <c r="L44" s="429" t="str">
        <f ca="1">IFERROR(VLOOKUP(L$2,Rango_Admin_DailyPred,MATCH($F44,Rango_Admin_DailyPred_Primera,0),0),"-")</f>
        <v>Mbappe</v>
      </c>
      <c r="M44" s="429" t="str">
        <f ca="1">IFERROR(VLOOKUP(M$2,Rango_Admin_DailyPred,MATCH($F44,Rango_Admin_DailyPred_Primera,0),0),"-")</f>
        <v>Kane</v>
      </c>
      <c r="N44" s="429" t="str">
        <f ca="1">IFERROR(VLOOKUP(N$2,Rango_Admin_DailyPred,MATCH($F44,Rango_Admin_DailyPred_Primera,0),0),"-")</f>
        <v>Oyarzabal</v>
      </c>
      <c r="O44" s="429" t="str">
        <f ca="1">IFERROR(VLOOKUP(O$2,Rango_Admin_DailyPred,MATCH($F44,Rango_Admin_DailyPred_Primera,0),0),"-")</f>
        <v>Yamal</v>
      </c>
      <c r="P44" s="429" t="str">
        <f ca="1">IFERROR(VLOOKUP(P$2,Rango_Admin_DailyPred,MATCH($F44,Rango_Admin_DailyPred_Primera,0),0),"-")</f>
        <v>Mbappe</v>
      </c>
      <c r="Q44" s="429" t="str">
        <f ca="1">IFERROR(VLOOKUP(Q$2,Rango_Admin_DailyPred,MATCH($F44,Rango_Admin_DailyPred_Primera,0),0),"-")</f>
        <v>Vitinha</v>
      </c>
      <c r="R44" s="429" t="str">
        <f ca="1">IFERROR(VLOOKUP(R$2,Rango_Admin_DailyPred,MATCH($F44,Rango_Admin_DailyPred_Primera,0),0),"-")</f>
        <v>-</v>
      </c>
      <c r="S44" s="429" t="str">
        <f ca="1">IFERROR(VLOOKUP(S$2,Rango_Admin_DailyPred,MATCH($F44,Rango_Admin_DailyPred_Primera,0),0),"-")</f>
        <v>-</v>
      </c>
      <c r="T44" s="429" t="str">
        <f ca="1">IFERROR(VLOOKUP(T$2,Rango_Admin_DailyPred,MATCH($F44,Rango_Admin_DailyPred_Primera,0),0),"-")</f>
        <v>-</v>
      </c>
      <c r="U44" s="429" t="str">
        <f ca="1">IFERROR(VLOOKUP(U$2,Rango_Admin_DailyPred,MATCH($F44,Rango_Admin_DailyPred_Primera,0),0),"-")</f>
        <v>-</v>
      </c>
      <c r="V44" s="429" t="str">
        <f ca="1">IFERROR(VLOOKUP(V$2,Rango_Admin_DailyPred,MATCH($F44,Rango_Admin_DailyPred_Primera,0),0),"-")</f>
        <v>-</v>
      </c>
      <c r="W44" s="429" t="str">
        <f ca="1">IFERROR(VLOOKUP(W$2,Rango_Admin_DailyPred,MATCH($F44,Rango_Admin_DailyPred_Primera,0),0),"-")</f>
        <v>-</v>
      </c>
      <c r="X44" s="429" t="str">
        <f ca="1">IFERROR(VLOOKUP(X$2,Rango_Admin_DailyPred,MATCH($F44,Rango_Admin_DailyPred_Primera,0),0),"-")</f>
        <v>-</v>
      </c>
      <c r="Y44" s="429" t="str">
        <f ca="1">IFERROR(VLOOKUP(Y$2,Rango_Admin_DailyPred,MATCH($F44,Rango_Admin_DailyPred_Primera,0),0),"-")</f>
        <v>-</v>
      </c>
      <c r="Z44" s="429" t="str">
        <f ca="1">IFERROR(VLOOKUP(Z$2,Rango_Admin_DailyPred,MATCH($F44,Rango_Admin_DailyPred_Primera,0),0),"-")</f>
        <v>-</v>
      </c>
      <c r="AA44" s="429" t="str">
        <f ca="1">IFERROR(VLOOKUP(AA$2,Rango_Admin_DailyPred,MATCH($F44,Rango_Admin_DailyPred_Primera,0),0),"-")</f>
        <v>-</v>
      </c>
      <c r="AB44" s="429" t="str">
        <f ca="1">IFERROR(VLOOKUP(AB$2,Rango_Admin_DailyPred,MATCH($F44,Rango_Admin_DailyPred_Primera,0),0),"-")</f>
        <v>-</v>
      </c>
      <c r="AC44" s="429" t="str">
        <f ca="1">IFERROR(VLOOKUP(AC$2,Rango_Admin_DailyPred,MATCH($F44,Rango_Admin_DailyPred_Primera,0),0),"-")</f>
        <v>-</v>
      </c>
      <c r="AD44" s="429" t="str">
        <f ca="1">IFERROR(VLOOKUP(AD$2,Rango_Admin_DailyPred,MATCH($F44,Rango_Admin_DailyPred_Primera,0),0),"-")</f>
        <v>-</v>
      </c>
      <c r="AE44" s="429" t="str">
        <f ca="1">IFERROR(VLOOKUP(AE$2,Rango_Admin_DailyPred,MATCH($F44,Rango_Admin_DailyPred_Primera,0),0),"-")</f>
        <v>-</v>
      </c>
      <c r="AF44" s="429" t="str">
        <f ca="1">IFERROR(VLOOKUP(AF$2,Rango_Admin_DailyPred,MATCH($F44,Rango_Admin_DailyPred_Primera,0),0),"-")</f>
        <v>-</v>
      </c>
      <c r="AG44" s="429" t="str">
        <f ca="1">IFERROR(VLOOKUP(AG$2,Rango_Admin_DailyPred,MATCH($F44,Rango_Admin_DailyPred_Primera,0),0),"-")</f>
        <v>-</v>
      </c>
      <c r="AH44" s="429" t="str">
        <f ca="1">IFERROR(VLOOKUP(AH$2,Rango_Admin_DailyPred,MATCH($F44,Rango_Admin_DailyPred_Primera,0),0),"-")</f>
        <v>-</v>
      </c>
      <c r="AI44" s="429" t="str">
        <f ca="1">IFERROR(VLOOKUP(AI$2,Rango_Admin_DailyPred,MATCH($F44,Rango_Admin_DailyPred_Primera,0),0),"-")</f>
        <v>-</v>
      </c>
      <c r="AJ44" s="429" t="str">
        <f ca="1">IFERROR(VLOOKUP(AJ$2,Rango_Admin_DailyPred,MATCH($F44,Rango_Admin_DailyPred_Primera,0),0),"-")</f>
        <v>-</v>
      </c>
      <c r="AK44" s="429" t="str">
        <f ca="1">IFERROR(VLOOKUP(AK$2,Rango_Admin_DailyPred,MATCH($F44,Rango_Admin_DailyPred_Primera,0),0),"-")</f>
        <v>-</v>
      </c>
      <c r="AL44" s="429" t="str">
        <f ca="1">IFERROR(VLOOKUP(AL$2,Rango_Admin_DailyPred,MATCH($F44,Rango_Admin_DailyPred_Primera,0),0),"-")</f>
        <v>-</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3º-4º puesto y Final</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t="str">
        <f ca="1">IFERROR(VLOOKUP(L$2,Rango_Admin_DailyPred,MATCH($F45,Rango_Admin_DailyPred_Primera,0),0),"-")</f>
        <v>Pegar Valores Cuadro de Honor</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t="str">
        <f ca="1">IFERROR(VLOOKUP(R$2,Rango_Admin_DailyPred,MATCH($F45,Rango_Admin_DailyPred_Primera,0),0),"-")</f>
        <v>-</v>
      </c>
      <c r="S45" s="429" t="str">
        <f ca="1">IFERROR(VLOOKUP(S$2,Rango_Admin_DailyPred,MATCH($F45,Rango_Admin_DailyPred_Primera,0),0),"-")</f>
        <v>-</v>
      </c>
      <c r="T45" s="429" t="str">
        <f ca="1">IFERROR(VLOOKUP(T$2,Rango_Admin_DailyPred,MATCH($F45,Rango_Admin_DailyPred_Primera,0),0),"-")</f>
        <v>-</v>
      </c>
      <c r="U45" s="429" t="str">
        <f ca="1">IFERROR(VLOOKUP(U$2,Rango_Admin_DailyPred,MATCH($F45,Rango_Admin_DailyPred_Primera,0),0),"-")</f>
        <v>-</v>
      </c>
      <c r="V45" s="429" t="str">
        <f ca="1">IFERROR(VLOOKUP(V$2,Rango_Admin_DailyPred,MATCH($F45,Rango_Admin_DailyPred_Primera,0),0),"-")</f>
        <v>-</v>
      </c>
      <c r="W45" s="429" t="str">
        <f ca="1">IFERROR(VLOOKUP(W$2,Rango_Admin_DailyPred,MATCH($F45,Rango_Admin_DailyPred_Primera,0),0),"-")</f>
        <v>-</v>
      </c>
      <c r="X45" s="429" t="str">
        <f ca="1">IFERROR(VLOOKUP(X$2,Rango_Admin_DailyPred,MATCH($F45,Rango_Admin_DailyPred_Primera,0),0),"-")</f>
        <v>-</v>
      </c>
      <c r="Y45" s="429" t="str">
        <f ca="1">IFERROR(VLOOKUP(Y$2,Rango_Admin_DailyPred,MATCH($F45,Rango_Admin_DailyPred_Primera,0),0),"-")</f>
        <v>-</v>
      </c>
      <c r="Z45" s="429" t="str">
        <f ca="1">IFERROR(VLOOKUP(Z$2,Rango_Admin_DailyPred,MATCH($F45,Rango_Admin_DailyPred_Primera,0),0),"-")</f>
        <v>-</v>
      </c>
      <c r="AA45" s="429" t="str">
        <f ca="1">IFERROR(VLOOKUP(AA$2,Rango_Admin_DailyPred,MATCH($F45,Rango_Admin_DailyPred_Primera,0),0),"-")</f>
        <v>-</v>
      </c>
      <c r="AB45" s="429" t="str">
        <f ca="1">IFERROR(VLOOKUP(AB$2,Rango_Admin_DailyPred,MATCH($F45,Rango_Admin_DailyPred_Primera,0),0),"-")</f>
        <v>-</v>
      </c>
      <c r="AC45" s="429" t="str">
        <f ca="1">IFERROR(VLOOKUP(AC$2,Rango_Admin_DailyPred,MATCH($F45,Rango_Admin_DailyPred_Primera,0),0),"-")</f>
        <v>-</v>
      </c>
      <c r="AD45" s="429" t="str">
        <f ca="1">IFERROR(VLOOKUP(AD$2,Rango_Admin_DailyPred,MATCH($F45,Rango_Admin_DailyPred_Primera,0),0),"-")</f>
        <v>-</v>
      </c>
      <c r="AE45" s="429" t="str">
        <f ca="1">IFERROR(VLOOKUP(AE$2,Rango_Admin_DailyPred,MATCH($F45,Rango_Admin_DailyPred_Primera,0),0),"-")</f>
        <v>-</v>
      </c>
      <c r="AF45" s="429" t="str">
        <f ca="1">IFERROR(VLOOKUP(AF$2,Rango_Admin_DailyPred,MATCH($F45,Rango_Admin_DailyPred_Primera,0),0),"-")</f>
        <v>-</v>
      </c>
      <c r="AG45" s="429" t="str">
        <f ca="1">IFERROR(VLOOKUP(AG$2,Rango_Admin_DailyPred,MATCH($F45,Rango_Admin_DailyPred_Primera,0),0),"-")</f>
        <v>-</v>
      </c>
      <c r="AH45" s="429" t="str">
        <f ca="1">IFERROR(VLOOKUP(AH$2,Rango_Admin_DailyPred,MATCH($F45,Rango_Admin_DailyPred_Primera,0),0),"-")</f>
        <v>-</v>
      </c>
      <c r="AI45" s="429" t="str">
        <f ca="1">IFERROR(VLOOKUP(AI$2,Rango_Admin_DailyPred,MATCH($F45,Rango_Admin_DailyPred_Primera,0),0),"-")</f>
        <v>-</v>
      </c>
      <c r="AJ45" s="429" t="str">
        <f ca="1">IFERROR(VLOOKUP(AJ$2,Rango_Admin_DailyPred,MATCH($F45,Rango_Admin_DailyPred_Primera,0),0),"-")</f>
        <v>-</v>
      </c>
      <c r="AK45" s="429" t="str">
        <f ca="1">IFERROR(VLOOKUP(AK$2,Rango_Admin_DailyPred,MATCH($F45,Rango_Admin_DailyPred_Primera,0),0),"-")</f>
        <v>-</v>
      </c>
      <c r="AL45" s="429" t="str">
        <f ca="1">IFERROR(VLOOKUP(AL$2,Rango_Admin_DailyPred,MATCH($F45,Rango_Admin_DailyPred_Primera,0),0),"-")</f>
        <v>-</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3º-4º puesto y Final</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t="str">
        <f ca="1">IFERROR(VLOOKUP(L$2,Rango_Admin_DailyPred,MATCH($F46,Rango_Admin_DailyPred_Primera,0),0),"-")</f>
        <v>Pegar Valores Cuadro de Honor</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t="str">
        <f ca="1">IFERROR(VLOOKUP(R$2,Rango_Admin_DailyPred,MATCH($F46,Rango_Admin_DailyPred_Primera,0),0),"-")</f>
        <v>-</v>
      </c>
      <c r="S46" s="429" t="str">
        <f ca="1">IFERROR(VLOOKUP(S$2,Rango_Admin_DailyPred,MATCH($F46,Rango_Admin_DailyPred_Primera,0),0),"-")</f>
        <v>-</v>
      </c>
      <c r="T46" s="429" t="str">
        <f ca="1">IFERROR(VLOOKUP(T$2,Rango_Admin_DailyPred,MATCH($F46,Rango_Admin_DailyPred_Primera,0),0),"-")</f>
        <v>-</v>
      </c>
      <c r="U46" s="429" t="str">
        <f ca="1">IFERROR(VLOOKUP(U$2,Rango_Admin_DailyPred,MATCH($F46,Rango_Admin_DailyPred_Primera,0),0),"-")</f>
        <v>-</v>
      </c>
      <c r="V46" s="429" t="str">
        <f ca="1">IFERROR(VLOOKUP(V$2,Rango_Admin_DailyPred,MATCH($F46,Rango_Admin_DailyPred_Primera,0),0),"-")</f>
        <v>-</v>
      </c>
      <c r="W46" s="429" t="str">
        <f ca="1">IFERROR(VLOOKUP(W$2,Rango_Admin_DailyPred,MATCH($F46,Rango_Admin_DailyPred_Primera,0),0),"-")</f>
        <v>-</v>
      </c>
      <c r="X46" s="429" t="str">
        <f ca="1">IFERROR(VLOOKUP(X$2,Rango_Admin_DailyPred,MATCH($F46,Rango_Admin_DailyPred_Primera,0),0),"-")</f>
        <v>-</v>
      </c>
      <c r="Y46" s="429" t="str">
        <f ca="1">IFERROR(VLOOKUP(Y$2,Rango_Admin_DailyPred,MATCH($F46,Rango_Admin_DailyPred_Primera,0),0),"-")</f>
        <v>-</v>
      </c>
      <c r="Z46" s="429" t="str">
        <f ca="1">IFERROR(VLOOKUP(Z$2,Rango_Admin_DailyPred,MATCH($F46,Rango_Admin_DailyPred_Primera,0),0),"-")</f>
        <v>-</v>
      </c>
      <c r="AA46" s="429" t="str">
        <f ca="1">IFERROR(VLOOKUP(AA$2,Rango_Admin_DailyPred,MATCH($F46,Rango_Admin_DailyPred_Primera,0),0),"-")</f>
        <v>-</v>
      </c>
      <c r="AB46" s="429" t="str">
        <f ca="1">IFERROR(VLOOKUP(AB$2,Rango_Admin_DailyPred,MATCH($F46,Rango_Admin_DailyPred_Primera,0),0),"-")</f>
        <v>-</v>
      </c>
      <c r="AC46" s="429" t="str">
        <f ca="1">IFERROR(VLOOKUP(AC$2,Rango_Admin_DailyPred,MATCH($F46,Rango_Admin_DailyPred_Primera,0),0),"-")</f>
        <v>-</v>
      </c>
      <c r="AD46" s="429" t="str">
        <f ca="1">IFERROR(VLOOKUP(AD$2,Rango_Admin_DailyPred,MATCH($F46,Rango_Admin_DailyPred_Primera,0),0),"-")</f>
        <v>-</v>
      </c>
      <c r="AE46" s="429" t="str">
        <f ca="1">IFERROR(VLOOKUP(AE$2,Rango_Admin_DailyPred,MATCH($F46,Rango_Admin_DailyPred_Primera,0),0),"-")</f>
        <v>-</v>
      </c>
      <c r="AF46" s="429" t="str">
        <f ca="1">IFERROR(VLOOKUP(AF$2,Rango_Admin_DailyPred,MATCH($F46,Rango_Admin_DailyPred_Primera,0),0),"-")</f>
        <v>-</v>
      </c>
      <c r="AG46" s="429" t="str">
        <f ca="1">IFERROR(VLOOKUP(AG$2,Rango_Admin_DailyPred,MATCH($F46,Rango_Admin_DailyPred_Primera,0),0),"-")</f>
        <v>-</v>
      </c>
      <c r="AH46" s="429" t="str">
        <f ca="1">IFERROR(VLOOKUP(AH$2,Rango_Admin_DailyPred,MATCH($F46,Rango_Admin_DailyPred_Primera,0),0),"-")</f>
        <v>-</v>
      </c>
      <c r="AI46" s="429" t="str">
        <f ca="1">IFERROR(VLOOKUP(AI$2,Rango_Admin_DailyPred,MATCH($F46,Rango_Admin_DailyPred_Primera,0),0),"-")</f>
        <v>-</v>
      </c>
      <c r="AJ46" s="429" t="str">
        <f ca="1">IFERROR(VLOOKUP(AJ$2,Rango_Admin_DailyPred,MATCH($F46,Rango_Admin_DailyPred_Primera,0),0),"-")</f>
        <v>-</v>
      </c>
      <c r="AK46" s="429" t="str">
        <f ca="1">IFERROR(VLOOKUP(AK$2,Rango_Admin_DailyPred,MATCH($F46,Rango_Admin_DailyPred_Primera,0),0),"-")</f>
        <v>-</v>
      </c>
      <c r="AL46" s="429" t="str">
        <f ca="1">IFERROR(VLOOKUP(AL$2,Rango_Admin_DailyPred,MATCH($F46,Rango_Admin_DailyPred_Primera,0),0),"-")</f>
        <v>-</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3º-4º puesto y Final</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t="str">
        <f ca="1">IFERROR(VLOOKUP(L$2,Rango_Admin_DailyPred,MATCH($F47,Rango_Admin_DailyPred_Primera,0),0),"-")</f>
        <v>Pegar Valores Cuadro de Honor</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t="str">
        <f ca="1">IFERROR(VLOOKUP(R$2,Rango_Admin_DailyPred,MATCH($F47,Rango_Admin_DailyPred_Primera,0),0),"-")</f>
        <v>-</v>
      </c>
      <c r="S47" s="429" t="str">
        <f ca="1">IFERROR(VLOOKUP(S$2,Rango_Admin_DailyPred,MATCH($F47,Rango_Admin_DailyPred_Primera,0),0),"-")</f>
        <v>-</v>
      </c>
      <c r="T47" s="429" t="str">
        <f ca="1">IFERROR(VLOOKUP(T$2,Rango_Admin_DailyPred,MATCH($F47,Rango_Admin_DailyPred_Primera,0),0),"-")</f>
        <v>-</v>
      </c>
      <c r="U47" s="429" t="str">
        <f ca="1">IFERROR(VLOOKUP(U$2,Rango_Admin_DailyPred,MATCH($F47,Rango_Admin_DailyPred_Primera,0),0),"-")</f>
        <v>-</v>
      </c>
      <c r="V47" s="429" t="str">
        <f ca="1">IFERROR(VLOOKUP(V$2,Rango_Admin_DailyPred,MATCH($F47,Rango_Admin_DailyPred_Primera,0),0),"-")</f>
        <v>-</v>
      </c>
      <c r="W47" s="429" t="str">
        <f ca="1">IFERROR(VLOOKUP(W$2,Rango_Admin_DailyPred,MATCH($F47,Rango_Admin_DailyPred_Primera,0),0),"-")</f>
        <v>-</v>
      </c>
      <c r="X47" s="429" t="str">
        <f ca="1">IFERROR(VLOOKUP(X$2,Rango_Admin_DailyPred,MATCH($F47,Rango_Admin_DailyPred_Primera,0),0),"-")</f>
        <v>-</v>
      </c>
      <c r="Y47" s="429" t="str">
        <f ca="1">IFERROR(VLOOKUP(Y$2,Rango_Admin_DailyPred,MATCH($F47,Rango_Admin_DailyPred_Primera,0),0),"-")</f>
        <v>-</v>
      </c>
      <c r="Z47" s="429" t="str">
        <f ca="1">IFERROR(VLOOKUP(Z$2,Rango_Admin_DailyPred,MATCH($F47,Rango_Admin_DailyPred_Primera,0),0),"-")</f>
        <v>-</v>
      </c>
      <c r="AA47" s="429" t="str">
        <f ca="1">IFERROR(VLOOKUP(AA$2,Rango_Admin_DailyPred,MATCH($F47,Rango_Admin_DailyPred_Primera,0),0),"-")</f>
        <v>-</v>
      </c>
      <c r="AB47" s="429" t="str">
        <f ca="1">IFERROR(VLOOKUP(AB$2,Rango_Admin_DailyPred,MATCH($F47,Rango_Admin_DailyPred_Primera,0),0),"-")</f>
        <v>-</v>
      </c>
      <c r="AC47" s="429" t="str">
        <f ca="1">IFERROR(VLOOKUP(AC$2,Rango_Admin_DailyPred,MATCH($F47,Rango_Admin_DailyPred_Primera,0),0),"-")</f>
        <v>-</v>
      </c>
      <c r="AD47" s="429" t="str">
        <f ca="1">IFERROR(VLOOKUP(AD$2,Rango_Admin_DailyPred,MATCH($F47,Rango_Admin_DailyPred_Primera,0),0),"-")</f>
        <v>-</v>
      </c>
      <c r="AE47" s="429" t="str">
        <f ca="1">IFERROR(VLOOKUP(AE$2,Rango_Admin_DailyPred,MATCH($F47,Rango_Admin_DailyPred_Primera,0),0),"-")</f>
        <v>-</v>
      </c>
      <c r="AF47" s="429" t="str">
        <f ca="1">IFERROR(VLOOKUP(AF$2,Rango_Admin_DailyPred,MATCH($F47,Rango_Admin_DailyPred_Primera,0),0),"-")</f>
        <v>-</v>
      </c>
      <c r="AG47" s="429" t="str">
        <f ca="1">IFERROR(VLOOKUP(AG$2,Rango_Admin_DailyPred,MATCH($F47,Rango_Admin_DailyPred_Primera,0),0),"-")</f>
        <v>-</v>
      </c>
      <c r="AH47" s="429" t="str">
        <f ca="1">IFERROR(VLOOKUP(AH$2,Rango_Admin_DailyPred,MATCH($F47,Rango_Admin_DailyPred_Primera,0),0),"-")</f>
        <v>-</v>
      </c>
      <c r="AI47" s="429" t="str">
        <f ca="1">IFERROR(VLOOKUP(AI$2,Rango_Admin_DailyPred,MATCH($F47,Rango_Admin_DailyPred_Primera,0),0),"-")</f>
        <v>-</v>
      </c>
      <c r="AJ47" s="429" t="str">
        <f ca="1">IFERROR(VLOOKUP(AJ$2,Rango_Admin_DailyPred,MATCH($F47,Rango_Admin_DailyPred_Primera,0),0),"-")</f>
        <v>-</v>
      </c>
      <c r="AK47" s="429" t="str">
        <f ca="1">IFERROR(VLOOKUP(AK$2,Rango_Admin_DailyPred,MATCH($F47,Rango_Admin_DailyPred_Primera,0),0),"-")</f>
        <v>-</v>
      </c>
      <c r="AL47" s="429" t="str">
        <f ca="1">IFERROR(VLOOKUP(AL$2,Rango_Admin_DailyPred,MATCH($F47,Rango_Admin_DailyPred_Primera,0),0),"-")</f>
        <v>-</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3º-4º puesto y Final</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t="str">
        <f ca="1">IFERROR(VLOOKUP(L$2,Rango_Admin_DailyPred,MATCH($F48,Rango_Admin_DailyPred_Primera,0),0),"-")</f>
        <v>Pegar Valores Cuadro de Honor</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t="str">
        <f ca="1">IFERROR(VLOOKUP(R$2,Rango_Admin_DailyPred,MATCH($F48,Rango_Admin_DailyPred_Primera,0),0),"-")</f>
        <v>-</v>
      </c>
      <c r="S48" s="429" t="str">
        <f ca="1">IFERROR(VLOOKUP(S$2,Rango_Admin_DailyPred,MATCH($F48,Rango_Admin_DailyPred_Primera,0),0),"-")</f>
        <v>-</v>
      </c>
      <c r="T48" s="429" t="str">
        <f ca="1">IFERROR(VLOOKUP(T$2,Rango_Admin_DailyPred,MATCH($F48,Rango_Admin_DailyPred_Primera,0),0),"-")</f>
        <v>-</v>
      </c>
      <c r="U48" s="429" t="str">
        <f ca="1">IFERROR(VLOOKUP(U$2,Rango_Admin_DailyPred,MATCH($F48,Rango_Admin_DailyPred_Primera,0),0),"-")</f>
        <v>-</v>
      </c>
      <c r="V48" s="429" t="str">
        <f ca="1">IFERROR(VLOOKUP(V$2,Rango_Admin_DailyPred,MATCH($F48,Rango_Admin_DailyPred_Primera,0),0),"-")</f>
        <v>-</v>
      </c>
      <c r="W48" s="429" t="str">
        <f ca="1">IFERROR(VLOOKUP(W$2,Rango_Admin_DailyPred,MATCH($F48,Rango_Admin_DailyPred_Primera,0),0),"-")</f>
        <v>-</v>
      </c>
      <c r="X48" s="429" t="str">
        <f ca="1">IFERROR(VLOOKUP(X$2,Rango_Admin_DailyPred,MATCH($F48,Rango_Admin_DailyPred_Primera,0),0),"-")</f>
        <v>-</v>
      </c>
      <c r="Y48" s="429" t="str">
        <f ca="1">IFERROR(VLOOKUP(Y$2,Rango_Admin_DailyPred,MATCH($F48,Rango_Admin_DailyPred_Primera,0),0),"-")</f>
        <v>-</v>
      </c>
      <c r="Z48" s="429" t="str">
        <f ca="1">IFERROR(VLOOKUP(Z$2,Rango_Admin_DailyPred,MATCH($F48,Rango_Admin_DailyPred_Primera,0),0),"-")</f>
        <v>-</v>
      </c>
      <c r="AA48" s="429" t="str">
        <f ca="1">IFERROR(VLOOKUP(AA$2,Rango_Admin_DailyPred,MATCH($F48,Rango_Admin_DailyPred_Primera,0),0),"-")</f>
        <v>-</v>
      </c>
      <c r="AB48" s="429" t="str">
        <f ca="1">IFERROR(VLOOKUP(AB$2,Rango_Admin_DailyPred,MATCH($F48,Rango_Admin_DailyPred_Primera,0),0),"-")</f>
        <v>-</v>
      </c>
      <c r="AC48" s="429" t="str">
        <f ca="1">IFERROR(VLOOKUP(AC$2,Rango_Admin_DailyPred,MATCH($F48,Rango_Admin_DailyPred_Primera,0),0),"-")</f>
        <v>-</v>
      </c>
      <c r="AD48" s="429" t="str">
        <f ca="1">IFERROR(VLOOKUP(AD$2,Rango_Admin_DailyPred,MATCH($F48,Rango_Admin_DailyPred_Primera,0),0),"-")</f>
        <v>-</v>
      </c>
      <c r="AE48" s="429" t="str">
        <f ca="1">IFERROR(VLOOKUP(AE$2,Rango_Admin_DailyPred,MATCH($F48,Rango_Admin_DailyPred_Primera,0),0),"-")</f>
        <v>-</v>
      </c>
      <c r="AF48" s="429" t="str">
        <f ca="1">IFERROR(VLOOKUP(AF$2,Rango_Admin_DailyPred,MATCH($F48,Rango_Admin_DailyPred_Primera,0),0),"-")</f>
        <v>-</v>
      </c>
      <c r="AG48" s="429" t="str">
        <f ca="1">IFERROR(VLOOKUP(AG$2,Rango_Admin_DailyPred,MATCH($F48,Rango_Admin_DailyPred_Primera,0),0),"-")</f>
        <v>-</v>
      </c>
      <c r="AH48" s="429" t="str">
        <f ca="1">IFERROR(VLOOKUP(AH$2,Rango_Admin_DailyPred,MATCH($F48,Rango_Admin_DailyPred_Primera,0),0),"-")</f>
        <v>-</v>
      </c>
      <c r="AI48" s="429" t="str">
        <f ca="1">IFERROR(VLOOKUP(AI$2,Rango_Admin_DailyPred,MATCH($F48,Rango_Admin_DailyPred_Primera,0),0),"-")</f>
        <v>-</v>
      </c>
      <c r="AJ48" s="429" t="str">
        <f ca="1">IFERROR(VLOOKUP(AJ$2,Rango_Admin_DailyPred,MATCH($F48,Rango_Admin_DailyPred_Primera,0),0),"-")</f>
        <v>-</v>
      </c>
      <c r="AK48" s="429" t="str">
        <f ca="1">IFERROR(VLOOKUP(AK$2,Rango_Admin_DailyPred,MATCH($F48,Rango_Admin_DailyPred_Primera,0),0),"-")</f>
        <v>-</v>
      </c>
      <c r="AL48" s="429" t="str">
        <f ca="1">IFERROR(VLOOKUP(AL$2,Rango_Admin_DailyPred,MATCH($F48,Rango_Admin_DailyPred_Primera,0),0),"-")</f>
        <v>-</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3º-4º puesto y Final</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t="str">
        <f ca="1">IFERROR(VLOOKUP(L$2,Rango_Admin_DailyPred,MATCH($F49,Rango_Admin_DailyPred_Primera,0),0),"-")</f>
        <v>Pegar Valores Cuadro de Honor</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t="str">
        <f ca="1">IFERROR(VLOOKUP(R$2,Rango_Admin_DailyPred,MATCH($F49,Rango_Admin_DailyPred_Primera,0),0),"-")</f>
        <v>-</v>
      </c>
      <c r="S49" s="429" t="str">
        <f ca="1">IFERROR(VLOOKUP(S$2,Rango_Admin_DailyPred,MATCH($F49,Rango_Admin_DailyPred_Primera,0),0),"-")</f>
        <v>-</v>
      </c>
      <c r="T49" s="429" t="str">
        <f ca="1">IFERROR(VLOOKUP(T$2,Rango_Admin_DailyPred,MATCH($F49,Rango_Admin_DailyPred_Primera,0),0),"-")</f>
        <v>-</v>
      </c>
      <c r="U49" s="429" t="str">
        <f ca="1">IFERROR(VLOOKUP(U$2,Rango_Admin_DailyPred,MATCH($F49,Rango_Admin_DailyPred_Primera,0),0),"-")</f>
        <v>-</v>
      </c>
      <c r="V49" s="429" t="str">
        <f ca="1">IFERROR(VLOOKUP(V$2,Rango_Admin_DailyPred,MATCH($F49,Rango_Admin_DailyPred_Primera,0),0),"-")</f>
        <v>-</v>
      </c>
      <c r="W49" s="429" t="str">
        <f ca="1">IFERROR(VLOOKUP(W$2,Rango_Admin_DailyPred,MATCH($F49,Rango_Admin_DailyPred_Primera,0),0),"-")</f>
        <v>-</v>
      </c>
      <c r="X49" s="429" t="str">
        <f ca="1">IFERROR(VLOOKUP(X$2,Rango_Admin_DailyPred,MATCH($F49,Rango_Admin_DailyPred_Primera,0),0),"-")</f>
        <v>-</v>
      </c>
      <c r="Y49" s="429" t="str">
        <f ca="1">IFERROR(VLOOKUP(Y$2,Rango_Admin_DailyPred,MATCH($F49,Rango_Admin_DailyPred_Primera,0),0),"-")</f>
        <v>-</v>
      </c>
      <c r="Z49" s="429" t="str">
        <f ca="1">IFERROR(VLOOKUP(Z$2,Rango_Admin_DailyPred,MATCH($F49,Rango_Admin_DailyPred_Primera,0),0),"-")</f>
        <v>-</v>
      </c>
      <c r="AA49" s="429" t="str">
        <f ca="1">IFERROR(VLOOKUP(AA$2,Rango_Admin_DailyPred,MATCH($F49,Rango_Admin_DailyPred_Primera,0),0),"-")</f>
        <v>-</v>
      </c>
      <c r="AB49" s="429" t="str">
        <f ca="1">IFERROR(VLOOKUP(AB$2,Rango_Admin_DailyPred,MATCH($F49,Rango_Admin_DailyPred_Primera,0),0),"-")</f>
        <v>-</v>
      </c>
      <c r="AC49" s="429" t="str">
        <f ca="1">IFERROR(VLOOKUP(AC$2,Rango_Admin_DailyPred,MATCH($F49,Rango_Admin_DailyPred_Primera,0),0),"-")</f>
        <v>-</v>
      </c>
      <c r="AD49" s="429" t="str">
        <f ca="1">IFERROR(VLOOKUP(AD$2,Rango_Admin_DailyPred,MATCH($F49,Rango_Admin_DailyPred_Primera,0),0),"-")</f>
        <v>-</v>
      </c>
      <c r="AE49" s="429" t="str">
        <f ca="1">IFERROR(VLOOKUP(AE$2,Rango_Admin_DailyPred,MATCH($F49,Rango_Admin_DailyPred_Primera,0),0),"-")</f>
        <v>-</v>
      </c>
      <c r="AF49" s="429" t="str">
        <f ca="1">IFERROR(VLOOKUP(AF$2,Rango_Admin_DailyPred,MATCH($F49,Rango_Admin_DailyPred_Primera,0),0),"-")</f>
        <v>-</v>
      </c>
      <c r="AG49" s="429" t="str">
        <f ca="1">IFERROR(VLOOKUP(AG$2,Rango_Admin_DailyPred,MATCH($F49,Rango_Admin_DailyPred_Primera,0),0),"-")</f>
        <v>-</v>
      </c>
      <c r="AH49" s="429" t="str">
        <f ca="1">IFERROR(VLOOKUP(AH$2,Rango_Admin_DailyPred,MATCH($F49,Rango_Admin_DailyPred_Primera,0),0),"-")</f>
        <v>-</v>
      </c>
      <c r="AI49" s="429" t="str">
        <f ca="1">IFERROR(VLOOKUP(AI$2,Rango_Admin_DailyPred,MATCH($F49,Rango_Admin_DailyPred_Primera,0),0),"-")</f>
        <v>-</v>
      </c>
      <c r="AJ49" s="429" t="str">
        <f ca="1">IFERROR(VLOOKUP(AJ$2,Rango_Admin_DailyPred,MATCH($F49,Rango_Admin_DailyPred_Primera,0),0),"-")</f>
        <v>-</v>
      </c>
      <c r="AK49" s="429" t="str">
        <f ca="1">IFERROR(VLOOKUP(AK$2,Rango_Admin_DailyPred,MATCH($F49,Rango_Admin_DailyPred_Primera,0),0),"-")</f>
        <v>-</v>
      </c>
      <c r="AL49" s="429" t="str">
        <f ca="1">IFERROR(VLOOKUP(AL$2,Rango_Admin_DailyPred,MATCH($F49,Rango_Admin_DailyPred_Primera,0),0),"-")</f>
        <v>-</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3º-4º puesto y Final</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t="str">
        <f ca="1">IFERROR(VLOOKUP(L$2,Rango_Admin_DailyPred,MATCH($F50,Rango_Admin_DailyPred_Primera,0),0),"-")</f>
        <v>Pegar Valores Cuadro de Honor</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t="str">
        <f ca="1">IFERROR(VLOOKUP(R$2,Rango_Admin_DailyPred,MATCH($F50,Rango_Admin_DailyPred_Primera,0),0),"-")</f>
        <v>-</v>
      </c>
      <c r="S50" s="429" t="str">
        <f ca="1">IFERROR(VLOOKUP(S$2,Rango_Admin_DailyPred,MATCH($F50,Rango_Admin_DailyPred_Primera,0),0),"-")</f>
        <v>-</v>
      </c>
      <c r="T50" s="429" t="str">
        <f ca="1">IFERROR(VLOOKUP(T$2,Rango_Admin_DailyPred,MATCH($F50,Rango_Admin_DailyPred_Primera,0),0),"-")</f>
        <v>-</v>
      </c>
      <c r="U50" s="429" t="str">
        <f ca="1">IFERROR(VLOOKUP(U$2,Rango_Admin_DailyPred,MATCH($F50,Rango_Admin_DailyPred_Primera,0),0),"-")</f>
        <v>-</v>
      </c>
      <c r="V50" s="429" t="str">
        <f ca="1">IFERROR(VLOOKUP(V$2,Rango_Admin_DailyPred,MATCH($F50,Rango_Admin_DailyPred_Primera,0),0),"-")</f>
        <v>-</v>
      </c>
      <c r="W50" s="429" t="str">
        <f ca="1">IFERROR(VLOOKUP(W$2,Rango_Admin_DailyPred,MATCH($F50,Rango_Admin_DailyPred_Primera,0),0),"-")</f>
        <v>-</v>
      </c>
      <c r="X50" s="429" t="str">
        <f ca="1">IFERROR(VLOOKUP(X$2,Rango_Admin_DailyPred,MATCH($F50,Rango_Admin_DailyPred_Primera,0),0),"-")</f>
        <v>-</v>
      </c>
      <c r="Y50" s="429" t="str">
        <f ca="1">IFERROR(VLOOKUP(Y$2,Rango_Admin_DailyPred,MATCH($F50,Rango_Admin_DailyPred_Primera,0),0),"-")</f>
        <v>-</v>
      </c>
      <c r="Z50" s="429" t="str">
        <f ca="1">IFERROR(VLOOKUP(Z$2,Rango_Admin_DailyPred,MATCH($F50,Rango_Admin_DailyPred_Primera,0),0),"-")</f>
        <v>-</v>
      </c>
      <c r="AA50" s="429" t="str">
        <f ca="1">IFERROR(VLOOKUP(AA$2,Rango_Admin_DailyPred,MATCH($F50,Rango_Admin_DailyPred_Primera,0),0),"-")</f>
        <v>-</v>
      </c>
      <c r="AB50" s="429" t="str">
        <f ca="1">IFERROR(VLOOKUP(AB$2,Rango_Admin_DailyPred,MATCH($F50,Rango_Admin_DailyPred_Primera,0),0),"-")</f>
        <v>-</v>
      </c>
      <c r="AC50" s="429" t="str">
        <f ca="1">IFERROR(VLOOKUP(AC$2,Rango_Admin_DailyPred,MATCH($F50,Rango_Admin_DailyPred_Primera,0),0),"-")</f>
        <v>-</v>
      </c>
      <c r="AD50" s="429" t="str">
        <f ca="1">IFERROR(VLOOKUP(AD$2,Rango_Admin_DailyPred,MATCH($F50,Rango_Admin_DailyPred_Primera,0),0),"-")</f>
        <v>-</v>
      </c>
      <c r="AE50" s="429" t="str">
        <f ca="1">IFERROR(VLOOKUP(AE$2,Rango_Admin_DailyPred,MATCH($F50,Rango_Admin_DailyPred_Primera,0),0),"-")</f>
        <v>-</v>
      </c>
      <c r="AF50" s="429" t="str">
        <f ca="1">IFERROR(VLOOKUP(AF$2,Rango_Admin_DailyPred,MATCH($F50,Rango_Admin_DailyPred_Primera,0),0),"-")</f>
        <v>-</v>
      </c>
      <c r="AG50" s="429" t="str">
        <f ca="1">IFERROR(VLOOKUP(AG$2,Rango_Admin_DailyPred,MATCH($F50,Rango_Admin_DailyPred_Primera,0),0),"-")</f>
        <v>-</v>
      </c>
      <c r="AH50" s="429" t="str">
        <f ca="1">IFERROR(VLOOKUP(AH$2,Rango_Admin_DailyPred,MATCH($F50,Rango_Admin_DailyPred_Primera,0),0),"-")</f>
        <v>-</v>
      </c>
      <c r="AI50" s="429" t="str">
        <f ca="1">IFERROR(VLOOKUP(AI$2,Rango_Admin_DailyPred,MATCH($F50,Rango_Admin_DailyPred_Primera,0),0),"-")</f>
        <v>-</v>
      </c>
      <c r="AJ50" s="429" t="str">
        <f ca="1">IFERROR(VLOOKUP(AJ$2,Rango_Admin_DailyPred,MATCH($F50,Rango_Admin_DailyPred_Primera,0),0),"-")</f>
        <v>-</v>
      </c>
      <c r="AK50" s="429" t="str">
        <f ca="1">IFERROR(VLOOKUP(AK$2,Rango_Admin_DailyPred,MATCH($F50,Rango_Admin_DailyPred_Primera,0),0),"-")</f>
        <v>-</v>
      </c>
      <c r="AL50" s="429" t="str">
        <f ca="1">IFERROR(VLOOKUP(AL$2,Rango_Admin_DailyPred,MATCH($F50,Rango_Admin_DailyPred_Primera,0),0),"-")</f>
        <v>-</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3º-4º puesto y Final</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t="str">
        <f ca="1">IFERROR(VLOOKUP(L$2,Rango_Admin_DailyPred,MATCH($F51,Rango_Admin_DailyPred_Primera,0),0),"-")</f>
        <v>Pegar Valores Cuadro de Honor</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t="str">
        <f ca="1">IFERROR(VLOOKUP(R$2,Rango_Admin_DailyPred,MATCH($F51,Rango_Admin_DailyPred_Primera,0),0),"-")</f>
        <v>-</v>
      </c>
      <c r="S51" s="429" t="str">
        <f ca="1">IFERROR(VLOOKUP(S$2,Rango_Admin_DailyPred,MATCH($F51,Rango_Admin_DailyPred_Primera,0),0),"-")</f>
        <v>-</v>
      </c>
      <c r="T51" s="429" t="str">
        <f ca="1">IFERROR(VLOOKUP(T$2,Rango_Admin_DailyPred,MATCH($F51,Rango_Admin_DailyPred_Primera,0),0),"-")</f>
        <v>-</v>
      </c>
      <c r="U51" s="429" t="str">
        <f ca="1">IFERROR(VLOOKUP(U$2,Rango_Admin_DailyPred,MATCH($F51,Rango_Admin_DailyPred_Primera,0),0),"-")</f>
        <v>-</v>
      </c>
      <c r="V51" s="429" t="str">
        <f ca="1">IFERROR(VLOOKUP(V$2,Rango_Admin_DailyPred,MATCH($F51,Rango_Admin_DailyPred_Primera,0),0),"-")</f>
        <v>-</v>
      </c>
      <c r="W51" s="429" t="str">
        <f ca="1">IFERROR(VLOOKUP(W$2,Rango_Admin_DailyPred,MATCH($F51,Rango_Admin_DailyPred_Primera,0),0),"-")</f>
        <v>-</v>
      </c>
      <c r="X51" s="429" t="str">
        <f ca="1">IFERROR(VLOOKUP(X$2,Rango_Admin_DailyPred,MATCH($F51,Rango_Admin_DailyPred_Primera,0),0),"-")</f>
        <v>-</v>
      </c>
      <c r="Y51" s="429" t="str">
        <f ca="1">IFERROR(VLOOKUP(Y$2,Rango_Admin_DailyPred,MATCH($F51,Rango_Admin_DailyPred_Primera,0),0),"-")</f>
        <v>-</v>
      </c>
      <c r="Z51" s="429" t="str">
        <f ca="1">IFERROR(VLOOKUP(Z$2,Rango_Admin_DailyPred,MATCH($F51,Rango_Admin_DailyPred_Primera,0),0),"-")</f>
        <v>-</v>
      </c>
      <c r="AA51" s="429" t="str">
        <f ca="1">IFERROR(VLOOKUP(AA$2,Rango_Admin_DailyPred,MATCH($F51,Rango_Admin_DailyPred_Primera,0),0),"-")</f>
        <v>-</v>
      </c>
      <c r="AB51" s="429" t="str">
        <f ca="1">IFERROR(VLOOKUP(AB$2,Rango_Admin_DailyPred,MATCH($F51,Rango_Admin_DailyPred_Primera,0),0),"-")</f>
        <v>-</v>
      </c>
      <c r="AC51" s="429" t="str">
        <f ca="1">IFERROR(VLOOKUP(AC$2,Rango_Admin_DailyPred,MATCH($F51,Rango_Admin_DailyPred_Primera,0),0),"-")</f>
        <v>-</v>
      </c>
      <c r="AD51" s="429" t="str">
        <f ca="1">IFERROR(VLOOKUP(AD$2,Rango_Admin_DailyPred,MATCH($F51,Rango_Admin_DailyPred_Primera,0),0),"-")</f>
        <v>-</v>
      </c>
      <c r="AE51" s="429" t="str">
        <f ca="1">IFERROR(VLOOKUP(AE$2,Rango_Admin_DailyPred,MATCH($F51,Rango_Admin_DailyPred_Primera,0),0),"-")</f>
        <v>-</v>
      </c>
      <c r="AF51" s="429" t="str">
        <f ca="1">IFERROR(VLOOKUP(AF$2,Rango_Admin_DailyPred,MATCH($F51,Rango_Admin_DailyPred_Primera,0),0),"-")</f>
        <v>-</v>
      </c>
      <c r="AG51" s="429" t="str">
        <f ca="1">IFERROR(VLOOKUP(AG$2,Rango_Admin_DailyPred,MATCH($F51,Rango_Admin_DailyPred_Primera,0),0),"-")</f>
        <v>-</v>
      </c>
      <c r="AH51" s="429" t="str">
        <f ca="1">IFERROR(VLOOKUP(AH$2,Rango_Admin_DailyPred,MATCH($F51,Rango_Admin_DailyPred_Primera,0),0),"-")</f>
        <v>-</v>
      </c>
      <c r="AI51" s="429" t="str">
        <f ca="1">IFERROR(VLOOKUP(AI$2,Rango_Admin_DailyPred,MATCH($F51,Rango_Admin_DailyPred_Primera,0),0),"-")</f>
        <v>-</v>
      </c>
      <c r="AJ51" s="429" t="str">
        <f ca="1">IFERROR(VLOOKUP(AJ$2,Rango_Admin_DailyPred,MATCH($F51,Rango_Admin_DailyPred_Primera,0),0),"-")</f>
        <v>-</v>
      </c>
      <c r="AK51" s="429" t="str">
        <f ca="1">IFERROR(VLOOKUP(AK$2,Rango_Admin_DailyPred,MATCH($F51,Rango_Admin_DailyPred_Primera,0),0),"-")</f>
        <v>-</v>
      </c>
      <c r="AL51" s="429" t="str">
        <f ca="1">IFERROR(VLOOKUP(AL$2,Rango_Admin_DailyPred,MATCH($F51,Rango_Admin_DailyPred_Primera,0),0),"-")</f>
        <v>-</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3º-4º puesto y Final</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t="str">
        <f ca="1">IFERROR(VLOOKUP(L$2,Rango_Admin_DailyPred,MATCH($F52,Rango_Admin_DailyPred_Primera,0),0),"-")</f>
        <v>Pegar Valores Cuadro de Honor</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t="str">
        <f ca="1">IFERROR(VLOOKUP(R$2,Rango_Admin_DailyPred,MATCH($F52,Rango_Admin_DailyPred_Primera,0),0),"-")</f>
        <v>-</v>
      </c>
      <c r="S52" s="429" t="str">
        <f ca="1">IFERROR(VLOOKUP(S$2,Rango_Admin_DailyPred,MATCH($F52,Rango_Admin_DailyPred_Primera,0),0),"-")</f>
        <v>-</v>
      </c>
      <c r="T52" s="429" t="str">
        <f ca="1">IFERROR(VLOOKUP(T$2,Rango_Admin_DailyPred,MATCH($F52,Rango_Admin_DailyPred_Primera,0),0),"-")</f>
        <v>-</v>
      </c>
      <c r="U52" s="429" t="str">
        <f ca="1">IFERROR(VLOOKUP(U$2,Rango_Admin_DailyPred,MATCH($F52,Rango_Admin_DailyPred_Primera,0),0),"-")</f>
        <v>-</v>
      </c>
      <c r="V52" s="429" t="str">
        <f ca="1">IFERROR(VLOOKUP(V$2,Rango_Admin_DailyPred,MATCH($F52,Rango_Admin_DailyPred_Primera,0),0),"-")</f>
        <v>-</v>
      </c>
      <c r="W52" s="429" t="str">
        <f ca="1">IFERROR(VLOOKUP(W$2,Rango_Admin_DailyPred,MATCH($F52,Rango_Admin_DailyPred_Primera,0),0),"-")</f>
        <v>-</v>
      </c>
      <c r="X52" s="429" t="str">
        <f ca="1">IFERROR(VLOOKUP(X$2,Rango_Admin_DailyPred,MATCH($F52,Rango_Admin_DailyPred_Primera,0),0),"-")</f>
        <v>-</v>
      </c>
      <c r="Y52" s="429" t="str">
        <f ca="1">IFERROR(VLOOKUP(Y$2,Rango_Admin_DailyPred,MATCH($F52,Rango_Admin_DailyPred_Primera,0),0),"-")</f>
        <v>-</v>
      </c>
      <c r="Z52" s="429" t="str">
        <f ca="1">IFERROR(VLOOKUP(Z$2,Rango_Admin_DailyPred,MATCH($F52,Rango_Admin_DailyPred_Primera,0),0),"-")</f>
        <v>-</v>
      </c>
      <c r="AA52" s="429" t="str">
        <f ca="1">IFERROR(VLOOKUP(AA$2,Rango_Admin_DailyPred,MATCH($F52,Rango_Admin_DailyPred_Primera,0),0),"-")</f>
        <v>-</v>
      </c>
      <c r="AB52" s="429" t="str">
        <f ca="1">IFERROR(VLOOKUP(AB$2,Rango_Admin_DailyPred,MATCH($F52,Rango_Admin_DailyPred_Primera,0),0),"-")</f>
        <v>-</v>
      </c>
      <c r="AC52" s="429" t="str">
        <f ca="1">IFERROR(VLOOKUP(AC$2,Rango_Admin_DailyPred,MATCH($F52,Rango_Admin_DailyPred_Primera,0),0),"-")</f>
        <v>-</v>
      </c>
      <c r="AD52" s="429" t="str">
        <f ca="1">IFERROR(VLOOKUP(AD$2,Rango_Admin_DailyPred,MATCH($F52,Rango_Admin_DailyPred_Primera,0),0),"-")</f>
        <v>-</v>
      </c>
      <c r="AE52" s="429" t="str">
        <f ca="1">IFERROR(VLOOKUP(AE$2,Rango_Admin_DailyPred,MATCH($F52,Rango_Admin_DailyPred_Primera,0),0),"-")</f>
        <v>-</v>
      </c>
      <c r="AF52" s="429" t="str">
        <f ca="1">IFERROR(VLOOKUP(AF$2,Rango_Admin_DailyPred,MATCH($F52,Rango_Admin_DailyPred_Primera,0),0),"-")</f>
        <v>-</v>
      </c>
      <c r="AG52" s="429" t="str">
        <f ca="1">IFERROR(VLOOKUP(AG$2,Rango_Admin_DailyPred,MATCH($F52,Rango_Admin_DailyPred_Primera,0),0),"-")</f>
        <v>-</v>
      </c>
      <c r="AH52" s="429" t="str">
        <f ca="1">IFERROR(VLOOKUP(AH$2,Rango_Admin_DailyPred,MATCH($F52,Rango_Admin_DailyPred_Primera,0),0),"-")</f>
        <v>-</v>
      </c>
      <c r="AI52" s="429" t="str">
        <f ca="1">IFERROR(VLOOKUP(AI$2,Rango_Admin_DailyPred,MATCH($F52,Rango_Admin_DailyPred_Primera,0),0),"-")</f>
        <v>-</v>
      </c>
      <c r="AJ52" s="429" t="str">
        <f ca="1">IFERROR(VLOOKUP(AJ$2,Rango_Admin_DailyPred,MATCH($F52,Rango_Admin_DailyPred_Primera,0),0),"-")</f>
        <v>-</v>
      </c>
      <c r="AK52" s="429" t="str">
        <f ca="1">IFERROR(VLOOKUP(AK$2,Rango_Admin_DailyPred,MATCH($F52,Rango_Admin_DailyPred_Primera,0),0),"-")</f>
        <v>-</v>
      </c>
      <c r="AL52" s="429" t="str">
        <f ca="1">IFERROR(VLOOKUP(AL$2,Rango_Admin_DailyPred,MATCH($F52,Rango_Admin_DailyPred_Primera,0),0),"-")</f>
        <v>-</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3º-4º puesto y Final</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t="str">
        <f ca="1">IFERROR(VLOOKUP(L$2,Rango_Admin_DailyPred,MATCH($F53,Rango_Admin_DailyPred_Primera,0),0),"-")</f>
        <v>Pegar Valores Cuadro de Honor</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t="str">
        <f ca="1">IFERROR(VLOOKUP(R$2,Rango_Admin_DailyPred,MATCH($F53,Rango_Admin_DailyPred_Primera,0),0),"-")</f>
        <v>-</v>
      </c>
      <c r="S53" s="429" t="str">
        <f ca="1">IFERROR(VLOOKUP(S$2,Rango_Admin_DailyPred,MATCH($F53,Rango_Admin_DailyPred_Primera,0),0),"-")</f>
        <v>-</v>
      </c>
      <c r="T53" s="429" t="str">
        <f ca="1">IFERROR(VLOOKUP(T$2,Rango_Admin_DailyPred,MATCH($F53,Rango_Admin_DailyPred_Primera,0),0),"-")</f>
        <v>-</v>
      </c>
      <c r="U53" s="429" t="str">
        <f ca="1">IFERROR(VLOOKUP(U$2,Rango_Admin_DailyPred,MATCH($F53,Rango_Admin_DailyPred_Primera,0),0),"-")</f>
        <v>-</v>
      </c>
      <c r="V53" s="429" t="str">
        <f ca="1">IFERROR(VLOOKUP(V$2,Rango_Admin_DailyPred,MATCH($F53,Rango_Admin_DailyPred_Primera,0),0),"-")</f>
        <v>-</v>
      </c>
      <c r="W53" s="429" t="str">
        <f ca="1">IFERROR(VLOOKUP(W$2,Rango_Admin_DailyPred,MATCH($F53,Rango_Admin_DailyPred_Primera,0),0),"-")</f>
        <v>-</v>
      </c>
      <c r="X53" s="429" t="str">
        <f ca="1">IFERROR(VLOOKUP(X$2,Rango_Admin_DailyPred,MATCH($F53,Rango_Admin_DailyPred_Primera,0),0),"-")</f>
        <v>-</v>
      </c>
      <c r="Y53" s="429" t="str">
        <f ca="1">IFERROR(VLOOKUP(Y$2,Rango_Admin_DailyPred,MATCH($F53,Rango_Admin_DailyPred_Primera,0),0),"-")</f>
        <v>-</v>
      </c>
      <c r="Z53" s="429" t="str">
        <f ca="1">IFERROR(VLOOKUP(Z$2,Rango_Admin_DailyPred,MATCH($F53,Rango_Admin_DailyPred_Primera,0),0),"-")</f>
        <v>-</v>
      </c>
      <c r="AA53" s="429" t="str">
        <f ca="1">IFERROR(VLOOKUP(AA$2,Rango_Admin_DailyPred,MATCH($F53,Rango_Admin_DailyPred_Primera,0),0),"-")</f>
        <v>-</v>
      </c>
      <c r="AB53" s="429" t="str">
        <f ca="1">IFERROR(VLOOKUP(AB$2,Rango_Admin_DailyPred,MATCH($F53,Rango_Admin_DailyPred_Primera,0),0),"-")</f>
        <v>-</v>
      </c>
      <c r="AC53" s="429" t="str">
        <f ca="1">IFERROR(VLOOKUP(AC$2,Rango_Admin_DailyPred,MATCH($F53,Rango_Admin_DailyPred_Primera,0),0),"-")</f>
        <v>-</v>
      </c>
      <c r="AD53" s="429" t="str">
        <f ca="1">IFERROR(VLOOKUP(AD$2,Rango_Admin_DailyPred,MATCH($F53,Rango_Admin_DailyPred_Primera,0),0),"-")</f>
        <v>-</v>
      </c>
      <c r="AE53" s="429" t="str">
        <f ca="1">IFERROR(VLOOKUP(AE$2,Rango_Admin_DailyPred,MATCH($F53,Rango_Admin_DailyPred_Primera,0),0),"-")</f>
        <v>-</v>
      </c>
      <c r="AF53" s="429" t="str">
        <f ca="1">IFERROR(VLOOKUP(AF$2,Rango_Admin_DailyPred,MATCH($F53,Rango_Admin_DailyPred_Primera,0),0),"-")</f>
        <v>-</v>
      </c>
      <c r="AG53" s="429" t="str">
        <f ca="1">IFERROR(VLOOKUP(AG$2,Rango_Admin_DailyPred,MATCH($F53,Rango_Admin_DailyPred_Primera,0),0),"-")</f>
        <v>-</v>
      </c>
      <c r="AH53" s="429" t="str">
        <f ca="1">IFERROR(VLOOKUP(AH$2,Rango_Admin_DailyPred,MATCH($F53,Rango_Admin_DailyPred_Primera,0),0),"-")</f>
        <v>-</v>
      </c>
      <c r="AI53" s="429" t="str">
        <f ca="1">IFERROR(VLOOKUP(AI$2,Rango_Admin_DailyPred,MATCH($F53,Rango_Admin_DailyPred_Primera,0),0),"-")</f>
        <v>-</v>
      </c>
      <c r="AJ53" s="429" t="str">
        <f ca="1">IFERROR(VLOOKUP(AJ$2,Rango_Admin_DailyPred,MATCH($F53,Rango_Admin_DailyPred_Primera,0),0),"-")</f>
        <v>-</v>
      </c>
      <c r="AK53" s="429" t="str">
        <f ca="1">IFERROR(VLOOKUP(AK$2,Rango_Admin_DailyPred,MATCH($F53,Rango_Admin_DailyPred_Primera,0),0),"-")</f>
        <v>-</v>
      </c>
      <c r="AL53" s="429" t="str">
        <f ca="1">IFERROR(VLOOKUP(AL$2,Rango_Admin_DailyPred,MATCH($F53,Rango_Admin_DailyPred_Primera,0),0),"-")</f>
        <v>-</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1" workbookViewId="0">
      <selection activeCell="I1" sqref="I1"/>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3-4 &amp; Final</v>
      </c>
      <c r="J1" s="297"/>
      <c r="K1" s="19">
        <f ca="1">VLOOKUP($I$1,Equipos!$Q$2:$R$37,2,0)</f>
        <v>24</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Francia-Inglaterra</v>
      </c>
      <c r="I2" s="19" t="str">
        <f ca="1"/>
        <v>España-Argentina</v>
      </c>
      <c r="J2" s="19" t="str">
        <f ca="1"/>
        <v>🥇Campeón</v>
      </c>
      <c r="K2" s="19" t="str">
        <f ca="1"/>
        <v>🥈Subcampeón</v>
      </c>
      <c r="L2" s="19" t="str">
        <f ca="1"/>
        <v>🥉3º puesto</v>
      </c>
      <c r="M2" s="19" t="str">
        <f ca="1"/>
        <v>Bota de Oro  (máximo goleador)</v>
      </c>
      <c r="N2" s="19" t="str">
        <f ca="1"/>
        <v>Bota de Plata (2º máximo goleador)</v>
      </c>
      <c r="O2" s="19" t="str">
        <f ca="1"/>
        <v>Bota de Bronce (3º máximo goleador)</v>
      </c>
      <c r="P2" s="19" t="str">
        <f ca="1"/>
        <v>Balón de Oro  (mejor jugador)</v>
      </c>
      <c r="Q2" s="19" t="str">
        <f ca="1"/>
        <v>Balón de Plata (2º mejor jugador)</v>
      </c>
      <c r="R2" s="19" t="str">
        <f ca="1"/>
        <v>Balón de Bronce (3º mejor jugador)</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49.95" customHeight="1" thickBot="1">
      <c r="D3" s="19"/>
      <c r="E3" s="449" t="str">
        <f>Idiomas!D479</f>
        <v>Pos</v>
      </c>
      <c r="F3" s="449" t="str">
        <f>Idiomas!D480</f>
        <v>Nombre</v>
      </c>
      <c r="G3" s="449" t="str">
        <f>Idiomas!D481</f>
        <v>Puntos Día / Eliminatoria</v>
      </c>
      <c r="H3" s="449" t="str" cm="1">
        <f t="array" aca="1" ref="H3:AM3" ca="1">TRANSPOSE($B$4:$B$35)</f>
        <v>Francia-Inglaterra
 (4-6)</v>
      </c>
      <c r="I3" s="449" t="str">
        <f ca="1"/>
        <v>España-Argentina
 (1-0)</v>
      </c>
      <c r="J3" s="449" t="str">
        <f ca="1"/>
        <v>🥇Campeón
 (España)</v>
      </c>
      <c r="K3" s="449" t="str">
        <f ca="1"/>
        <v>🥈Subcampeón
 (Argentina)</v>
      </c>
      <c r="L3" s="449" t="str">
        <f ca="1"/>
        <v>🥉3º puesto
 (Inglaterra)</v>
      </c>
      <c r="M3" s="449" t="str">
        <f ca="1"/>
        <v>Bota de Oro  (máximo goleador)
 (Mbappe)</v>
      </c>
      <c r="N3" s="449" t="str">
        <f ca="1"/>
        <v>Bota de Plata (2º máximo goleador)
 (Messi)</v>
      </c>
      <c r="O3" s="449" t="str">
        <f ca="1"/>
        <v>Bota de Bronce (3º máximo goleador)
 (Bellingham)</v>
      </c>
      <c r="P3" s="449" t="str">
        <f ca="1"/>
        <v>Balón de Oro  (mejor jugador)
 (Rodri)</v>
      </c>
      <c r="Q3" s="449" t="str">
        <f ca="1"/>
        <v>Balón de Plata (2º mejor jugador)
 (Messi)</v>
      </c>
      <c r="R3" s="449" t="str">
        <f ca="1"/>
        <v>Balón de Bronce (3º mejor jugador)
 (Mbappe)</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 thickTop="1">
      <c r="A4" s="8" t="str" cm="1">
        <f t="array" aca="1" ref="A4" ca="1">IFERROR(INDEX(ADMIN!$K$6:$K$258,SMALL(IF(ADMIN!$G$6:$G$258=$K$1,ROW(ADMIN!$G$6:$G$258)-ROW(ADMIN!$G$6)+1),ROWS($A$1:A1))),"")</f>
        <v>Francia-Inglaterra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Francia-Inglaterra
 (4-6)</v>
      </c>
      <c r="C4" s="8">
        <v>1</v>
      </c>
      <c r="D4" s="90"/>
      <c r="E4" s="409">
        <f ca="1">IFERROR(HLOOKUP(C4,Rango_Admin_DailyClas,3,FALSE),"-")</f>
        <v>1</v>
      </c>
      <c r="F4" s="448" t="str">
        <f ca="1">IFERROR(HLOOKUP(C4,Rango_Admin_DailyClas,5,FALSE),"-")</f>
        <v>JCU</v>
      </c>
      <c r="G4" s="22">
        <f ca="1">IFERROR(HLOOKUP(C4,Rango_Admin_DailyClas,4,FALSE),"-")</f>
        <v>67</v>
      </c>
      <c r="H4" s="429">
        <f ca="1">IFERROR(VLOOKUP(H$2,Rango_Admin_DailyPred,MATCH($F4,Rango_Admin_DailyPred_Primera,0)+1,0),"-")</f>
        <v>0</v>
      </c>
      <c r="I4" s="429">
        <f ca="1">IFERROR(VLOOKUP(I$2,Rango_Admin_DailyPred,MATCH($F4,Rango_Admin_DailyPred_Primera,0)+1,0),"-")</f>
        <v>2</v>
      </c>
      <c r="J4" s="429">
        <f ca="1">IFERROR(VLOOKUP(J$2,Rango_Admin_DailyPred,MATCH($F4,Rango_Admin_DailyPred_Primera,0)+1,0),"-")</f>
        <v>20</v>
      </c>
      <c r="K4" s="429">
        <f ca="1">IFERROR(VLOOKUP(K$2,Rango_Admin_DailyPred,MATCH($F4,Rango_Admin_DailyPred_Primera,0)+1,0),"-")</f>
        <v>15</v>
      </c>
      <c r="L4" s="429">
        <f ca="1">IFERROR(VLOOKUP(L$2,Rango_Admin_DailyPred,MATCH($F4,Rango_Admin_DailyPred_Primera,0)+1,0),"-")</f>
        <v>0</v>
      </c>
      <c r="M4" s="429">
        <f ca="1">IFERROR(VLOOKUP(M$2,Rango_Admin_DailyPred,MATCH($F4,Rango_Admin_DailyPred_Primera,0)+1,0),"-")</f>
        <v>20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10</v>
      </c>
      <c r="R4" s="429">
        <f ca="1">IFERROR(VLOOKUP(R$2,Rango_Admin_DailyPred,MATCH($F4,Rango_Admin_DailyPred_Primera,0)+1,0),"-")</f>
        <v>0</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España-Argentina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España-Argentina
 (1-0)</v>
      </c>
      <c r="C5" s="8">
        <v>2</v>
      </c>
      <c r="D5" s="90"/>
      <c r="E5" s="409">
        <f ca="1">IFERROR(HLOOKUP(C5,Rango_Admin_DailyClas,3,FALSE),"-")</f>
        <v>2</v>
      </c>
      <c r="F5" s="448" t="str">
        <f ca="1">IFERROR(HLOOKUP(C5,Rango_Admin_DailyClas,5,FALSE),"-")</f>
        <v>Migay Marcos</v>
      </c>
      <c r="G5" s="22">
        <f ca="1">IFERROR(HLOOKUP(C5,Rango_Admin_DailyClas,4,FALSE),"-")</f>
        <v>62</v>
      </c>
      <c r="H5" s="429">
        <f ca="1">IFERROR(VLOOKUP(H$2,Rango_Admin_DailyPred,MATCH($F5,Rango_Admin_DailyPred_Primera,0)+1,0),"-")</f>
        <v>0</v>
      </c>
      <c r="I5" s="429">
        <f ca="1">IFERROR(VLOOKUP(I$2,Rango_Admin_DailyPred,MATCH($F5,Rango_Admin_DailyPred_Primera,0)+1,0),"-")</f>
        <v>2</v>
      </c>
      <c r="J5" s="429">
        <f ca="1">IFERROR(VLOOKUP(J$2,Rango_Admin_DailyPred,MATCH($F5,Rango_Admin_DailyPred_Primera,0)+1,0),"-")</f>
        <v>20</v>
      </c>
      <c r="K5" s="429">
        <f ca="1">IFERROR(VLOOKUP(K$2,Rango_Admin_DailyPred,MATCH($F5,Rango_Admin_DailyPred_Primera,0)+1,0),"-")</f>
        <v>15</v>
      </c>
      <c r="L5" s="429">
        <f ca="1">IFERROR(VLOOKUP(L$2,Rango_Admin_DailyPred,MATCH($F5,Rango_Admin_DailyPred_Primera,0)+1,0),"-")</f>
        <v>0</v>
      </c>
      <c r="M5" s="429">
        <f ca="1">IFERROR(VLOOKUP(M$2,Rango_Admin_DailyPred,MATCH($F5,Rango_Admin_DailyPred_Primera,0)+1,0),"-")</f>
        <v>20</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5</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🥇Campeón</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🥇Campeón
 (España)</v>
      </c>
      <c r="C6" s="8">
        <v>3</v>
      </c>
      <c r="D6" s="90"/>
      <c r="E6" s="409">
        <f ca="1">IFERROR(HLOOKUP(C6,Rango_Admin_DailyClas,3,FALSE),"-")</f>
        <v>3</v>
      </c>
      <c r="F6" s="448" t="str">
        <f ca="1">IFERROR(HLOOKUP(C6,Rango_Admin_DailyClas,5,FALSE),"-")</f>
        <v>Jaime García de la Riva</v>
      </c>
      <c r="G6" s="22">
        <f ca="1">IFERROR(HLOOKUP(C6,Rango_Admin_DailyClas,4,FALSE),"-")</f>
        <v>59</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20</v>
      </c>
      <c r="K6" s="429">
        <f ca="1">IFERROR(VLOOKUP(K$2,Rango_Admin_DailyPred,MATCH($F6,Rango_Admin_DailyPred_Primera,0)+1,0),"-")</f>
        <v>15</v>
      </c>
      <c r="L6" s="429">
        <f ca="1">IFERROR(VLOOKUP(L$2,Rango_Admin_DailyPred,MATCH($F6,Rango_Admin_DailyPred_Primera,0)+1,0),"-")</f>
        <v>0</v>
      </c>
      <c r="M6" s="429">
        <f ca="1">IFERROR(VLOOKUP(M$2,Rango_Admin_DailyPred,MATCH($F6,Rango_Admin_DailyPred_Primera,0)+1,0),"-")</f>
        <v>20</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0</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🥈Subcampeón</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🥈Subcampeón
 (Argentina)</v>
      </c>
      <c r="C7" s="8">
        <v>4</v>
      </c>
      <c r="D7" s="90"/>
      <c r="E7" s="409">
        <f ca="1">IFERROR(HLOOKUP(C7,Rango_Admin_DailyClas,3,FALSE),"-")</f>
        <v>4</v>
      </c>
      <c r="F7" s="448" t="str">
        <f ca="1">IFERROR(HLOOKUP(C7,Rango_Admin_DailyClas,5,FALSE),"-")</f>
        <v>Pablo C</v>
      </c>
      <c r="G7" s="22">
        <f ca="1">IFERROR(HLOOKUP(C7,Rango_Admin_DailyClas,4,FALSE),"-")</f>
        <v>49</v>
      </c>
      <c r="H7" s="429">
        <f ca="1">IFERROR(VLOOKUP(H$2,Rango_Admin_DailyPred,MATCH($F7,Rango_Admin_DailyPred_Primera,0)+1,0),"-")</f>
        <v>0</v>
      </c>
      <c r="I7" s="429">
        <f ca="1">IFERROR(VLOOKUP(I$2,Rango_Admin_DailyPred,MATCH($F7,Rango_Admin_DailyPred_Primera,0)+1,0),"-")</f>
        <v>4</v>
      </c>
      <c r="J7" s="429">
        <f ca="1">IFERROR(VLOOKUP(J$2,Rango_Admin_DailyPred,MATCH($F7,Rango_Admin_DailyPred_Primera,0)+1,0),"-")</f>
        <v>20</v>
      </c>
      <c r="K7" s="429">
        <f ca="1">IFERROR(VLOOKUP(K$2,Rango_Admin_DailyPred,MATCH($F7,Rango_Admin_DailyPred_Primera,0)+1,0),"-")</f>
        <v>15</v>
      </c>
      <c r="L7" s="429">
        <f ca="1">IFERROR(VLOOKUP(L$2,Rango_Admin_DailyPred,MATCH($F7,Rango_Admin_DailyPred_Primera,0)+1,0),"-")</f>
        <v>10</v>
      </c>
      <c r="M7" s="429">
        <f ca="1">IFERROR(VLOOKUP(M$2,Rango_Admin_DailyPred,MATCH($F7,Rango_Admin_DailyPred_Primera,0)+1,0),"-")</f>
        <v>0</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0</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🥉3º puesto</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🥉3º puesto
 (Inglaterra)</v>
      </c>
      <c r="C8" s="8">
        <v>5</v>
      </c>
      <c r="D8" s="90"/>
      <c r="E8" s="409">
        <f ca="1">IFERROR(HLOOKUP(C8,Rango_Admin_DailyClas,3,FALSE),"-")</f>
        <v>5</v>
      </c>
      <c r="F8" s="448" t="str">
        <f ca="1">IFERROR(HLOOKUP(C8,Rango_Admin_DailyClas,5,FALSE),"-")</f>
        <v>Fernando Carlos García-Ramos Redondo</v>
      </c>
      <c r="G8" s="22">
        <f ca="1">IFERROR(HLOOKUP(C8,Rango_Admin_DailyClas,4,FALSE),"-")</f>
        <v>46</v>
      </c>
      <c r="H8" s="429">
        <f ca="1">IFERROR(VLOOKUP(H$2,Rango_Admin_DailyPred,MATCH($F8,Rango_Admin_DailyPred_Primera,0)+1,0),"-")</f>
        <v>0</v>
      </c>
      <c r="I8" s="429">
        <f ca="1">IFERROR(VLOOKUP(I$2,Rango_Admin_DailyPred,MATCH($F8,Rango_Admin_DailyPred_Primera,0)+1,0),"-")</f>
        <v>1</v>
      </c>
      <c r="J8" s="429">
        <f ca="1">IFERROR(VLOOKUP(J$2,Rango_Admin_DailyPred,MATCH($F8,Rango_Admin_DailyPred_Primera,0)+1,0),"-")</f>
        <v>20</v>
      </c>
      <c r="K8" s="429">
        <f ca="1">IFERROR(VLOOKUP(K$2,Rango_Admin_DailyPred,MATCH($F8,Rango_Admin_DailyPred_Primera,0)+1,0),"-")</f>
        <v>15</v>
      </c>
      <c r="L8" s="429">
        <f ca="1">IFERROR(VLOOKUP(L$2,Rango_Admin_DailyPred,MATCH($F8,Rango_Admin_DailyPred_Primera,0)+1,0),"-")</f>
        <v>0</v>
      </c>
      <c r="M8" s="429">
        <f ca="1">IFERROR(VLOOKUP(M$2,Rango_Admin_DailyPred,MATCH($F8,Rango_Admin_DailyPred_Primera,0)+1,0),"-")</f>
        <v>0</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10</v>
      </c>
      <c r="R8" s="429">
        <f ca="1">IFERROR(VLOOKUP(R$2,Rango_Admin_DailyPred,MATCH($F8,Rango_Admin_DailyPred_Primera,0)+1,0),"-")</f>
        <v>0</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Bota de Oro  (máximo goleador)</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Bota de Oro  (máximo goleador)
 (Mbappe)</v>
      </c>
      <c r="C9" s="8">
        <v>6</v>
      </c>
      <c r="D9" s="90"/>
      <c r="E9" s="409">
        <f ca="1">IFERROR(HLOOKUP(C9,Rango_Admin_DailyClas,3,FALSE),"-")</f>
        <v>5</v>
      </c>
      <c r="F9" s="448" t="str">
        <f ca="1">IFERROR(HLOOKUP(C9,Rango_Admin_DailyClas,5,FALSE),"-")</f>
        <v>DIDI</v>
      </c>
      <c r="G9" s="22">
        <f ca="1">IFERROR(HLOOKUP(C9,Rango_Admin_DailyClas,4,FALSE),"-")</f>
        <v>46</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20</v>
      </c>
      <c r="K9" s="429">
        <f ca="1">IFERROR(VLOOKUP(K$2,Rango_Admin_DailyPred,MATCH($F9,Rango_Admin_DailyPred_Primera,0)+1,0),"-")</f>
        <v>15</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10</v>
      </c>
      <c r="R9" s="429">
        <f ca="1">IFERROR(VLOOKUP(R$2,Rango_Admin_DailyPred,MATCH($F9,Rango_Admin_DailyPred_Primera,0)+1,0),"-")</f>
        <v>0</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Bota de Plata (2º máximo goleador)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Bota de Plata (2º máximo goleador)
 (Messi)</v>
      </c>
      <c r="C10" s="8">
        <v>7</v>
      </c>
      <c r="D10" s="90"/>
      <c r="E10" s="409">
        <f ca="1">IFERROR(HLOOKUP(C10,Rango_Admin_DailyClas,3,FALSE),"-")</f>
        <v>7</v>
      </c>
      <c r="F10" s="448" t="str">
        <f ca="1">IFERROR(HLOOKUP(C10,Rango_Admin_DailyClas,5,FALSE),"-")</f>
        <v>Antonio del Ojo</v>
      </c>
      <c r="G10" s="22">
        <f ca="1">IFERROR(HLOOKUP(C10,Rango_Admin_DailyClas,4,FALSE),"-")</f>
        <v>45</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20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20</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5</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Bota de Bronce (3º máximo goleador)</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Bota de Bronce (3º máximo goleador)
 (Bellingham)</v>
      </c>
      <c r="C11" s="8">
        <v>8</v>
      </c>
      <c r="D11" s="90"/>
      <c r="E11" s="409">
        <f ca="1">IFERROR(HLOOKUP(C11,Rango_Admin_DailyClas,3,FALSE),"-")</f>
        <v>8</v>
      </c>
      <c r="F11" s="448" t="str">
        <f ca="1">IFERROR(HLOOKUP(C11,Rango_Admin_DailyClas,5,FALSE),"-")</f>
        <v>Kurtischamp</v>
      </c>
      <c r="G11" s="22">
        <f ca="1">IFERROR(HLOOKUP(C11,Rango_Admin_DailyClas,4,FALSE),"-")</f>
        <v>44</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20</v>
      </c>
      <c r="K11" s="429">
        <f ca="1">IFERROR(VLOOKUP(K$2,Rango_Admin_DailyPred,MATCH($F11,Rango_Admin_DailyPred_Primera,0)+1,0),"-")</f>
        <v>15</v>
      </c>
      <c r="L11" s="429">
        <f ca="1">IFERROR(VLOOKUP(L$2,Rango_Admin_DailyPred,MATCH($F11,Rango_Admin_DailyPred_Primera,0)+1,0),"-")</f>
        <v>0</v>
      </c>
      <c r="M11" s="429">
        <f ca="1">IFERROR(VLOOKUP(M$2,Rango_Admin_DailyPred,MATCH($F11,Rango_Admin_DailyPred_Primera,0)+1,0),"-")</f>
        <v>0</v>
      </c>
      <c r="N11" s="429">
        <f ca="1">IFERROR(VLOOKUP(N$2,Rango_Admin_DailyPred,MATCH($F11,Rango_Admin_DailyPred_Primera,0)+1,0),"-")</f>
        <v>0</v>
      </c>
      <c r="O11" s="429">
        <f ca="1">IFERROR(VLOOKUP(O$2,Rango_Admin_DailyPred,MATCH($F11,Rango_Admin_DailyPred_Primera,0)+1,0),"-")</f>
        <v>0</v>
      </c>
      <c r="P11" s="429">
        <f ca="1">IFERROR(VLOOKUP(P$2,Rango_Admin_DailyPred,MATCH($F11,Rango_Admin_DailyPred_Primera,0)+1,0),"-")</f>
        <v>0</v>
      </c>
      <c r="Q11" s="429">
        <f ca="1">IFERROR(VLOOKUP(Q$2,Rango_Admin_DailyPred,MATCH($F11,Rango_Admin_DailyPred_Primera,0)+1,0),"-")</f>
        <v>0</v>
      </c>
      <c r="R11" s="429">
        <f ca="1">IFERROR(VLOOKUP(R$2,Rango_Admin_DailyPred,MATCH($F11,Rango_Admin_DailyPred_Primera,0)+1,0),"-")</f>
        <v>5</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Balón de Oro  (mejor jugador)</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Balón de Oro  (mejor jugador)
 (Rodri)</v>
      </c>
      <c r="C12" s="8">
        <v>9</v>
      </c>
      <c r="D12" s="90"/>
      <c r="E12" s="409">
        <f ca="1">IFERROR(HLOOKUP(C12,Rango_Admin_DailyClas,3,FALSE),"-")</f>
        <v>9</v>
      </c>
      <c r="F12" s="448" t="str">
        <f ca="1">IFERROR(HLOOKUP(C12,Rango_Admin_DailyClas,5,FALSE),"-")</f>
        <v>Luis B</v>
      </c>
      <c r="G12" s="22">
        <f ca="1">IFERROR(HLOOKUP(C12,Rango_Admin_DailyClas,4,FALSE),"-")</f>
        <v>40</v>
      </c>
      <c r="H12" s="429">
        <f ca="1">IFERROR(VLOOKUP(H$2,Rango_Admin_DailyPred,MATCH($F12,Rango_Admin_DailyPred_Primera,0)+1,0),"-")</f>
        <v>0</v>
      </c>
      <c r="I12" s="429">
        <f ca="1">IFERROR(VLOOKUP(I$2,Rango_Admin_DailyPred,MATCH($F12,Rango_Admin_DailyPred_Primera,0)+1,0),"-")</f>
        <v>0</v>
      </c>
      <c r="J12" s="429">
        <f ca="1">IFERROR(VLOOKUP(J$2,Rango_Admin_DailyPred,MATCH($F12,Rango_Admin_DailyPred_Primera,0)+1,0),"-")</f>
        <v>20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20</v>
      </c>
      <c r="N12" s="429">
        <f ca="1">IFERROR(VLOOKUP(N$2,Rango_Admin_DailyPred,MATCH($F12,Rango_Admin_DailyPred_Primera,0)+1,0),"-")</f>
        <v>0</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0</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Balón de Plata (2º mejor jugador)</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Balón de Plata (2º mejor jugador)
 (Messi)</v>
      </c>
      <c r="C13" s="8">
        <v>10</v>
      </c>
      <c r="D13" s="90"/>
      <c r="E13" s="409">
        <f ca="1">IFERROR(HLOOKUP(C13,Rango_Admin_DailyClas,3,FALSE),"-")</f>
        <v>9</v>
      </c>
      <c r="F13" s="448" t="str">
        <f ca="1">IFERROR(HLOOKUP(C13,Rango_Admin_DailyClas,5,FALSE),"-")</f>
        <v>Lucas Oriol</v>
      </c>
      <c r="G13" s="22">
        <f ca="1">IFERROR(HLOOKUP(C13,Rango_Admin_DailyClas,4,FALSE),"-")</f>
        <v>40</v>
      </c>
      <c r="H13" s="429">
        <f ca="1">IFERROR(VLOOKUP(H$2,Rango_Admin_DailyPred,MATCH($F13,Rango_Admin_DailyPred_Primera,0)+1,0),"-")</f>
        <v>0</v>
      </c>
      <c r="I13" s="429">
        <f ca="1">IFERROR(VLOOKUP(I$2,Rango_Admin_DailyPred,MATCH($F13,Rango_Admin_DailyPred_Primera,0)+1,0),"-")</f>
        <v>0</v>
      </c>
      <c r="J13" s="429">
        <f ca="1">IFERROR(VLOOKUP(J$2,Rango_Admin_DailyPred,MATCH($F13,Rango_Admin_DailyPred_Primera,0)+1,0),"-")</f>
        <v>20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20</v>
      </c>
      <c r="N13" s="429">
        <f ca="1">IFERROR(VLOOKUP(N$2,Rango_Admin_DailyPred,MATCH($F13,Rango_Admin_DailyPred_Primera,0)+1,0),"-")</f>
        <v>0</v>
      </c>
      <c r="O13" s="429">
        <f ca="1">IFERROR(VLOOKUP(O$2,Rango_Admin_DailyPred,MATCH($F13,Rango_Admin_DailyPred_Primera,0)+1,0),"-")</f>
        <v>0</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Balón de Bronce (3º mejor jugador)</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Balón de Bronce (3º mejor jugador)
 (Mbappe)</v>
      </c>
      <c r="C14" s="8">
        <v>11</v>
      </c>
      <c r="D14" s="90"/>
      <c r="E14" s="409">
        <f ca="1">IFERROR(HLOOKUP(C14,Rango_Admin_DailyClas,3,FALSE),"-")</f>
        <v>9</v>
      </c>
      <c r="F14" s="448" t="str">
        <f ca="1">IFERROR(HLOOKUP(C14,Rango_Admin_DailyClas,5,FALSE),"-")</f>
        <v>AD Monchus</v>
      </c>
      <c r="G14" s="22">
        <f ca="1">IFERROR(HLOOKUP(C14,Rango_Admin_DailyClas,4,FALSE),"-")</f>
        <v>40</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20</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20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9</v>
      </c>
      <c r="F15" s="448" t="str">
        <f ca="1">IFERROR(HLOOKUP(C15,Rango_Admin_DailyClas,5,FALSE),"-")</f>
        <v>Alexander Schulte</v>
      </c>
      <c r="G15" s="22">
        <f ca="1">IFERROR(HLOOKUP(C15,Rango_Admin_DailyClas,4,FALSE),"-")</f>
        <v>40</v>
      </c>
      <c r="H15" s="429">
        <f ca="1">IFERROR(VLOOKUP(H$2,Rango_Admin_DailyPred,MATCH($F15,Rango_Admin_DailyPred_Primera,0)+1,0),"-")</f>
        <v>0</v>
      </c>
      <c r="I15" s="429">
        <f ca="1">IFERROR(VLOOKUP(I$2,Rango_Admin_DailyPred,MATCH($F15,Rango_Admin_DailyPred_Primera,0)+1,0),"-")</f>
        <v>0</v>
      </c>
      <c r="J15" s="429">
        <f ca="1">IFERROR(VLOOKUP(J$2,Rango_Admin_DailyPred,MATCH($F15,Rango_Admin_DailyPred_Primera,0)+1,0),"-")</f>
        <v>20</v>
      </c>
      <c r="K15" s="429">
        <f ca="1">IFERROR(VLOOKUP(K$2,Rango_Admin_DailyPred,MATCH($F15,Rango_Admin_DailyPred_Primera,0)+1,0),"-")</f>
        <v>0</v>
      </c>
      <c r="L15" s="429">
        <f ca="1">IFERROR(VLOOKUP(L$2,Rango_Admin_DailyPred,MATCH($F15,Rango_Admin_DailyPred_Primera,0)+1,0),"-")</f>
        <v>0</v>
      </c>
      <c r="M15" s="429">
        <f ca="1">IFERROR(VLOOKUP(M$2,Rango_Admin_DailyPred,MATCH($F15,Rango_Admin_DailyPred_Primera,0)+1,0),"-")</f>
        <v>20</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0</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Carlos Murciano</v>
      </c>
      <c r="G16" s="22">
        <f ca="1">IFERROR(HLOOKUP(C16,Rango_Admin_DailyClas,4,FALSE),"-")</f>
        <v>39</v>
      </c>
      <c r="H16" s="429">
        <f ca="1">IFERROR(VLOOKUP(H$2,Rango_Admin_DailyPred,MATCH($F16,Rango_Admin_DailyPred_Primera,0)+1,0),"-")</f>
        <v>0</v>
      </c>
      <c r="I16" s="429">
        <f ca="1">IFERROR(VLOOKUP(I$2,Rango_Admin_DailyPred,MATCH($F16,Rango_Admin_DailyPred_Primera,0)+1,0),"-")</f>
        <v>4</v>
      </c>
      <c r="J16" s="429">
        <f ca="1">IFERROR(VLOOKUP(J$2,Rango_Admin_DailyPred,MATCH($F16,Rango_Admin_DailyPred_Primera,0)+1,0),"-")</f>
        <v>20</v>
      </c>
      <c r="K16" s="429">
        <f ca="1">IFERROR(VLOOKUP(K$2,Rango_Admin_DailyPred,MATCH($F16,Rango_Admin_DailyPred_Primera,0)+1,0),"-")</f>
        <v>15</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0</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14</v>
      </c>
      <c r="F17" s="448" t="str">
        <f ca="1">IFERROR(HLOOKUP(C17,Rango_Admin_DailyClas,5,FALSE),"-")</f>
        <v>JUAN SOLAS</v>
      </c>
      <c r="G17" s="22">
        <f ca="1">IFERROR(HLOOKUP(C17,Rango_Admin_DailyClas,4,FALSE),"-")</f>
        <v>30</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10</v>
      </c>
      <c r="M17" s="429">
        <f ca="1">IFERROR(VLOOKUP(M$2,Rango_Admin_DailyPred,MATCH($F17,Rango_Admin_DailyPred_Primera,0)+1,0),"-")</f>
        <v>20</v>
      </c>
      <c r="N17" s="429">
        <f ca="1">IFERROR(VLOOKUP(N$2,Rango_Admin_DailyPred,MATCH($F17,Rango_Admin_DailyPred_Primera,0)+1,0),"-")</f>
        <v>0</v>
      </c>
      <c r="O17" s="429">
        <f ca="1">IFERROR(VLOOKUP(O$2,Rango_Admin_DailyPred,MATCH($F17,Rango_Admin_DailyPred_Primera,0)+1,0),"-")</f>
        <v>0</v>
      </c>
      <c r="P17" s="429">
        <f ca="1">IFERROR(VLOOKUP(P$2,Rango_Admin_DailyPred,MATCH($F17,Rango_Admin_DailyPred_Primera,0)+1,0),"-")</f>
        <v>0</v>
      </c>
      <c r="Q17" s="429">
        <f ca="1">IFERROR(VLOOKUP(Q$2,Rango_Admin_DailyPred,MATCH($F17,Rango_Admin_DailyPred_Primera,0)+1,0),"-")</f>
        <v>0</v>
      </c>
      <c r="R17" s="429">
        <f ca="1">IFERROR(VLOOKUP(R$2,Rango_Admin_DailyPred,MATCH($F17,Rango_Admin_DailyPred_Primera,0)+1,0),"-")</f>
        <v>0</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15</v>
      </c>
      <c r="F18" s="448" t="str">
        <f ca="1">IFERROR(HLOOKUP(C18,Rango_Admin_DailyClas,5,FALSE),"-")</f>
        <v>MURO 204</v>
      </c>
      <c r="G18" s="22">
        <f ca="1">IFERROR(HLOOKUP(C18,Rango_Admin_DailyClas,4,FALSE),"-")</f>
        <v>25</v>
      </c>
      <c r="H18" s="429">
        <f ca="1">IFERROR(VLOOKUP(H$2,Rango_Admin_DailyPred,MATCH($F18,Rango_Admin_DailyPred_Primera,0)+1,0),"-")</f>
        <v>0</v>
      </c>
      <c r="I18" s="429">
        <f ca="1">IFERROR(VLOOKUP(I$2,Rango_Admin_DailyPred,MATCH($F18,Rango_Admin_DailyPred_Primera,0)+1,0),"-")</f>
        <v>0</v>
      </c>
      <c r="J18" s="429">
        <f ca="1">IFERROR(VLOOKUP(J$2,Rango_Admin_DailyPred,MATCH($F18,Rango_Admin_DailyPred_Primera,0)+1,0),"-")</f>
        <v>0</v>
      </c>
      <c r="K18" s="429">
        <f ca="1">IFERROR(VLOOKUP(K$2,Rango_Admin_DailyPred,MATCH($F18,Rango_Admin_DailyPred_Primera,0)+1,0),"-")</f>
        <v>0</v>
      </c>
      <c r="L18" s="429">
        <f ca="1">IFERROR(VLOOKUP(L$2,Rango_Admin_DailyPred,MATCH($F18,Rango_Admin_DailyPred_Primera,0)+1,0),"-")</f>
        <v>0</v>
      </c>
      <c r="M18" s="429">
        <f ca="1">IFERROR(VLOOKUP(M$2,Rango_Admin_DailyPred,MATCH($F18,Rango_Admin_DailyPred_Primera,0)+1,0),"-")</f>
        <v>20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5</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15</v>
      </c>
      <c r="F19" s="448" t="str">
        <f ca="1">IFERROR(HLOOKUP(C19,Rango_Admin_DailyClas,5,FALSE),"-")</f>
        <v>Florentino Netanyahu</v>
      </c>
      <c r="G19" s="22">
        <f ca="1">IFERROR(HLOOKUP(C19,Rango_Admin_DailyClas,4,FALSE),"-")</f>
        <v>25</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20</v>
      </c>
      <c r="K19" s="429">
        <f ca="1">IFERROR(VLOOKUP(K$2,Rango_Admin_DailyPred,MATCH($F19,Rango_Admin_DailyPred_Primera,0)+1,0),"-")</f>
        <v>0</v>
      </c>
      <c r="L19" s="429">
        <f ca="1">IFERROR(VLOOKUP(L$2,Rango_Admin_DailyPred,MATCH($F19,Rango_Admin_DailyPred_Primera,0)+1,0),"-")</f>
        <v>0</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5</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Alejandro Lafuente</v>
      </c>
      <c r="G20" s="22">
        <f ca="1">IFERROR(HLOOKUP(C20,Rango_Admin_DailyClas,4,FALSE),"-")</f>
        <v>20</v>
      </c>
      <c r="H20" s="429">
        <f ca="1">IFERROR(VLOOKUP(H$2,Rango_Admin_DailyPred,MATCH($F20,Rango_Admin_DailyPred_Primera,0)+1,0),"-")</f>
        <v>0</v>
      </c>
      <c r="I20" s="429">
        <f ca="1">IFERROR(VLOOKUP(I$2,Rango_Admin_DailyPred,MATCH($F20,Rango_Admin_DailyPred_Primera,0)+1,0),"-")</f>
        <v>0</v>
      </c>
      <c r="J20" s="429">
        <f ca="1">IFERROR(VLOOKUP(J$2,Rango_Admin_DailyPred,MATCH($F20,Rango_Admin_DailyPred_Primera,0)+1,0),"-")</f>
        <v>20</v>
      </c>
      <c r="K20" s="429">
        <f ca="1">IFERROR(VLOOKUP(K$2,Rango_Admin_DailyPred,MATCH($F20,Rango_Admin_DailyPred_Primera,0)+1,0),"-")</f>
        <v>0</v>
      </c>
      <c r="L20" s="429">
        <f ca="1">IFERROR(VLOOKUP(L$2,Rango_Admin_DailyPred,MATCH($F20,Rango_Admin_DailyPred_Primera,0)+1,0),"-")</f>
        <v>0</v>
      </c>
      <c r="M20" s="429">
        <f ca="1">IFERROR(VLOOKUP(M$2,Rango_Admin_DailyPred,MATCH($F20,Rango_Admin_DailyPred_Primera,0)+1,0),"-")</f>
        <v>0</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0</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Jaime Lafuente</v>
      </c>
      <c r="G21" s="22">
        <f ca="1">IFERROR(HLOOKUP(C21,Rango_Admin_DailyClas,4,FALSE),"-")</f>
        <v>20</v>
      </c>
      <c r="H21" s="429">
        <f ca="1">IFERROR(VLOOKUP(H$2,Rango_Admin_DailyPred,MATCH($F21,Rango_Admin_DailyPred_Primera,0)+1,0),"-")</f>
        <v>0</v>
      </c>
      <c r="I21" s="429">
        <f ca="1">IFERROR(VLOOKUP(I$2,Rango_Admin_DailyPred,MATCH($F21,Rango_Admin_DailyPred_Primera,0)+1,0),"-")</f>
        <v>0</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20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0</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Pastor</v>
      </c>
      <c r="G22" s="22">
        <f ca="1">IFERROR(HLOOKUP(C22,Rango_Admin_DailyClas,4,FALSE),"-")</f>
        <v>20</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0</v>
      </c>
      <c r="M22" s="429">
        <f ca="1">IFERROR(VLOOKUP(M$2,Rango_Admin_DailyPred,MATCH($F22,Rango_Admin_DailyPred_Primera,0)+1,0),"-")</f>
        <v>20</v>
      </c>
      <c r="N22" s="429">
        <f ca="1">IFERROR(VLOOKUP(N$2,Rango_Admin_DailyPred,MATCH($F22,Rango_Admin_DailyPred_Primera,0)+1,0),"-")</f>
        <v>0</v>
      </c>
      <c r="O22" s="429">
        <f ca="1">IFERROR(VLOOKUP(O$2,Rango_Admin_DailyPred,MATCH($F22,Rango_Admin_DailyPred_Primera,0)+1,0),"-")</f>
        <v>0</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0</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Chente Muñoz</v>
      </c>
      <c r="G23" s="22">
        <f ca="1">IFERROR(HLOOKUP(C23,Rango_Admin_DailyClas,4,FALSE),"-")</f>
        <v>20</v>
      </c>
      <c r="H23" s="429">
        <f ca="1">IFERROR(VLOOKUP(H$2,Rango_Admin_DailyPred,MATCH($F23,Rango_Admin_DailyPred_Primera,0)+1,0),"-")</f>
        <v>0</v>
      </c>
      <c r="I23" s="429">
        <f ca="1">IFERROR(VLOOKUP(I$2,Rango_Admin_DailyPred,MATCH($F23,Rango_Admin_DailyPred_Primera,0)+1,0),"-")</f>
        <v>0</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20</v>
      </c>
      <c r="N23" s="429">
        <f ca="1">IFERROR(VLOOKUP(N$2,Rango_Admin_DailyPred,MATCH($F23,Rango_Admin_DailyPred_Primera,0)+1,0),"-")</f>
        <v>0</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0</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Fercho Muro Matosex</v>
      </c>
      <c r="G24" s="22">
        <f ca="1">IFERROR(HLOOKUP(C24,Rango_Admin_DailyClas,4,FALSE),"-")</f>
        <v>20</v>
      </c>
      <c r="H24" s="429">
        <f ca="1">IFERROR(VLOOKUP(H$2,Rango_Admin_DailyPred,MATCH($F24,Rango_Admin_DailyPred_Primera,0)+1,0),"-")</f>
        <v>0</v>
      </c>
      <c r="I24" s="429">
        <f ca="1">IFERROR(VLOOKUP(I$2,Rango_Admin_DailyPred,MATCH($F24,Rango_Admin_DailyPred_Primera,0)+1,0),"-")</f>
        <v>0</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20</v>
      </c>
      <c r="N24" s="429">
        <f ca="1">IFERROR(VLOOKUP(N$2,Rango_Admin_DailyPred,MATCH($F24,Rango_Admin_DailyPred_Primera,0)+1,0),"-")</f>
        <v>0</v>
      </c>
      <c r="O24" s="429">
        <f ca="1">IFERROR(VLOOKUP(O$2,Rango_Admin_DailyPred,MATCH($F24,Rango_Admin_DailyPred_Primera,0)+1,0),"-")</f>
        <v>0</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0</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Guillermo Murciano</v>
      </c>
      <c r="G25" s="22">
        <f ca="1">IFERROR(HLOOKUP(C25,Rango_Admin_DailyClas,4,FALSE),"-")</f>
        <v>20</v>
      </c>
      <c r="H25" s="429">
        <f ca="1">IFERROR(VLOOKUP(H$2,Rango_Admin_DailyPred,MATCH($F25,Rango_Admin_DailyPred_Primera,0)+1,0),"-")</f>
        <v>0</v>
      </c>
      <c r="I25" s="429">
        <f ca="1">IFERROR(VLOOKUP(I$2,Rango_Admin_DailyPred,MATCH($F25,Rango_Admin_DailyPred_Primera,0)+1,0),"-")</f>
        <v>0</v>
      </c>
      <c r="J25" s="429">
        <f ca="1">IFERROR(VLOOKUP(J$2,Rango_Admin_DailyPred,MATCH($F25,Rango_Admin_DailyPred_Primera,0)+1,0),"-")</f>
        <v>20</v>
      </c>
      <c r="K25" s="429">
        <f ca="1">IFERROR(VLOOKUP(K$2,Rango_Admin_DailyPred,MATCH($F25,Rango_Admin_DailyPred_Primera,0)+1,0),"-")</f>
        <v>0</v>
      </c>
      <c r="L25" s="429">
        <f ca="1">IFERROR(VLOOKUP(L$2,Rango_Admin_DailyPred,MATCH($F25,Rango_Admin_DailyPred_Primera,0)+1,0),"-")</f>
        <v>0</v>
      </c>
      <c r="M25" s="429">
        <f ca="1">IFERROR(VLOOKUP(M$2,Rango_Admin_DailyPred,MATCH($F25,Rango_Admin_DailyPred_Primera,0)+1,0),"-")</f>
        <v>0</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0</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Joserra</v>
      </c>
      <c r="G26" s="22">
        <f ca="1">IFERROR(HLOOKUP(C26,Rango_Admin_DailyClas,4,FALSE),"-")</f>
        <v>20</v>
      </c>
      <c r="H26" s="429">
        <f ca="1">IFERROR(VLOOKUP(H$2,Rango_Admin_DailyPred,MATCH($F26,Rango_Admin_DailyPred_Primera,0)+1,0),"-")</f>
        <v>0</v>
      </c>
      <c r="I26" s="429">
        <f ca="1">IFERROR(VLOOKUP(I$2,Rango_Admin_DailyPred,MATCH($F26,Rango_Admin_DailyPred_Primera,0)+1,0),"-")</f>
        <v>0</v>
      </c>
      <c r="J26" s="429">
        <f ca="1">IFERROR(VLOOKUP(J$2,Rango_Admin_DailyPred,MATCH($F26,Rango_Admin_DailyPred_Primera,0)+1,0),"-")</f>
        <v>20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0</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0</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17</v>
      </c>
      <c r="F27" s="448" t="str">
        <f ca="1">IFERROR(HLOOKUP(C27,Rango_Admin_DailyClas,5,FALSE),"-")</f>
        <v>Hulk Rexach</v>
      </c>
      <c r="G27" s="22">
        <f ca="1">IFERROR(HLOOKUP(C27,Rango_Admin_DailyClas,4,FALSE),"-")</f>
        <v>20</v>
      </c>
      <c r="H27" s="429">
        <f ca="1">IFERROR(VLOOKUP(H$2,Rango_Admin_DailyPred,MATCH($F27,Rango_Admin_DailyPred_Primera,0)+1,0),"-")</f>
        <v>0</v>
      </c>
      <c r="I27" s="429">
        <f ca="1">IFERROR(VLOOKUP(I$2,Rango_Admin_DailyPred,MATCH($F27,Rango_Admin_DailyPred_Primera,0)+1,0),"-")</f>
        <v>0</v>
      </c>
      <c r="J27" s="429">
        <f ca="1">IFERROR(VLOOKUP(J$2,Rango_Admin_DailyPred,MATCH($F27,Rango_Admin_DailyPred_Primera,0)+1,0),"-")</f>
        <v>20</v>
      </c>
      <c r="K27" s="429">
        <f ca="1">IFERROR(VLOOKUP(K$2,Rango_Admin_DailyPred,MATCH($F27,Rango_Admin_DailyPred_Primera,0)+1,0),"-")</f>
        <v>0</v>
      </c>
      <c r="L27" s="429">
        <f ca="1">IFERROR(VLOOKUP(L$2,Rango_Admin_DailyPred,MATCH($F27,Rango_Admin_DailyPred_Primera,0)+1,0),"-")</f>
        <v>0</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0</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17</v>
      </c>
      <c r="F28" s="448" t="str">
        <f ca="1">IFERROR(HLOOKUP(C28,Rango_Admin_DailyClas,5,FALSE),"-")</f>
        <v>YTD</v>
      </c>
      <c r="G28" s="22">
        <f ca="1">IFERROR(HLOOKUP(C28,Rango_Admin_DailyClas,4,FALSE),"-")</f>
        <v>20</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20</v>
      </c>
      <c r="K28" s="429">
        <f ca="1">IFERROR(VLOOKUP(K$2,Rango_Admin_DailyPred,MATCH($F28,Rango_Admin_DailyPred_Primera,0)+1,0),"-")</f>
        <v>0</v>
      </c>
      <c r="L28" s="429">
        <f ca="1">IFERROR(VLOOKUP(L$2,Rango_Admin_DailyPred,MATCH($F28,Rango_Admin_DailyPred_Primera,0)+1,0),"-")</f>
        <v>0</v>
      </c>
      <c r="M28" s="429">
        <f ca="1">IFERROR(VLOOKUP(M$2,Rango_Admin_DailyPred,MATCH($F28,Rango_Admin_DailyPred_Primera,0)+1,0),"-")</f>
        <v>0</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0</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v>26</v>
      </c>
      <c r="D29" s="19"/>
      <c r="E29" s="409">
        <f ca="1">IFERROR(HLOOKUP(C29,Rango_Admin_DailyClas,3,FALSE),"-")</f>
        <v>17</v>
      </c>
      <c r="F29" s="448" t="str">
        <f ca="1">IFERROR(HLOOKUP(C29,Rango_Admin_DailyClas,5,FALSE),"-")</f>
        <v>William Hartley</v>
      </c>
      <c r="G29" s="22">
        <f ca="1">IFERROR(HLOOKUP(C29,Rango_Admin_DailyClas,4,FALSE),"-")</f>
        <v>20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20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0</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0</v>
      </c>
      <c r="S29" s="429" t="str">
        <f ca="1">IFERROR(VLOOKUP(S$2,Rango_Admin_DailyPred,MATCH($F29,Rango_Admin_DailyPred_Primera,0)+1,0),"-")</f>
        <v>-</v>
      </c>
      <c r="T29" s="429" t="str">
        <f ca="1">IFERROR(VLOOKUP(T$2,Rango_Admin_DailyPred,MATCH($F29,Rango_Admin_DailyPred_Primera,0)+1,0),"-")</f>
        <v>-</v>
      </c>
      <c r="U29" s="429" t="str">
        <f ca="1">IFERROR(VLOOKUP(U$2,Rango_Admin_DailyPred,MATCH($F29,Rango_Admin_DailyPred_Primera,0)+1,0),"-")</f>
        <v>-</v>
      </c>
      <c r="V29" s="429" t="str">
        <f ca="1">IFERROR(VLOOKUP(V$2,Rango_Admin_DailyPred,MATCH($F29,Rango_Admin_DailyPred_Primera,0)+1,0),"-")</f>
        <v>-</v>
      </c>
      <c r="W29" s="429" t="str">
        <f ca="1">IFERROR(VLOOKUP(W$2,Rango_Admin_DailyPred,MATCH($F29,Rango_Admin_DailyPred_Primera,0)+1,0),"-")</f>
        <v>-</v>
      </c>
      <c r="X29" s="429" t="str">
        <f ca="1">IFERROR(VLOOKUP(X$2,Rango_Admin_DailyPred,MATCH($F29,Rango_Admin_DailyPred_Primera,0)+1,0),"-")</f>
        <v>-</v>
      </c>
      <c r="Y29" s="429" t="str">
        <f ca="1">IFERROR(VLOOKUP(Y$2,Rango_Admin_DailyPred,MATCH($F29,Rango_Admin_DailyPred_Primera,0)+1,0),"-")</f>
        <v>-</v>
      </c>
      <c r="Z29" s="429" t="str">
        <f ca="1">IFERROR(VLOOKUP(Z$2,Rango_Admin_DailyPred,MATCH($F29,Rango_Admin_DailyPred_Primera,0)+1,0),"-")</f>
        <v>-</v>
      </c>
      <c r="AA29" s="429" t="str">
        <f ca="1">IFERROR(VLOOKUP(AA$2,Rango_Admin_DailyPred,MATCH($F29,Rango_Admin_DailyPred_Primera,0)+1,0),"-")</f>
        <v>-</v>
      </c>
      <c r="AB29" s="429" t="str">
        <f ca="1">IFERROR(VLOOKUP(AB$2,Rango_Admin_DailyPred,MATCH($F29,Rango_Admin_DailyPred_Primera,0)+1,0),"-")</f>
        <v>-</v>
      </c>
      <c r="AC29" s="429" t="str">
        <f ca="1">IFERROR(VLOOKUP(AC$2,Rango_Admin_DailyPred,MATCH($F29,Rango_Admin_DailyPred_Primera,0)+1,0),"-")</f>
        <v>-</v>
      </c>
      <c r="AD29" s="429" t="str">
        <f ca="1">IFERROR(VLOOKUP(AD$2,Rango_Admin_DailyPred,MATCH($F29,Rango_Admin_DailyPred_Primera,0)+1,0),"-")</f>
        <v>-</v>
      </c>
      <c r="AE29" s="429" t="str">
        <f ca="1">IFERROR(VLOOKUP(AE$2,Rango_Admin_DailyPred,MATCH($F29,Rango_Admin_DailyPred_Primera,0)+1,0),"-")</f>
        <v>-</v>
      </c>
      <c r="AF29" s="429" t="str">
        <f ca="1">IFERROR(VLOOKUP(AF$2,Rango_Admin_DailyPred,MATCH($F29,Rango_Admin_DailyPred_Primera,0)+1,0),"-")</f>
        <v>-</v>
      </c>
      <c r="AG29" s="429" t="str">
        <f ca="1">IFERROR(VLOOKUP(AG$2,Rango_Admin_DailyPred,MATCH($F29,Rango_Admin_DailyPred_Primera,0)+1,0),"-")</f>
        <v>-</v>
      </c>
      <c r="AH29" s="429" t="str">
        <f ca="1">IFERROR(VLOOKUP(AH$2,Rango_Admin_DailyPred,MATCH($F29,Rango_Admin_DailyPred_Primera,0)+1,0),"-")</f>
        <v>-</v>
      </c>
      <c r="AI29" s="429" t="str">
        <f ca="1">IFERROR(VLOOKUP(AI$2,Rango_Admin_DailyPred,MATCH($F29,Rango_Admin_DailyPred_Primera,0)+1,0),"-")</f>
        <v>-</v>
      </c>
      <c r="AJ29" s="429" t="str">
        <f ca="1">IFERROR(VLOOKUP(AJ$2,Rango_Admin_DailyPred,MATCH($F29,Rango_Admin_DailyPred_Primera,0)+1,0),"-")</f>
        <v>-</v>
      </c>
      <c r="AK29" s="429" t="str">
        <f ca="1">IFERROR(VLOOKUP(AK$2,Rango_Admin_DailyPred,MATCH($F29,Rango_Admin_DailyPred_Primera,0)+1,0),"-")</f>
        <v>-</v>
      </c>
      <c r="AL29" s="429" t="str">
        <f ca="1">IFERROR(VLOOKUP(AL$2,Rango_Admin_DailyPred,MATCH($F29,Rango_Admin_DailyPred_Primera,0)+1,0),"-")</f>
        <v>-</v>
      </c>
      <c r="AM29" s="429" t="str">
        <f ca="1">IFERROR(VLOOKUP(AM$2,Rango_Admin_DailyPred,MATCH($F29,Rango_Admin_DailyPred_Primera,0)+1,0),"-")</f>
        <v>-</v>
      </c>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v>27</v>
      </c>
      <c r="D30" s="19"/>
      <c r="E30" s="409">
        <f ca="1">IFERROR(HLOOKUP(C30,Rango_Admin_DailyClas,3,FALSE),"-")</f>
        <v>17</v>
      </c>
      <c r="F30" s="448" t="str">
        <f ca="1">IFERROR(HLOOKUP(C30,Rango_Admin_DailyClas,5,FALSE),"-")</f>
        <v>KIRICOCHO</v>
      </c>
      <c r="G30" s="22">
        <f ca="1">IFERROR(HLOOKUP(C30,Rango_Admin_DailyClas,4,FALSE),"-")</f>
        <v>20</v>
      </c>
      <c r="H30" s="429">
        <f ca="1">IFERROR(VLOOKUP(H$2,Rango_Admin_DailyPred,MATCH($F30,Rango_Admin_DailyPred_Primera,0)+1,0),"-")</f>
        <v>0</v>
      </c>
      <c r="I30" s="429">
        <f ca="1">IFERROR(VLOOKUP(I$2,Rango_Admin_DailyPred,MATCH($F30,Rango_Admin_DailyPred_Primera,0)+1,0),"-")</f>
        <v>0</v>
      </c>
      <c r="J30" s="429">
        <f ca="1">IFERROR(VLOOKUP(J$2,Rango_Admin_DailyPred,MATCH($F30,Rango_Admin_DailyPred_Primera,0)+1,0),"-")</f>
        <v>0</v>
      </c>
      <c r="K30" s="429">
        <f ca="1">IFERROR(VLOOKUP(K$2,Rango_Admin_DailyPred,MATCH($F30,Rango_Admin_DailyPred_Primera,0)+1,0),"-")</f>
        <v>0</v>
      </c>
      <c r="L30" s="429">
        <f ca="1">IFERROR(VLOOKUP(L$2,Rango_Admin_DailyPred,MATCH($F30,Rango_Admin_DailyPred_Primera,0)+1,0),"-")</f>
        <v>0</v>
      </c>
      <c r="M30" s="429">
        <f ca="1">IFERROR(VLOOKUP(M$2,Rango_Admin_DailyPred,MATCH($F30,Rango_Admin_DailyPred_Primera,0)+1,0),"-")</f>
        <v>20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0</v>
      </c>
      <c r="S30" s="429" t="str">
        <f ca="1">IFERROR(VLOOKUP(S$2,Rango_Admin_DailyPred,MATCH($F30,Rango_Admin_DailyPred_Primera,0)+1,0),"-")</f>
        <v>-</v>
      </c>
      <c r="T30" s="429" t="str">
        <f ca="1">IFERROR(VLOOKUP(T$2,Rango_Admin_DailyPred,MATCH($F30,Rango_Admin_DailyPred_Primera,0)+1,0),"-")</f>
        <v>-</v>
      </c>
      <c r="U30" s="429" t="str">
        <f ca="1">IFERROR(VLOOKUP(U$2,Rango_Admin_DailyPred,MATCH($F30,Rango_Admin_DailyPred_Primera,0)+1,0),"-")</f>
        <v>-</v>
      </c>
      <c r="V30" s="429" t="str">
        <f ca="1">IFERROR(VLOOKUP(V$2,Rango_Admin_DailyPred,MATCH($F30,Rango_Admin_DailyPred_Primera,0)+1,0),"-")</f>
        <v>-</v>
      </c>
      <c r="W30" s="429" t="str">
        <f ca="1">IFERROR(VLOOKUP(W$2,Rango_Admin_DailyPred,MATCH($F30,Rango_Admin_DailyPred_Primera,0)+1,0),"-")</f>
        <v>-</v>
      </c>
      <c r="X30" s="429" t="str">
        <f ca="1">IFERROR(VLOOKUP(X$2,Rango_Admin_DailyPred,MATCH($F30,Rango_Admin_DailyPred_Primera,0)+1,0),"-")</f>
        <v>-</v>
      </c>
      <c r="Y30" s="429" t="str">
        <f ca="1">IFERROR(VLOOKUP(Y$2,Rango_Admin_DailyPred,MATCH($F30,Rango_Admin_DailyPred_Primera,0)+1,0),"-")</f>
        <v>-</v>
      </c>
      <c r="Z30" s="429" t="str">
        <f ca="1">IFERROR(VLOOKUP(Z$2,Rango_Admin_DailyPred,MATCH($F30,Rango_Admin_DailyPred_Primera,0)+1,0),"-")</f>
        <v>-</v>
      </c>
      <c r="AA30" s="429" t="str">
        <f ca="1">IFERROR(VLOOKUP(AA$2,Rango_Admin_DailyPred,MATCH($F30,Rango_Admin_DailyPred_Primera,0)+1,0),"-")</f>
        <v>-</v>
      </c>
      <c r="AB30" s="429" t="str">
        <f ca="1">IFERROR(VLOOKUP(AB$2,Rango_Admin_DailyPred,MATCH($F30,Rango_Admin_DailyPred_Primera,0)+1,0),"-")</f>
        <v>-</v>
      </c>
      <c r="AC30" s="429" t="str">
        <f ca="1">IFERROR(VLOOKUP(AC$2,Rango_Admin_DailyPred,MATCH($F30,Rango_Admin_DailyPred_Primera,0)+1,0),"-")</f>
        <v>-</v>
      </c>
      <c r="AD30" s="429" t="str">
        <f ca="1">IFERROR(VLOOKUP(AD$2,Rango_Admin_DailyPred,MATCH($F30,Rango_Admin_DailyPred_Primera,0)+1,0),"-")</f>
        <v>-</v>
      </c>
      <c r="AE30" s="429" t="str">
        <f ca="1">IFERROR(VLOOKUP(AE$2,Rango_Admin_DailyPred,MATCH($F30,Rango_Admin_DailyPred_Primera,0)+1,0),"-")</f>
        <v>-</v>
      </c>
      <c r="AF30" s="429" t="str">
        <f ca="1">IFERROR(VLOOKUP(AF$2,Rango_Admin_DailyPred,MATCH($F30,Rango_Admin_DailyPred_Primera,0)+1,0),"-")</f>
        <v>-</v>
      </c>
      <c r="AG30" s="429" t="str">
        <f ca="1">IFERROR(VLOOKUP(AG$2,Rango_Admin_DailyPred,MATCH($F30,Rango_Admin_DailyPred_Primera,0)+1,0),"-")</f>
        <v>-</v>
      </c>
      <c r="AH30" s="429" t="str">
        <f ca="1">IFERROR(VLOOKUP(AH$2,Rango_Admin_DailyPred,MATCH($F30,Rango_Admin_DailyPred_Primera,0)+1,0),"-")</f>
        <v>-</v>
      </c>
      <c r="AI30" s="429" t="str">
        <f ca="1">IFERROR(VLOOKUP(AI$2,Rango_Admin_DailyPred,MATCH($F30,Rango_Admin_DailyPred_Primera,0)+1,0),"-")</f>
        <v>-</v>
      </c>
      <c r="AJ30" s="429" t="str">
        <f ca="1">IFERROR(VLOOKUP(AJ$2,Rango_Admin_DailyPred,MATCH($F30,Rango_Admin_DailyPred_Primera,0)+1,0),"-")</f>
        <v>-</v>
      </c>
      <c r="AK30" s="429" t="str">
        <f ca="1">IFERROR(VLOOKUP(AK$2,Rango_Admin_DailyPred,MATCH($F30,Rango_Admin_DailyPred_Primera,0)+1,0),"-")</f>
        <v>-</v>
      </c>
      <c r="AL30" s="429" t="str">
        <f ca="1">IFERROR(VLOOKUP(AL$2,Rango_Admin_DailyPred,MATCH($F30,Rango_Admin_DailyPred_Primera,0)+1,0),"-")</f>
        <v>-</v>
      </c>
      <c r="AM30" s="429" t="str">
        <f ca="1">IFERROR(VLOOKUP(AM$2,Rango_Admin_DailyPred,MATCH($F30,Rango_Admin_DailyPred_Primera,0)+1,0),"-")</f>
        <v>-</v>
      </c>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v>28</v>
      </c>
      <c r="D31" s="19"/>
      <c r="E31" s="409">
        <f ca="1">IFERROR(HLOOKUP(C31,Rango_Admin_DailyClas,3,FALSE),"-")</f>
        <v>17</v>
      </c>
      <c r="F31" s="448" t="str">
        <f ca="1">IFERROR(HLOOKUP(C31,Rango_Admin_DailyClas,5,FALSE),"-")</f>
        <v xml:space="preserve">Martín Matoses </v>
      </c>
      <c r="G31" s="22">
        <f ca="1">IFERROR(HLOOKUP(C31,Rango_Admin_DailyClas,4,FALSE),"-")</f>
        <v>20</v>
      </c>
      <c r="H31" s="429">
        <f ca="1">IFERROR(VLOOKUP(H$2,Rango_Admin_DailyPred,MATCH($F31,Rango_Admin_DailyPred_Primera,0)+1,0),"-")</f>
        <v>0</v>
      </c>
      <c r="I31" s="429">
        <f ca="1">IFERROR(VLOOKUP(I$2,Rango_Admin_DailyPred,MATCH($F31,Rango_Admin_DailyPred_Primera,0)+1,0),"-")</f>
        <v>0</v>
      </c>
      <c r="J31" s="429">
        <f ca="1">IFERROR(VLOOKUP(J$2,Rango_Admin_DailyPred,MATCH($F31,Rango_Admin_DailyPred_Primera,0)+1,0),"-")</f>
        <v>20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0</v>
      </c>
      <c r="N31" s="429">
        <f ca="1">IFERROR(VLOOKUP(N$2,Rango_Admin_DailyPred,MATCH($F31,Rango_Admin_DailyPred_Primera,0)+1,0),"-")</f>
        <v>0</v>
      </c>
      <c r="O31" s="429">
        <f ca="1">IFERROR(VLOOKUP(O$2,Rango_Admin_DailyPred,MATCH($F31,Rango_Admin_DailyPred_Primera,0)+1,0),"-")</f>
        <v>0</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0</v>
      </c>
      <c r="S31" s="429" t="str">
        <f ca="1">IFERROR(VLOOKUP(S$2,Rango_Admin_DailyPred,MATCH($F31,Rango_Admin_DailyPred_Primera,0)+1,0),"-")</f>
        <v>-</v>
      </c>
      <c r="T31" s="429" t="str">
        <f ca="1">IFERROR(VLOOKUP(T$2,Rango_Admin_DailyPred,MATCH($F31,Rango_Admin_DailyPred_Primera,0)+1,0),"-")</f>
        <v>-</v>
      </c>
      <c r="U31" s="429" t="str">
        <f ca="1">IFERROR(VLOOKUP(U$2,Rango_Admin_DailyPred,MATCH($F31,Rango_Admin_DailyPred_Primera,0)+1,0),"-")</f>
        <v>-</v>
      </c>
      <c r="V31" s="429" t="str">
        <f ca="1">IFERROR(VLOOKUP(V$2,Rango_Admin_DailyPred,MATCH($F31,Rango_Admin_DailyPred_Primera,0)+1,0),"-")</f>
        <v>-</v>
      </c>
      <c r="W31" s="429" t="str">
        <f ca="1">IFERROR(VLOOKUP(W$2,Rango_Admin_DailyPred,MATCH($F31,Rango_Admin_DailyPred_Primera,0)+1,0),"-")</f>
        <v>-</v>
      </c>
      <c r="X31" s="429" t="str">
        <f ca="1">IFERROR(VLOOKUP(X$2,Rango_Admin_DailyPred,MATCH($F31,Rango_Admin_DailyPred_Primera,0)+1,0),"-")</f>
        <v>-</v>
      </c>
      <c r="Y31" s="429" t="str">
        <f ca="1">IFERROR(VLOOKUP(Y$2,Rango_Admin_DailyPred,MATCH($F31,Rango_Admin_DailyPred_Primera,0)+1,0),"-")</f>
        <v>-</v>
      </c>
      <c r="Z31" s="429" t="str">
        <f ca="1">IFERROR(VLOOKUP(Z$2,Rango_Admin_DailyPred,MATCH($F31,Rango_Admin_DailyPred_Primera,0)+1,0),"-")</f>
        <v>-</v>
      </c>
      <c r="AA31" s="429" t="str">
        <f ca="1">IFERROR(VLOOKUP(AA$2,Rango_Admin_DailyPred,MATCH($F31,Rango_Admin_DailyPred_Primera,0)+1,0),"-")</f>
        <v>-</v>
      </c>
      <c r="AB31" s="429" t="str">
        <f ca="1">IFERROR(VLOOKUP(AB$2,Rango_Admin_DailyPred,MATCH($F31,Rango_Admin_DailyPred_Primera,0)+1,0),"-")</f>
        <v>-</v>
      </c>
      <c r="AC31" s="429" t="str">
        <f ca="1">IFERROR(VLOOKUP(AC$2,Rango_Admin_DailyPred,MATCH($F31,Rango_Admin_DailyPred_Primera,0)+1,0),"-")</f>
        <v>-</v>
      </c>
      <c r="AD31" s="429" t="str">
        <f ca="1">IFERROR(VLOOKUP(AD$2,Rango_Admin_DailyPred,MATCH($F31,Rango_Admin_DailyPred_Primera,0)+1,0),"-")</f>
        <v>-</v>
      </c>
      <c r="AE31" s="429" t="str">
        <f ca="1">IFERROR(VLOOKUP(AE$2,Rango_Admin_DailyPred,MATCH($F31,Rango_Admin_DailyPred_Primera,0)+1,0),"-")</f>
        <v>-</v>
      </c>
      <c r="AF31" s="429" t="str">
        <f ca="1">IFERROR(VLOOKUP(AF$2,Rango_Admin_DailyPred,MATCH($F31,Rango_Admin_DailyPred_Primera,0)+1,0),"-")</f>
        <v>-</v>
      </c>
      <c r="AG31" s="429" t="str">
        <f ca="1">IFERROR(VLOOKUP(AG$2,Rango_Admin_DailyPred,MATCH($F31,Rango_Admin_DailyPred_Primera,0)+1,0),"-")</f>
        <v>-</v>
      </c>
      <c r="AH31" s="429" t="str">
        <f ca="1">IFERROR(VLOOKUP(AH$2,Rango_Admin_DailyPred,MATCH($F31,Rango_Admin_DailyPred_Primera,0)+1,0),"-")</f>
        <v>-</v>
      </c>
      <c r="AI31" s="429" t="str">
        <f ca="1">IFERROR(VLOOKUP(AI$2,Rango_Admin_DailyPred,MATCH($F31,Rango_Admin_DailyPred_Primera,0)+1,0),"-")</f>
        <v>-</v>
      </c>
      <c r="AJ31" s="429" t="str">
        <f ca="1">IFERROR(VLOOKUP(AJ$2,Rango_Admin_DailyPred,MATCH($F31,Rango_Admin_DailyPred_Primera,0)+1,0),"-")</f>
        <v>-</v>
      </c>
      <c r="AK31" s="429" t="str">
        <f ca="1">IFERROR(VLOOKUP(AK$2,Rango_Admin_DailyPred,MATCH($F31,Rango_Admin_DailyPred_Primera,0)+1,0),"-")</f>
        <v>-</v>
      </c>
      <c r="AL31" s="429" t="str">
        <f ca="1">IFERROR(VLOOKUP(AL$2,Rango_Admin_DailyPred,MATCH($F31,Rango_Admin_DailyPred_Primera,0)+1,0),"-")</f>
        <v>-</v>
      </c>
      <c r="AM31" s="429" t="str">
        <f ca="1">IFERROR(VLOOKUP(AM$2,Rango_Admin_DailyPred,MATCH($F31,Rango_Admin_DailyPred_Primera,0)+1,0),"-")</f>
        <v>-</v>
      </c>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v>29</v>
      </c>
      <c r="D32" s="19"/>
      <c r="E32" s="409">
        <f ca="1">IFERROR(HLOOKUP(C32,Rango_Admin_DailyClas,3,FALSE),"-")</f>
        <v>17</v>
      </c>
      <c r="F32" s="448" t="str">
        <f ca="1">IFERROR(HLOOKUP(C32,Rango_Admin_DailyClas,5,FALSE),"-")</f>
        <v>IGNACIO LAFUENTE</v>
      </c>
      <c r="G32" s="22">
        <f ca="1">IFERROR(HLOOKUP(C32,Rango_Admin_DailyClas,4,FALSE),"-")</f>
        <v>20</v>
      </c>
      <c r="H32" s="429">
        <f ca="1">IFERROR(VLOOKUP(H$2,Rango_Admin_DailyPred,MATCH($F32,Rango_Admin_DailyPred_Primera,0)+1,0),"-")</f>
        <v>0</v>
      </c>
      <c r="I32" s="429">
        <f ca="1">IFERROR(VLOOKUP(I$2,Rango_Admin_DailyPred,MATCH($F32,Rango_Admin_DailyPred_Primera,0)+1,0),"-")</f>
        <v>0</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20</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t="str">
        <f ca="1">IFERROR(VLOOKUP(S$2,Rango_Admin_DailyPred,MATCH($F32,Rango_Admin_DailyPred_Primera,0)+1,0),"-")</f>
        <v>-</v>
      </c>
      <c r="T32" s="429" t="str">
        <f ca="1">IFERROR(VLOOKUP(T$2,Rango_Admin_DailyPred,MATCH($F32,Rango_Admin_DailyPred_Primera,0)+1,0),"-")</f>
        <v>-</v>
      </c>
      <c r="U32" s="429" t="str">
        <f ca="1">IFERROR(VLOOKUP(U$2,Rango_Admin_DailyPred,MATCH($F32,Rango_Admin_DailyPred_Primera,0)+1,0),"-")</f>
        <v>-</v>
      </c>
      <c r="V32" s="429" t="str">
        <f ca="1">IFERROR(VLOOKUP(V$2,Rango_Admin_DailyPred,MATCH($F32,Rango_Admin_DailyPred_Primera,0)+1,0),"-")</f>
        <v>-</v>
      </c>
      <c r="W32" s="429" t="str">
        <f ca="1">IFERROR(VLOOKUP(W$2,Rango_Admin_DailyPred,MATCH($F32,Rango_Admin_DailyPred_Primera,0)+1,0),"-")</f>
        <v>-</v>
      </c>
      <c r="X32" s="429" t="str">
        <f ca="1">IFERROR(VLOOKUP(X$2,Rango_Admin_DailyPred,MATCH($F32,Rango_Admin_DailyPred_Primera,0)+1,0),"-")</f>
        <v>-</v>
      </c>
      <c r="Y32" s="429" t="str">
        <f ca="1">IFERROR(VLOOKUP(Y$2,Rango_Admin_DailyPred,MATCH($F32,Rango_Admin_DailyPred_Primera,0)+1,0),"-")</f>
        <v>-</v>
      </c>
      <c r="Z32" s="429" t="str">
        <f ca="1">IFERROR(VLOOKUP(Z$2,Rango_Admin_DailyPred,MATCH($F32,Rango_Admin_DailyPred_Primera,0)+1,0),"-")</f>
        <v>-</v>
      </c>
      <c r="AA32" s="429" t="str">
        <f ca="1">IFERROR(VLOOKUP(AA$2,Rango_Admin_DailyPred,MATCH($F32,Rango_Admin_DailyPred_Primera,0)+1,0),"-")</f>
        <v>-</v>
      </c>
      <c r="AB32" s="429" t="str">
        <f ca="1">IFERROR(VLOOKUP(AB$2,Rango_Admin_DailyPred,MATCH($F32,Rango_Admin_DailyPred_Primera,0)+1,0),"-")</f>
        <v>-</v>
      </c>
      <c r="AC32" s="429" t="str">
        <f ca="1">IFERROR(VLOOKUP(AC$2,Rango_Admin_DailyPred,MATCH($F32,Rango_Admin_DailyPred_Primera,0)+1,0),"-")</f>
        <v>-</v>
      </c>
      <c r="AD32" s="429" t="str">
        <f ca="1">IFERROR(VLOOKUP(AD$2,Rango_Admin_DailyPred,MATCH($F32,Rango_Admin_DailyPred_Primera,0)+1,0),"-")</f>
        <v>-</v>
      </c>
      <c r="AE32" s="429" t="str">
        <f ca="1">IFERROR(VLOOKUP(AE$2,Rango_Admin_DailyPred,MATCH($F32,Rango_Admin_DailyPred_Primera,0)+1,0),"-")</f>
        <v>-</v>
      </c>
      <c r="AF32" s="429" t="str">
        <f ca="1">IFERROR(VLOOKUP(AF$2,Rango_Admin_DailyPred,MATCH($F32,Rango_Admin_DailyPred_Primera,0)+1,0),"-")</f>
        <v>-</v>
      </c>
      <c r="AG32" s="429" t="str">
        <f ca="1">IFERROR(VLOOKUP(AG$2,Rango_Admin_DailyPred,MATCH($F32,Rango_Admin_DailyPred_Primera,0)+1,0),"-")</f>
        <v>-</v>
      </c>
      <c r="AH32" s="429" t="str">
        <f ca="1">IFERROR(VLOOKUP(AH$2,Rango_Admin_DailyPred,MATCH($F32,Rango_Admin_DailyPred_Primera,0)+1,0),"-")</f>
        <v>-</v>
      </c>
      <c r="AI32" s="429" t="str">
        <f ca="1">IFERROR(VLOOKUP(AI$2,Rango_Admin_DailyPred,MATCH($F32,Rango_Admin_DailyPred_Primera,0)+1,0),"-")</f>
        <v>-</v>
      </c>
      <c r="AJ32" s="429" t="str">
        <f ca="1">IFERROR(VLOOKUP(AJ$2,Rango_Admin_DailyPred,MATCH($F32,Rango_Admin_DailyPred_Primera,0)+1,0),"-")</f>
        <v>-</v>
      </c>
      <c r="AK32" s="429" t="str">
        <f ca="1">IFERROR(VLOOKUP(AK$2,Rango_Admin_DailyPred,MATCH($F32,Rango_Admin_DailyPred_Primera,0)+1,0),"-")</f>
        <v>-</v>
      </c>
      <c r="AL32" s="429" t="str">
        <f ca="1">IFERROR(VLOOKUP(AL$2,Rango_Admin_DailyPred,MATCH($F32,Rango_Admin_DailyPred_Primera,0)+1,0),"-")</f>
        <v>-</v>
      </c>
      <c r="AM32" s="429" t="str">
        <f ca="1">IFERROR(VLOOKUP(AM$2,Rango_Admin_DailyPred,MATCH($F32,Rango_Admin_DailyPred_Primera,0)+1,0),"-")</f>
        <v>-</v>
      </c>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v>30</v>
      </c>
      <c r="D33" s="19"/>
      <c r="E33" s="409">
        <f ca="1">IFERROR(HLOOKUP(C33,Rango_Admin_DailyClas,3,FALSE),"-")</f>
        <v>17</v>
      </c>
      <c r="F33" s="448" t="str">
        <f ca="1">IFERROR(HLOOKUP(C33,Rango_Admin_DailyClas,5,FALSE),"-")</f>
        <v xml:space="preserve">Ignacio Núñez </v>
      </c>
      <c r="G33" s="22">
        <f ca="1">IFERROR(HLOOKUP(C33,Rango_Admin_DailyClas,4,FALSE),"-")</f>
        <v>20</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20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0</v>
      </c>
      <c r="S33" s="429" t="str">
        <f ca="1">IFERROR(VLOOKUP(S$2,Rango_Admin_DailyPred,MATCH($F33,Rango_Admin_DailyPred_Primera,0)+1,0),"-")</f>
        <v>-</v>
      </c>
      <c r="T33" s="429" t="str">
        <f ca="1">IFERROR(VLOOKUP(T$2,Rango_Admin_DailyPred,MATCH($F33,Rango_Admin_DailyPred_Primera,0)+1,0),"-")</f>
        <v>-</v>
      </c>
      <c r="U33" s="429" t="str">
        <f ca="1">IFERROR(VLOOKUP(U$2,Rango_Admin_DailyPred,MATCH($F33,Rango_Admin_DailyPred_Primera,0)+1,0),"-")</f>
        <v>-</v>
      </c>
      <c r="V33" s="429" t="str">
        <f ca="1">IFERROR(VLOOKUP(V$2,Rango_Admin_DailyPred,MATCH($F33,Rango_Admin_DailyPred_Primera,0)+1,0),"-")</f>
        <v>-</v>
      </c>
      <c r="W33" s="429" t="str">
        <f ca="1">IFERROR(VLOOKUP(W$2,Rango_Admin_DailyPred,MATCH($F33,Rango_Admin_DailyPred_Primera,0)+1,0),"-")</f>
        <v>-</v>
      </c>
      <c r="X33" s="429" t="str">
        <f ca="1">IFERROR(VLOOKUP(X$2,Rango_Admin_DailyPred,MATCH($F33,Rango_Admin_DailyPred_Primera,0)+1,0),"-")</f>
        <v>-</v>
      </c>
      <c r="Y33" s="429" t="str">
        <f ca="1">IFERROR(VLOOKUP(Y$2,Rango_Admin_DailyPred,MATCH($F33,Rango_Admin_DailyPred_Primera,0)+1,0),"-")</f>
        <v>-</v>
      </c>
      <c r="Z33" s="429" t="str">
        <f ca="1">IFERROR(VLOOKUP(Z$2,Rango_Admin_DailyPred,MATCH($F33,Rango_Admin_DailyPred_Primera,0)+1,0),"-")</f>
        <v>-</v>
      </c>
      <c r="AA33" s="429" t="str">
        <f ca="1">IFERROR(VLOOKUP(AA$2,Rango_Admin_DailyPred,MATCH($F33,Rango_Admin_DailyPred_Primera,0)+1,0),"-")</f>
        <v>-</v>
      </c>
      <c r="AB33" s="429" t="str">
        <f ca="1">IFERROR(VLOOKUP(AB$2,Rango_Admin_DailyPred,MATCH($F33,Rango_Admin_DailyPred_Primera,0)+1,0),"-")</f>
        <v>-</v>
      </c>
      <c r="AC33" s="429" t="str">
        <f ca="1">IFERROR(VLOOKUP(AC$2,Rango_Admin_DailyPred,MATCH($F33,Rango_Admin_DailyPred_Primera,0)+1,0),"-")</f>
        <v>-</v>
      </c>
      <c r="AD33" s="429" t="str">
        <f ca="1">IFERROR(VLOOKUP(AD$2,Rango_Admin_DailyPred,MATCH($F33,Rango_Admin_DailyPred_Primera,0)+1,0),"-")</f>
        <v>-</v>
      </c>
      <c r="AE33" s="429" t="str">
        <f ca="1">IFERROR(VLOOKUP(AE$2,Rango_Admin_DailyPred,MATCH($F33,Rango_Admin_DailyPred_Primera,0)+1,0),"-")</f>
        <v>-</v>
      </c>
      <c r="AF33" s="429" t="str">
        <f ca="1">IFERROR(VLOOKUP(AF$2,Rango_Admin_DailyPred,MATCH($F33,Rango_Admin_DailyPred_Primera,0)+1,0),"-")</f>
        <v>-</v>
      </c>
      <c r="AG33" s="429" t="str">
        <f ca="1">IFERROR(VLOOKUP(AG$2,Rango_Admin_DailyPred,MATCH($F33,Rango_Admin_DailyPred_Primera,0)+1,0),"-")</f>
        <v>-</v>
      </c>
      <c r="AH33" s="429" t="str">
        <f ca="1">IFERROR(VLOOKUP(AH$2,Rango_Admin_DailyPred,MATCH($F33,Rango_Admin_DailyPred_Primera,0)+1,0),"-")</f>
        <v>-</v>
      </c>
      <c r="AI33" s="429" t="str">
        <f ca="1">IFERROR(VLOOKUP(AI$2,Rango_Admin_DailyPred,MATCH($F33,Rango_Admin_DailyPred_Primera,0)+1,0),"-")</f>
        <v>-</v>
      </c>
      <c r="AJ33" s="429" t="str">
        <f ca="1">IFERROR(VLOOKUP(AJ$2,Rango_Admin_DailyPred,MATCH($F33,Rango_Admin_DailyPred_Primera,0)+1,0),"-")</f>
        <v>-</v>
      </c>
      <c r="AK33" s="429" t="str">
        <f ca="1">IFERROR(VLOOKUP(AK$2,Rango_Admin_DailyPred,MATCH($F33,Rango_Admin_DailyPred_Primera,0)+1,0),"-")</f>
        <v>-</v>
      </c>
      <c r="AL33" s="429" t="str">
        <f ca="1">IFERROR(VLOOKUP(AL$2,Rango_Admin_DailyPred,MATCH($F33,Rango_Admin_DailyPred_Primera,0)+1,0),"-")</f>
        <v>-</v>
      </c>
      <c r="AM33" s="429" t="str">
        <f ca="1">IFERROR(VLOOKUP(AM$2,Rango_Admin_DailyPred,MATCH($F33,Rango_Admin_DailyPred_Primera,0)+1,0),"-")</f>
        <v>-</v>
      </c>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v>31</v>
      </c>
      <c r="D34" s="19"/>
      <c r="E34" s="409">
        <f ca="1">IFERROR(HLOOKUP(C34,Rango_Admin_DailyClas,3,FALSE),"-")</f>
        <v>17</v>
      </c>
      <c r="F34" s="448" t="str">
        <f ca="1">IFERROR(HLOOKUP(C34,Rango_Admin_DailyClas,5,FALSE),"-")</f>
        <v>Ricardo Soto</v>
      </c>
      <c r="G34" s="22">
        <f ca="1">IFERROR(HLOOKUP(C34,Rango_Admin_DailyClas,4,FALSE),"-")</f>
        <v>20</v>
      </c>
      <c r="H34" s="429">
        <f ca="1">IFERROR(VLOOKUP(H$2,Rango_Admin_DailyPred,MATCH($F34,Rango_Admin_DailyPred_Primera,0)+1,0),"-")</f>
        <v>0</v>
      </c>
      <c r="I34" s="429">
        <f ca="1">IFERROR(VLOOKUP(I$2,Rango_Admin_DailyPred,MATCH($F34,Rango_Admin_DailyPred_Primera,0)+1,0),"-")</f>
        <v>0</v>
      </c>
      <c r="J34" s="429">
        <f ca="1">IFERROR(VLOOKUP(J$2,Rango_Admin_DailyPred,MATCH($F34,Rango_Admin_DailyPred_Primera,0)+1,0),"-")</f>
        <v>20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0</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0</v>
      </c>
      <c r="S34" s="429" t="str">
        <f ca="1">IFERROR(VLOOKUP(S$2,Rango_Admin_DailyPred,MATCH($F34,Rango_Admin_DailyPred_Primera,0)+1,0),"-")</f>
        <v>-</v>
      </c>
      <c r="T34" s="429" t="str">
        <f ca="1">IFERROR(VLOOKUP(T$2,Rango_Admin_DailyPred,MATCH($F34,Rango_Admin_DailyPred_Primera,0)+1,0),"-")</f>
        <v>-</v>
      </c>
      <c r="U34" s="429" t="str">
        <f ca="1">IFERROR(VLOOKUP(U$2,Rango_Admin_DailyPred,MATCH($F34,Rango_Admin_DailyPred_Primera,0)+1,0),"-")</f>
        <v>-</v>
      </c>
      <c r="V34" s="429" t="str">
        <f ca="1">IFERROR(VLOOKUP(V$2,Rango_Admin_DailyPred,MATCH($F34,Rango_Admin_DailyPred_Primera,0)+1,0),"-")</f>
        <v>-</v>
      </c>
      <c r="W34" s="429" t="str">
        <f ca="1">IFERROR(VLOOKUP(W$2,Rango_Admin_DailyPred,MATCH($F34,Rango_Admin_DailyPred_Primera,0)+1,0),"-")</f>
        <v>-</v>
      </c>
      <c r="X34" s="429" t="str">
        <f ca="1">IFERROR(VLOOKUP(X$2,Rango_Admin_DailyPred,MATCH($F34,Rango_Admin_DailyPred_Primera,0)+1,0),"-")</f>
        <v>-</v>
      </c>
      <c r="Y34" s="429" t="str">
        <f ca="1">IFERROR(VLOOKUP(Y$2,Rango_Admin_DailyPred,MATCH($F34,Rango_Admin_DailyPred_Primera,0)+1,0),"-")</f>
        <v>-</v>
      </c>
      <c r="Z34" s="429" t="str">
        <f ca="1">IFERROR(VLOOKUP(Z$2,Rango_Admin_DailyPred,MATCH($F34,Rango_Admin_DailyPred_Primera,0)+1,0),"-")</f>
        <v>-</v>
      </c>
      <c r="AA34" s="429" t="str">
        <f ca="1">IFERROR(VLOOKUP(AA$2,Rango_Admin_DailyPred,MATCH($F34,Rango_Admin_DailyPred_Primera,0)+1,0),"-")</f>
        <v>-</v>
      </c>
      <c r="AB34" s="429" t="str">
        <f ca="1">IFERROR(VLOOKUP(AB$2,Rango_Admin_DailyPred,MATCH($F34,Rango_Admin_DailyPred_Primera,0)+1,0),"-")</f>
        <v>-</v>
      </c>
      <c r="AC34" s="429" t="str">
        <f ca="1">IFERROR(VLOOKUP(AC$2,Rango_Admin_DailyPred,MATCH($F34,Rango_Admin_DailyPred_Primera,0)+1,0),"-")</f>
        <v>-</v>
      </c>
      <c r="AD34" s="429" t="str">
        <f ca="1">IFERROR(VLOOKUP(AD$2,Rango_Admin_DailyPred,MATCH($F34,Rango_Admin_DailyPred_Primera,0)+1,0),"-")</f>
        <v>-</v>
      </c>
      <c r="AE34" s="429" t="str">
        <f ca="1">IFERROR(VLOOKUP(AE$2,Rango_Admin_DailyPred,MATCH($F34,Rango_Admin_DailyPred_Primera,0)+1,0),"-")</f>
        <v>-</v>
      </c>
      <c r="AF34" s="429" t="str">
        <f ca="1">IFERROR(VLOOKUP(AF$2,Rango_Admin_DailyPred,MATCH($F34,Rango_Admin_DailyPred_Primera,0)+1,0),"-")</f>
        <v>-</v>
      </c>
      <c r="AG34" s="429" t="str">
        <f ca="1">IFERROR(VLOOKUP(AG$2,Rango_Admin_DailyPred,MATCH($F34,Rango_Admin_DailyPred_Primera,0)+1,0),"-")</f>
        <v>-</v>
      </c>
      <c r="AH34" s="429" t="str">
        <f ca="1">IFERROR(VLOOKUP(AH$2,Rango_Admin_DailyPred,MATCH($F34,Rango_Admin_DailyPred_Primera,0)+1,0),"-")</f>
        <v>-</v>
      </c>
      <c r="AI34" s="429" t="str">
        <f ca="1">IFERROR(VLOOKUP(AI$2,Rango_Admin_DailyPred,MATCH($F34,Rango_Admin_DailyPred_Primera,0)+1,0),"-")</f>
        <v>-</v>
      </c>
      <c r="AJ34" s="429" t="str">
        <f ca="1">IFERROR(VLOOKUP(AJ$2,Rango_Admin_DailyPred,MATCH($F34,Rango_Admin_DailyPred_Primera,0)+1,0),"-")</f>
        <v>-</v>
      </c>
      <c r="AK34" s="429" t="str">
        <f ca="1">IFERROR(VLOOKUP(AK$2,Rango_Admin_DailyPred,MATCH($F34,Rango_Admin_DailyPred_Primera,0)+1,0),"-")</f>
        <v>-</v>
      </c>
      <c r="AL34" s="429" t="str">
        <f ca="1">IFERROR(VLOOKUP(AL$2,Rango_Admin_DailyPred,MATCH($F34,Rango_Admin_DailyPred_Primera,0)+1,0),"-")</f>
        <v>-</v>
      </c>
      <c r="AM34" s="429" t="str">
        <f ca="1">IFERROR(VLOOKUP(AM$2,Rango_Admin_DailyPred,MATCH($F34,Rango_Admin_DailyPred_Primera,0)+1,0),"-")</f>
        <v>-</v>
      </c>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v>32</v>
      </c>
      <c r="D35" s="19"/>
      <c r="E35" s="409">
        <f ca="1">IFERROR(HLOOKUP(C35,Rango_Admin_DailyClas,3,FALSE),"-")</f>
        <v>32</v>
      </c>
      <c r="F35" s="448" t="str">
        <f ca="1">IFERROR(HLOOKUP(C35,Rango_Admin_DailyClas,5,FALSE),"-")</f>
        <v>Antonio Zulueta Ramos</v>
      </c>
      <c r="G35" s="22">
        <f ca="1">IFERROR(HLOOKUP(C35,Rango_Admin_DailyClas,4,FALSE),"-")</f>
        <v>10</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10</v>
      </c>
      <c r="M35" s="429">
        <f ca="1">IFERROR(VLOOKUP(M$2,Rango_Admin_DailyPred,MATCH($F35,Rango_Admin_DailyPred_Primera,0)+1,0),"-")</f>
        <v>0</v>
      </c>
      <c r="N35" s="429">
        <f ca="1">IFERROR(VLOOKUP(N$2,Rango_Admin_DailyPred,MATCH($F35,Rango_Admin_DailyPred_Primera,0)+1,0),"-")</f>
        <v>0</v>
      </c>
      <c r="O35" s="429">
        <f ca="1">IFERROR(VLOOKUP(O$2,Rango_Admin_DailyPred,MATCH($F35,Rango_Admin_DailyPred_Primera,0)+1,0),"-")</f>
        <v>0</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0</v>
      </c>
      <c r="S35" s="429" t="str">
        <f ca="1">IFERROR(VLOOKUP(S$2,Rango_Admin_DailyPred,MATCH($F35,Rango_Admin_DailyPred_Primera,0)+1,0),"-")</f>
        <v>-</v>
      </c>
      <c r="T35" s="429" t="str">
        <f ca="1">IFERROR(VLOOKUP(T$2,Rango_Admin_DailyPred,MATCH($F35,Rango_Admin_DailyPred_Primera,0)+1,0),"-")</f>
        <v>-</v>
      </c>
      <c r="U35" s="429" t="str">
        <f ca="1">IFERROR(VLOOKUP(U$2,Rango_Admin_DailyPred,MATCH($F35,Rango_Admin_DailyPred_Primera,0)+1,0),"-")</f>
        <v>-</v>
      </c>
      <c r="V35" s="429" t="str">
        <f ca="1">IFERROR(VLOOKUP(V$2,Rango_Admin_DailyPred,MATCH($F35,Rango_Admin_DailyPred_Primera,0)+1,0),"-")</f>
        <v>-</v>
      </c>
      <c r="W35" s="429" t="str">
        <f ca="1">IFERROR(VLOOKUP(W$2,Rango_Admin_DailyPred,MATCH($F35,Rango_Admin_DailyPred_Primera,0)+1,0),"-")</f>
        <v>-</v>
      </c>
      <c r="X35" s="429" t="str">
        <f ca="1">IFERROR(VLOOKUP(X$2,Rango_Admin_DailyPred,MATCH($F35,Rango_Admin_DailyPred_Primera,0)+1,0),"-")</f>
        <v>-</v>
      </c>
      <c r="Y35" s="429" t="str">
        <f ca="1">IFERROR(VLOOKUP(Y$2,Rango_Admin_DailyPred,MATCH($F35,Rango_Admin_DailyPred_Primera,0)+1,0),"-")</f>
        <v>-</v>
      </c>
      <c r="Z35" s="429" t="str">
        <f ca="1">IFERROR(VLOOKUP(Z$2,Rango_Admin_DailyPred,MATCH($F35,Rango_Admin_DailyPred_Primera,0)+1,0),"-")</f>
        <v>-</v>
      </c>
      <c r="AA35" s="429" t="str">
        <f ca="1">IFERROR(VLOOKUP(AA$2,Rango_Admin_DailyPred,MATCH($F35,Rango_Admin_DailyPred_Primera,0)+1,0),"-")</f>
        <v>-</v>
      </c>
      <c r="AB35" s="429" t="str">
        <f ca="1">IFERROR(VLOOKUP(AB$2,Rango_Admin_DailyPred,MATCH($F35,Rango_Admin_DailyPred_Primera,0)+1,0),"-")</f>
        <v>-</v>
      </c>
      <c r="AC35" s="429" t="str">
        <f ca="1">IFERROR(VLOOKUP(AC$2,Rango_Admin_DailyPred,MATCH($F35,Rango_Admin_DailyPred_Primera,0)+1,0),"-")</f>
        <v>-</v>
      </c>
      <c r="AD35" s="429" t="str">
        <f ca="1">IFERROR(VLOOKUP(AD$2,Rango_Admin_DailyPred,MATCH($F35,Rango_Admin_DailyPred_Primera,0)+1,0),"-")</f>
        <v>-</v>
      </c>
      <c r="AE35" s="429" t="str">
        <f ca="1">IFERROR(VLOOKUP(AE$2,Rango_Admin_DailyPred,MATCH($F35,Rango_Admin_DailyPred_Primera,0)+1,0),"-")</f>
        <v>-</v>
      </c>
      <c r="AF35" s="429" t="str">
        <f ca="1">IFERROR(VLOOKUP(AF$2,Rango_Admin_DailyPred,MATCH($F35,Rango_Admin_DailyPred_Primera,0)+1,0),"-")</f>
        <v>-</v>
      </c>
      <c r="AG35" s="429" t="str">
        <f ca="1">IFERROR(VLOOKUP(AG$2,Rango_Admin_DailyPred,MATCH($F35,Rango_Admin_DailyPred_Primera,0)+1,0),"-")</f>
        <v>-</v>
      </c>
      <c r="AH35" s="429" t="str">
        <f ca="1">IFERROR(VLOOKUP(AH$2,Rango_Admin_DailyPred,MATCH($F35,Rango_Admin_DailyPred_Primera,0)+1,0),"-")</f>
        <v>-</v>
      </c>
      <c r="AI35" s="429" t="str">
        <f ca="1">IFERROR(VLOOKUP(AI$2,Rango_Admin_DailyPred,MATCH($F35,Rango_Admin_DailyPred_Primera,0)+1,0),"-")</f>
        <v>-</v>
      </c>
      <c r="AJ35" s="429" t="str">
        <f ca="1">IFERROR(VLOOKUP(AJ$2,Rango_Admin_DailyPred,MATCH($F35,Rango_Admin_DailyPred_Primera,0)+1,0),"-")</f>
        <v>-</v>
      </c>
      <c r="AK35" s="429" t="str">
        <f ca="1">IFERROR(VLOOKUP(AK$2,Rango_Admin_DailyPred,MATCH($F35,Rango_Admin_DailyPred_Primera,0)+1,0),"-")</f>
        <v>-</v>
      </c>
      <c r="AL35" s="429" t="str">
        <f ca="1">IFERROR(VLOOKUP(AL$2,Rango_Admin_DailyPred,MATCH($F35,Rango_Admin_DailyPred_Primera,0)+1,0),"-")</f>
        <v>-</v>
      </c>
      <c r="AM35" s="429" t="str">
        <f ca="1">IFERROR(VLOOKUP(AM$2,Rango_Admin_DailyPred,MATCH($F35,Rango_Admin_DailyPred_Primera,0)+1,0),"-")</f>
        <v>-</v>
      </c>
      <c r="AN35" s="297"/>
    </row>
    <row r="36" spans="1:40">
      <c r="A36" s="8"/>
      <c r="B36" s="8"/>
      <c r="C36" s="8">
        <v>33</v>
      </c>
      <c r="D36" s="19"/>
      <c r="E36" s="409">
        <f ca="1">IFERROR(HLOOKUP(C36,Rango_Admin_DailyClas,3,FALSE),"-")</f>
        <v>33</v>
      </c>
      <c r="F36" s="448" t="str">
        <f ca="1">IFERROR(HLOOKUP(C36,Rango_Admin_DailyClas,5,FALSE),"-")</f>
        <v>Admin</v>
      </c>
      <c r="G36" s="22">
        <f ca="1">IFERROR(HLOOKUP(C36,Rango_Admin_DailyClas,4,FALSE),"-")</f>
        <v>0</v>
      </c>
      <c r="H36" s="429">
        <f ca="1">IFERROR(VLOOKUP(H$2,Rango_Admin_DailyPred,MATCH($F36,Rango_Admin_DailyPred_Primera,0)+1,0),"-")</f>
        <v>0</v>
      </c>
      <c r="I36" s="429">
        <f ca="1">IFERROR(VLOOKUP(I$2,Rango_Admin_DailyPred,MATCH($F36,Rango_Admin_DailyPred_Primera,0)+1,0),"-")</f>
        <v>0</v>
      </c>
      <c r="J36" s="429">
        <f ca="1">IFERROR(VLOOKUP(J$2,Rango_Admin_DailyPred,MATCH($F36,Rango_Admin_DailyPred_Primera,0)+1,0),"-")</f>
        <v>0</v>
      </c>
      <c r="K36" s="429">
        <f ca="1">IFERROR(VLOOKUP(K$2,Rango_Admin_DailyPred,MATCH($F36,Rango_Admin_DailyPred_Primera,0)+1,0),"-")</f>
        <v>0</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0</v>
      </c>
      <c r="S36" s="429" t="str">
        <f ca="1">IFERROR(VLOOKUP(S$2,Rango_Admin_DailyPred,MATCH($F36,Rango_Admin_DailyPred_Primera,0)+1,0),"-")</f>
        <v>-</v>
      </c>
      <c r="T36" s="429" t="str">
        <f ca="1">IFERROR(VLOOKUP(T$2,Rango_Admin_DailyPred,MATCH($F36,Rango_Admin_DailyPred_Primera,0)+1,0),"-")</f>
        <v>-</v>
      </c>
      <c r="U36" s="429" t="str">
        <f ca="1">IFERROR(VLOOKUP(U$2,Rango_Admin_DailyPred,MATCH($F36,Rango_Admin_DailyPred_Primera,0)+1,0),"-")</f>
        <v>-</v>
      </c>
      <c r="V36" s="429" t="str">
        <f ca="1">IFERROR(VLOOKUP(V$2,Rango_Admin_DailyPred,MATCH($F36,Rango_Admin_DailyPred_Primera,0)+1,0),"-")</f>
        <v>-</v>
      </c>
      <c r="W36" s="429" t="str">
        <f ca="1">IFERROR(VLOOKUP(W$2,Rango_Admin_DailyPred,MATCH($F36,Rango_Admin_DailyPred_Primera,0)+1,0),"-")</f>
        <v>-</v>
      </c>
      <c r="X36" s="429" t="str">
        <f ca="1">IFERROR(VLOOKUP(X$2,Rango_Admin_DailyPred,MATCH($F36,Rango_Admin_DailyPred_Primera,0)+1,0),"-")</f>
        <v>-</v>
      </c>
      <c r="Y36" s="429" t="str">
        <f ca="1">IFERROR(VLOOKUP(Y$2,Rango_Admin_DailyPred,MATCH($F36,Rango_Admin_DailyPred_Primera,0)+1,0),"-")</f>
        <v>-</v>
      </c>
      <c r="Z36" s="429" t="str">
        <f ca="1">IFERROR(VLOOKUP(Z$2,Rango_Admin_DailyPred,MATCH($F36,Rango_Admin_DailyPred_Primera,0)+1,0),"-")</f>
        <v>-</v>
      </c>
      <c r="AA36" s="429" t="str">
        <f ca="1">IFERROR(VLOOKUP(AA$2,Rango_Admin_DailyPred,MATCH($F36,Rango_Admin_DailyPred_Primera,0)+1,0),"-")</f>
        <v>-</v>
      </c>
      <c r="AB36" s="429" t="str">
        <f ca="1">IFERROR(VLOOKUP(AB$2,Rango_Admin_DailyPred,MATCH($F36,Rango_Admin_DailyPred_Primera,0)+1,0),"-")</f>
        <v>-</v>
      </c>
      <c r="AC36" s="429" t="str">
        <f ca="1">IFERROR(VLOOKUP(AC$2,Rango_Admin_DailyPred,MATCH($F36,Rango_Admin_DailyPred_Primera,0)+1,0),"-")</f>
        <v>-</v>
      </c>
      <c r="AD36" s="429" t="str">
        <f ca="1">IFERROR(VLOOKUP(AD$2,Rango_Admin_DailyPred,MATCH($F36,Rango_Admin_DailyPred_Primera,0)+1,0),"-")</f>
        <v>-</v>
      </c>
      <c r="AE36" s="429" t="str">
        <f ca="1">IFERROR(VLOOKUP(AE$2,Rango_Admin_DailyPred,MATCH($F36,Rango_Admin_DailyPred_Primera,0)+1,0),"-")</f>
        <v>-</v>
      </c>
      <c r="AF36" s="429" t="str">
        <f ca="1">IFERROR(VLOOKUP(AF$2,Rango_Admin_DailyPred,MATCH($F36,Rango_Admin_DailyPred_Primera,0)+1,0),"-")</f>
        <v>-</v>
      </c>
      <c r="AG36" s="429" t="str">
        <f ca="1">IFERROR(VLOOKUP(AG$2,Rango_Admin_DailyPred,MATCH($F36,Rango_Admin_DailyPred_Primera,0)+1,0),"-")</f>
        <v>-</v>
      </c>
      <c r="AH36" s="429" t="str">
        <f ca="1">IFERROR(VLOOKUP(AH$2,Rango_Admin_DailyPred,MATCH($F36,Rango_Admin_DailyPred_Primera,0)+1,0),"-")</f>
        <v>-</v>
      </c>
      <c r="AI36" s="429" t="str">
        <f ca="1">IFERROR(VLOOKUP(AI$2,Rango_Admin_DailyPred,MATCH($F36,Rango_Admin_DailyPred_Primera,0)+1,0),"-")</f>
        <v>-</v>
      </c>
      <c r="AJ36" s="429" t="str">
        <f ca="1">IFERROR(VLOOKUP(AJ$2,Rango_Admin_DailyPred,MATCH($F36,Rango_Admin_DailyPred_Primera,0)+1,0),"-")</f>
        <v>-</v>
      </c>
      <c r="AK36" s="429" t="str">
        <f ca="1">IFERROR(VLOOKUP(AK$2,Rango_Admin_DailyPred,MATCH($F36,Rango_Admin_DailyPred_Primera,0)+1,0),"-")</f>
        <v>-</v>
      </c>
      <c r="AL36" s="429" t="str">
        <f ca="1">IFERROR(VLOOKUP(AL$2,Rango_Admin_DailyPred,MATCH($F36,Rango_Admin_DailyPred_Primera,0)+1,0),"-")</f>
        <v>-</v>
      </c>
      <c r="AM36" s="429" t="str">
        <f ca="1">IFERROR(VLOOKUP(AM$2,Rango_Admin_DailyPred,MATCH($F36,Rango_Admin_DailyPred_Primera,0)+1,0),"-")</f>
        <v>-</v>
      </c>
      <c r="AN36" s="297"/>
    </row>
    <row r="37" spans="1:40">
      <c r="A37" s="8"/>
      <c r="B37" s="8"/>
      <c r="C37" s="8">
        <v>34</v>
      </c>
      <c r="D37" s="19"/>
      <c r="E37" s="409">
        <f ca="1">IFERROR(HLOOKUP(C37,Rango_Admin_DailyClas,3,FALSE),"-")</f>
        <v>33</v>
      </c>
      <c r="F37" s="448" t="str">
        <f ca="1">IFERROR(HLOOKUP(C37,Rango_Admin_DailyClas,5,FALSE),"-")</f>
        <v>Nacho Novo</v>
      </c>
      <c r="G37" s="22">
        <f ca="1">IFERROR(HLOOKUP(C37,Rango_Admin_DailyClas,4,FALSE),"-")</f>
        <v>0</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0</v>
      </c>
      <c r="S37" s="429" t="str">
        <f ca="1">IFERROR(VLOOKUP(S$2,Rango_Admin_DailyPred,MATCH($F37,Rango_Admin_DailyPred_Primera,0)+1,0),"-")</f>
        <v>-</v>
      </c>
      <c r="T37" s="429" t="str">
        <f ca="1">IFERROR(VLOOKUP(T$2,Rango_Admin_DailyPred,MATCH($F37,Rango_Admin_DailyPred_Primera,0)+1,0),"-")</f>
        <v>-</v>
      </c>
      <c r="U37" s="429" t="str">
        <f ca="1">IFERROR(VLOOKUP(U$2,Rango_Admin_DailyPred,MATCH($F37,Rango_Admin_DailyPred_Primera,0)+1,0),"-")</f>
        <v>-</v>
      </c>
      <c r="V37" s="429" t="str">
        <f ca="1">IFERROR(VLOOKUP(V$2,Rango_Admin_DailyPred,MATCH($F37,Rango_Admin_DailyPred_Primera,0)+1,0),"-")</f>
        <v>-</v>
      </c>
      <c r="W37" s="429" t="str">
        <f ca="1">IFERROR(VLOOKUP(W$2,Rango_Admin_DailyPred,MATCH($F37,Rango_Admin_DailyPred_Primera,0)+1,0),"-")</f>
        <v>-</v>
      </c>
      <c r="X37" s="429" t="str">
        <f ca="1">IFERROR(VLOOKUP(X$2,Rango_Admin_DailyPred,MATCH($F37,Rango_Admin_DailyPred_Primera,0)+1,0),"-")</f>
        <v>-</v>
      </c>
      <c r="Y37" s="429" t="str">
        <f ca="1">IFERROR(VLOOKUP(Y$2,Rango_Admin_DailyPred,MATCH($F37,Rango_Admin_DailyPred_Primera,0)+1,0),"-")</f>
        <v>-</v>
      </c>
      <c r="Z37" s="429" t="str">
        <f ca="1">IFERROR(VLOOKUP(Z$2,Rango_Admin_DailyPred,MATCH($F37,Rango_Admin_DailyPred_Primera,0)+1,0),"-")</f>
        <v>-</v>
      </c>
      <c r="AA37" s="429" t="str">
        <f ca="1">IFERROR(VLOOKUP(AA$2,Rango_Admin_DailyPred,MATCH($F37,Rango_Admin_DailyPred_Primera,0)+1,0),"-")</f>
        <v>-</v>
      </c>
      <c r="AB37" s="429" t="str">
        <f ca="1">IFERROR(VLOOKUP(AB$2,Rango_Admin_DailyPred,MATCH($F37,Rango_Admin_DailyPred_Primera,0)+1,0),"-")</f>
        <v>-</v>
      </c>
      <c r="AC37" s="429" t="str">
        <f ca="1">IFERROR(VLOOKUP(AC$2,Rango_Admin_DailyPred,MATCH($F37,Rango_Admin_DailyPred_Primera,0)+1,0),"-")</f>
        <v>-</v>
      </c>
      <c r="AD37" s="429" t="str">
        <f ca="1">IFERROR(VLOOKUP(AD$2,Rango_Admin_DailyPred,MATCH($F37,Rango_Admin_DailyPred_Primera,0)+1,0),"-")</f>
        <v>-</v>
      </c>
      <c r="AE37" s="429" t="str">
        <f ca="1">IFERROR(VLOOKUP(AE$2,Rango_Admin_DailyPred,MATCH($F37,Rango_Admin_DailyPred_Primera,0)+1,0),"-")</f>
        <v>-</v>
      </c>
      <c r="AF37" s="429" t="str">
        <f ca="1">IFERROR(VLOOKUP(AF$2,Rango_Admin_DailyPred,MATCH($F37,Rango_Admin_DailyPred_Primera,0)+1,0),"-")</f>
        <v>-</v>
      </c>
      <c r="AG37" s="429" t="str">
        <f ca="1">IFERROR(VLOOKUP(AG$2,Rango_Admin_DailyPred,MATCH($F37,Rango_Admin_DailyPred_Primera,0)+1,0),"-")</f>
        <v>-</v>
      </c>
      <c r="AH37" s="429" t="str">
        <f ca="1">IFERROR(VLOOKUP(AH$2,Rango_Admin_DailyPred,MATCH($F37,Rango_Admin_DailyPred_Primera,0)+1,0),"-")</f>
        <v>-</v>
      </c>
      <c r="AI37" s="429" t="str">
        <f ca="1">IFERROR(VLOOKUP(AI$2,Rango_Admin_DailyPred,MATCH($F37,Rango_Admin_DailyPred_Primera,0)+1,0),"-")</f>
        <v>-</v>
      </c>
      <c r="AJ37" s="429" t="str">
        <f ca="1">IFERROR(VLOOKUP(AJ$2,Rango_Admin_DailyPred,MATCH($F37,Rango_Admin_DailyPred_Primera,0)+1,0),"-")</f>
        <v>-</v>
      </c>
      <c r="AK37" s="429" t="str">
        <f ca="1">IFERROR(VLOOKUP(AK$2,Rango_Admin_DailyPred,MATCH($F37,Rango_Admin_DailyPred_Primera,0)+1,0),"-")</f>
        <v>-</v>
      </c>
      <c r="AL37" s="429" t="str">
        <f ca="1">IFERROR(VLOOKUP(AL$2,Rango_Admin_DailyPred,MATCH($F37,Rango_Admin_DailyPred_Primera,0)+1,0),"-")</f>
        <v>-</v>
      </c>
      <c r="AM37" s="429" t="str">
        <f ca="1">IFERROR(VLOOKUP(AM$2,Rango_Admin_DailyPred,MATCH($F37,Rango_Admin_DailyPred_Primera,0)+1,0),"-")</f>
        <v>-</v>
      </c>
      <c r="AN37" s="297"/>
    </row>
    <row r="38" spans="1:40">
      <c r="A38" s="8"/>
      <c r="B38" s="8"/>
      <c r="C38" s="8">
        <v>35</v>
      </c>
      <c r="D38" s="19"/>
      <c r="E38" s="409">
        <f ca="1">IFERROR(HLOOKUP(C38,Rango_Admin_DailyClas,3,FALSE),"-")</f>
        <v>33</v>
      </c>
      <c r="F38" s="448" t="str">
        <f ca="1">IFERROR(HLOOKUP(C38,Rango_Admin_DailyClas,5,FALSE),"-")</f>
        <v>Ignacio de Lecea</v>
      </c>
      <c r="G38" s="22">
        <f ca="1">IFERROR(HLOOKUP(C38,Rango_Admin_DailyClas,4,FALSE),"-")</f>
        <v>0</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0</v>
      </c>
      <c r="R38" s="429">
        <f ca="1">IFERROR(VLOOKUP(R$2,Rango_Admin_DailyPred,MATCH($F38,Rango_Admin_DailyPred_Primera,0)+1,0),"-")</f>
        <v>0</v>
      </c>
      <c r="S38" s="429" t="str">
        <f ca="1">IFERROR(VLOOKUP(S$2,Rango_Admin_DailyPred,MATCH($F38,Rango_Admin_DailyPred_Primera,0)+1,0),"-")</f>
        <v>-</v>
      </c>
      <c r="T38" s="429" t="str">
        <f ca="1">IFERROR(VLOOKUP(T$2,Rango_Admin_DailyPred,MATCH($F38,Rango_Admin_DailyPred_Primera,0)+1,0),"-")</f>
        <v>-</v>
      </c>
      <c r="U38" s="429" t="str">
        <f ca="1">IFERROR(VLOOKUP(U$2,Rango_Admin_DailyPred,MATCH($F38,Rango_Admin_DailyPred_Primera,0)+1,0),"-")</f>
        <v>-</v>
      </c>
      <c r="V38" s="429" t="str">
        <f ca="1">IFERROR(VLOOKUP(V$2,Rango_Admin_DailyPred,MATCH($F38,Rango_Admin_DailyPred_Primera,0)+1,0),"-")</f>
        <v>-</v>
      </c>
      <c r="W38" s="429" t="str">
        <f ca="1">IFERROR(VLOOKUP(W$2,Rango_Admin_DailyPred,MATCH($F38,Rango_Admin_DailyPred_Primera,0)+1,0),"-")</f>
        <v>-</v>
      </c>
      <c r="X38" s="429" t="str">
        <f ca="1">IFERROR(VLOOKUP(X$2,Rango_Admin_DailyPred,MATCH($F38,Rango_Admin_DailyPred_Primera,0)+1,0),"-")</f>
        <v>-</v>
      </c>
      <c r="Y38" s="429" t="str">
        <f ca="1">IFERROR(VLOOKUP(Y$2,Rango_Admin_DailyPred,MATCH($F38,Rango_Admin_DailyPred_Primera,0)+1,0),"-")</f>
        <v>-</v>
      </c>
      <c r="Z38" s="429" t="str">
        <f ca="1">IFERROR(VLOOKUP(Z$2,Rango_Admin_DailyPred,MATCH($F38,Rango_Admin_DailyPred_Primera,0)+1,0),"-")</f>
        <v>-</v>
      </c>
      <c r="AA38" s="429" t="str">
        <f ca="1">IFERROR(VLOOKUP(AA$2,Rango_Admin_DailyPred,MATCH($F38,Rango_Admin_DailyPred_Primera,0)+1,0),"-")</f>
        <v>-</v>
      </c>
      <c r="AB38" s="429" t="str">
        <f ca="1">IFERROR(VLOOKUP(AB$2,Rango_Admin_DailyPred,MATCH($F38,Rango_Admin_DailyPred_Primera,0)+1,0),"-")</f>
        <v>-</v>
      </c>
      <c r="AC38" s="429" t="str">
        <f ca="1">IFERROR(VLOOKUP(AC$2,Rango_Admin_DailyPred,MATCH($F38,Rango_Admin_DailyPred_Primera,0)+1,0),"-")</f>
        <v>-</v>
      </c>
      <c r="AD38" s="429" t="str">
        <f ca="1">IFERROR(VLOOKUP(AD$2,Rango_Admin_DailyPred,MATCH($F38,Rango_Admin_DailyPred_Primera,0)+1,0),"-")</f>
        <v>-</v>
      </c>
      <c r="AE38" s="429" t="str">
        <f ca="1">IFERROR(VLOOKUP(AE$2,Rango_Admin_DailyPred,MATCH($F38,Rango_Admin_DailyPred_Primera,0)+1,0),"-")</f>
        <v>-</v>
      </c>
      <c r="AF38" s="429" t="str">
        <f ca="1">IFERROR(VLOOKUP(AF$2,Rango_Admin_DailyPred,MATCH($F38,Rango_Admin_DailyPred_Primera,0)+1,0),"-")</f>
        <v>-</v>
      </c>
      <c r="AG38" s="429" t="str">
        <f ca="1">IFERROR(VLOOKUP(AG$2,Rango_Admin_DailyPred,MATCH($F38,Rango_Admin_DailyPred_Primera,0)+1,0),"-")</f>
        <v>-</v>
      </c>
      <c r="AH38" s="429" t="str">
        <f ca="1">IFERROR(VLOOKUP(AH$2,Rango_Admin_DailyPred,MATCH($F38,Rango_Admin_DailyPred_Primera,0)+1,0),"-")</f>
        <v>-</v>
      </c>
      <c r="AI38" s="429" t="str">
        <f ca="1">IFERROR(VLOOKUP(AI$2,Rango_Admin_DailyPred,MATCH($F38,Rango_Admin_DailyPred_Primera,0)+1,0),"-")</f>
        <v>-</v>
      </c>
      <c r="AJ38" s="429" t="str">
        <f ca="1">IFERROR(VLOOKUP(AJ$2,Rango_Admin_DailyPred,MATCH($F38,Rango_Admin_DailyPred_Primera,0)+1,0),"-")</f>
        <v>-</v>
      </c>
      <c r="AK38" s="429" t="str">
        <f ca="1">IFERROR(VLOOKUP(AK$2,Rango_Admin_DailyPred,MATCH($F38,Rango_Admin_DailyPred_Primera,0)+1,0),"-")</f>
        <v>-</v>
      </c>
      <c r="AL38" s="429" t="str">
        <f ca="1">IFERROR(VLOOKUP(AL$2,Rango_Admin_DailyPred,MATCH($F38,Rango_Admin_DailyPred_Primera,0)+1,0),"-")</f>
        <v>-</v>
      </c>
      <c r="AM38" s="429" t="str">
        <f ca="1">IFERROR(VLOOKUP(AM$2,Rango_Admin_DailyPred,MATCH($F38,Rango_Admin_DailyPred_Primera,0)+1,0),"-")</f>
        <v>-</v>
      </c>
      <c r="AN38" s="297"/>
    </row>
    <row r="39" spans="1:40">
      <c r="A39" s="8"/>
      <c r="B39" s="8"/>
      <c r="C39" s="8">
        <v>36</v>
      </c>
      <c r="D39" s="19"/>
      <c r="E39" s="409">
        <f ca="1">IFERROR(HLOOKUP(C39,Rango_Admin_DailyClas,3,FALSE),"-")</f>
        <v>33</v>
      </c>
      <c r="F39" s="448" t="str">
        <f ca="1">IFERROR(HLOOKUP(C39,Rango_Admin_DailyClas,5,FALSE),"-")</f>
        <v>Miguel San Martín</v>
      </c>
      <c r="G39" s="22">
        <f ca="1">IFERROR(HLOOKUP(C39,Rango_Admin_DailyClas,4,FALSE),"-")</f>
        <v>0</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0</v>
      </c>
      <c r="S39" s="429" t="str">
        <f ca="1">IFERROR(VLOOKUP(S$2,Rango_Admin_DailyPred,MATCH($F39,Rango_Admin_DailyPred_Primera,0)+1,0),"-")</f>
        <v>-</v>
      </c>
      <c r="T39" s="429" t="str">
        <f ca="1">IFERROR(VLOOKUP(T$2,Rango_Admin_DailyPred,MATCH($F39,Rango_Admin_DailyPred_Primera,0)+1,0),"-")</f>
        <v>-</v>
      </c>
      <c r="U39" s="429" t="str">
        <f ca="1">IFERROR(VLOOKUP(U$2,Rango_Admin_DailyPred,MATCH($F39,Rango_Admin_DailyPred_Primera,0)+1,0),"-")</f>
        <v>-</v>
      </c>
      <c r="V39" s="429" t="str">
        <f ca="1">IFERROR(VLOOKUP(V$2,Rango_Admin_DailyPred,MATCH($F39,Rango_Admin_DailyPred_Primera,0)+1,0),"-")</f>
        <v>-</v>
      </c>
      <c r="W39" s="429" t="str">
        <f ca="1">IFERROR(VLOOKUP(W$2,Rango_Admin_DailyPred,MATCH($F39,Rango_Admin_DailyPred_Primera,0)+1,0),"-")</f>
        <v>-</v>
      </c>
      <c r="X39" s="429" t="str">
        <f ca="1">IFERROR(VLOOKUP(X$2,Rango_Admin_DailyPred,MATCH($F39,Rango_Admin_DailyPred_Primera,0)+1,0),"-")</f>
        <v>-</v>
      </c>
      <c r="Y39" s="429" t="str">
        <f ca="1">IFERROR(VLOOKUP(Y$2,Rango_Admin_DailyPred,MATCH($F39,Rango_Admin_DailyPred_Primera,0)+1,0),"-")</f>
        <v>-</v>
      </c>
      <c r="Z39" s="429" t="str">
        <f ca="1">IFERROR(VLOOKUP(Z$2,Rango_Admin_DailyPred,MATCH($F39,Rango_Admin_DailyPred_Primera,0)+1,0),"-")</f>
        <v>-</v>
      </c>
      <c r="AA39" s="429" t="str">
        <f ca="1">IFERROR(VLOOKUP(AA$2,Rango_Admin_DailyPred,MATCH($F39,Rango_Admin_DailyPred_Primera,0)+1,0),"-")</f>
        <v>-</v>
      </c>
      <c r="AB39" s="429" t="str">
        <f ca="1">IFERROR(VLOOKUP(AB$2,Rango_Admin_DailyPred,MATCH($F39,Rango_Admin_DailyPred_Primera,0)+1,0),"-")</f>
        <v>-</v>
      </c>
      <c r="AC39" s="429" t="str">
        <f ca="1">IFERROR(VLOOKUP(AC$2,Rango_Admin_DailyPred,MATCH($F39,Rango_Admin_DailyPred_Primera,0)+1,0),"-")</f>
        <v>-</v>
      </c>
      <c r="AD39" s="429" t="str">
        <f ca="1">IFERROR(VLOOKUP(AD$2,Rango_Admin_DailyPred,MATCH($F39,Rango_Admin_DailyPred_Primera,0)+1,0),"-")</f>
        <v>-</v>
      </c>
      <c r="AE39" s="429" t="str">
        <f ca="1">IFERROR(VLOOKUP(AE$2,Rango_Admin_DailyPred,MATCH($F39,Rango_Admin_DailyPred_Primera,0)+1,0),"-")</f>
        <v>-</v>
      </c>
      <c r="AF39" s="429" t="str">
        <f ca="1">IFERROR(VLOOKUP(AF$2,Rango_Admin_DailyPred,MATCH($F39,Rango_Admin_DailyPred_Primera,0)+1,0),"-")</f>
        <v>-</v>
      </c>
      <c r="AG39" s="429" t="str">
        <f ca="1">IFERROR(VLOOKUP(AG$2,Rango_Admin_DailyPred,MATCH($F39,Rango_Admin_DailyPred_Primera,0)+1,0),"-")</f>
        <v>-</v>
      </c>
      <c r="AH39" s="429" t="str">
        <f ca="1">IFERROR(VLOOKUP(AH$2,Rango_Admin_DailyPred,MATCH($F39,Rango_Admin_DailyPred_Primera,0)+1,0),"-")</f>
        <v>-</v>
      </c>
      <c r="AI39" s="429" t="str">
        <f ca="1">IFERROR(VLOOKUP(AI$2,Rango_Admin_DailyPred,MATCH($F39,Rango_Admin_DailyPred_Primera,0)+1,0),"-")</f>
        <v>-</v>
      </c>
      <c r="AJ39" s="429" t="str">
        <f ca="1">IFERROR(VLOOKUP(AJ$2,Rango_Admin_DailyPred,MATCH($F39,Rango_Admin_DailyPred_Primera,0)+1,0),"-")</f>
        <v>-</v>
      </c>
      <c r="AK39" s="429" t="str">
        <f ca="1">IFERROR(VLOOKUP(AK$2,Rango_Admin_DailyPred,MATCH($F39,Rango_Admin_DailyPred_Primera,0)+1,0),"-")</f>
        <v>-</v>
      </c>
      <c r="AL39" s="429" t="str">
        <f ca="1">IFERROR(VLOOKUP(AL$2,Rango_Admin_DailyPred,MATCH($F39,Rango_Admin_DailyPred_Primera,0)+1,0),"-")</f>
        <v>-</v>
      </c>
      <c r="AM39" s="429" t="str">
        <f ca="1">IFERROR(VLOOKUP(AM$2,Rango_Admin_DailyPred,MATCH($F39,Rango_Admin_DailyPred_Primera,0)+1,0),"-")</f>
        <v>-</v>
      </c>
      <c r="AN39" s="297"/>
    </row>
    <row r="40" spans="1:40">
      <c r="A40" s="8"/>
      <c r="B40" s="8"/>
      <c r="C40" s="8">
        <v>37</v>
      </c>
      <c r="D40" s="19"/>
      <c r="E40" s="409">
        <f ca="1">IFERROR(HLOOKUP(C40,Rango_Admin_DailyClas,3,FALSE),"-")</f>
        <v>33</v>
      </c>
      <c r="F40" s="448" t="str">
        <f ca="1">IFERROR(HLOOKUP(C40,Rango_Admin_DailyClas,5,FALSE),"-")</f>
        <v>bau</v>
      </c>
      <c r="G40" s="22">
        <f ca="1">IFERROR(HLOOKUP(C40,Rango_Admin_DailyClas,4,FALSE),"-")</f>
        <v>0</v>
      </c>
      <c r="H40" s="429">
        <f ca="1">IFERROR(VLOOKUP(H$2,Rango_Admin_DailyPred,MATCH($F40,Rango_Admin_DailyPred_Primera,0)+1,0),"-")</f>
        <v>0</v>
      </c>
      <c r="I40" s="429">
        <f ca="1">IFERROR(VLOOKUP(I$2,Rango_Admin_DailyPred,MATCH($F40,Rango_Admin_DailyPred_Primera,0)+1,0),"-")</f>
        <v>0</v>
      </c>
      <c r="J40" s="429">
        <f ca="1">IFERROR(VLOOKUP(J$2,Rango_Admin_DailyPred,MATCH($F40,Rango_Admin_DailyPred_Primera,0)+1,0),"-")</f>
        <v>0</v>
      </c>
      <c r="K40" s="429">
        <f ca="1">IFERROR(VLOOKUP(K$2,Rango_Admin_DailyPred,MATCH($F40,Rango_Admin_DailyPred_Primera,0)+1,0),"-")</f>
        <v>0</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0</v>
      </c>
      <c r="Q40" s="429">
        <f ca="1">IFERROR(VLOOKUP(Q$2,Rango_Admin_DailyPred,MATCH($F40,Rango_Admin_DailyPred_Primera,0)+1,0),"-")</f>
        <v>0</v>
      </c>
      <c r="R40" s="429">
        <f ca="1">IFERROR(VLOOKUP(R$2,Rango_Admin_DailyPred,MATCH($F40,Rango_Admin_DailyPred_Primera,0)+1,0),"-")</f>
        <v>0</v>
      </c>
      <c r="S40" s="429" t="str">
        <f ca="1">IFERROR(VLOOKUP(S$2,Rango_Admin_DailyPred,MATCH($F40,Rango_Admin_DailyPred_Primera,0)+1,0),"-")</f>
        <v>-</v>
      </c>
      <c r="T40" s="429" t="str">
        <f ca="1">IFERROR(VLOOKUP(T$2,Rango_Admin_DailyPred,MATCH($F40,Rango_Admin_DailyPred_Primera,0)+1,0),"-")</f>
        <v>-</v>
      </c>
      <c r="U40" s="429" t="str">
        <f ca="1">IFERROR(VLOOKUP(U$2,Rango_Admin_DailyPred,MATCH($F40,Rango_Admin_DailyPred_Primera,0)+1,0),"-")</f>
        <v>-</v>
      </c>
      <c r="V40" s="429" t="str">
        <f ca="1">IFERROR(VLOOKUP(V$2,Rango_Admin_DailyPred,MATCH($F40,Rango_Admin_DailyPred_Primera,0)+1,0),"-")</f>
        <v>-</v>
      </c>
      <c r="W40" s="429" t="str">
        <f ca="1">IFERROR(VLOOKUP(W$2,Rango_Admin_DailyPred,MATCH($F40,Rango_Admin_DailyPred_Primera,0)+1,0),"-")</f>
        <v>-</v>
      </c>
      <c r="X40" s="429" t="str">
        <f ca="1">IFERROR(VLOOKUP(X$2,Rango_Admin_DailyPred,MATCH($F40,Rango_Admin_DailyPred_Primera,0)+1,0),"-")</f>
        <v>-</v>
      </c>
      <c r="Y40" s="429" t="str">
        <f ca="1">IFERROR(VLOOKUP(Y$2,Rango_Admin_DailyPred,MATCH($F40,Rango_Admin_DailyPred_Primera,0)+1,0),"-")</f>
        <v>-</v>
      </c>
      <c r="Z40" s="429" t="str">
        <f ca="1">IFERROR(VLOOKUP(Z$2,Rango_Admin_DailyPred,MATCH($F40,Rango_Admin_DailyPred_Primera,0)+1,0),"-")</f>
        <v>-</v>
      </c>
      <c r="AA40" s="429" t="str">
        <f ca="1">IFERROR(VLOOKUP(AA$2,Rango_Admin_DailyPred,MATCH($F40,Rango_Admin_DailyPred_Primera,0)+1,0),"-")</f>
        <v>-</v>
      </c>
      <c r="AB40" s="429" t="str">
        <f ca="1">IFERROR(VLOOKUP(AB$2,Rango_Admin_DailyPred,MATCH($F40,Rango_Admin_DailyPred_Primera,0)+1,0),"-")</f>
        <v>-</v>
      </c>
      <c r="AC40" s="429" t="str">
        <f ca="1">IFERROR(VLOOKUP(AC$2,Rango_Admin_DailyPred,MATCH($F40,Rango_Admin_DailyPred_Primera,0)+1,0),"-")</f>
        <v>-</v>
      </c>
      <c r="AD40" s="429" t="str">
        <f ca="1">IFERROR(VLOOKUP(AD$2,Rango_Admin_DailyPred,MATCH($F40,Rango_Admin_DailyPred_Primera,0)+1,0),"-")</f>
        <v>-</v>
      </c>
      <c r="AE40" s="429" t="str">
        <f ca="1">IFERROR(VLOOKUP(AE$2,Rango_Admin_DailyPred,MATCH($F40,Rango_Admin_DailyPred_Primera,0)+1,0),"-")</f>
        <v>-</v>
      </c>
      <c r="AF40" s="429" t="str">
        <f ca="1">IFERROR(VLOOKUP(AF$2,Rango_Admin_DailyPred,MATCH($F40,Rango_Admin_DailyPred_Primera,0)+1,0),"-")</f>
        <v>-</v>
      </c>
      <c r="AG40" s="429" t="str">
        <f ca="1">IFERROR(VLOOKUP(AG$2,Rango_Admin_DailyPred,MATCH($F40,Rango_Admin_DailyPred_Primera,0)+1,0),"-")</f>
        <v>-</v>
      </c>
      <c r="AH40" s="429" t="str">
        <f ca="1">IFERROR(VLOOKUP(AH$2,Rango_Admin_DailyPred,MATCH($F40,Rango_Admin_DailyPred_Primera,0)+1,0),"-")</f>
        <v>-</v>
      </c>
      <c r="AI40" s="429" t="str">
        <f ca="1">IFERROR(VLOOKUP(AI$2,Rango_Admin_DailyPred,MATCH($F40,Rango_Admin_DailyPred_Primera,0)+1,0),"-")</f>
        <v>-</v>
      </c>
      <c r="AJ40" s="429" t="str">
        <f ca="1">IFERROR(VLOOKUP(AJ$2,Rango_Admin_DailyPred,MATCH($F40,Rango_Admin_DailyPred_Primera,0)+1,0),"-")</f>
        <v>-</v>
      </c>
      <c r="AK40" s="429" t="str">
        <f ca="1">IFERROR(VLOOKUP(AK$2,Rango_Admin_DailyPred,MATCH($F40,Rango_Admin_DailyPred_Primera,0)+1,0),"-")</f>
        <v>-</v>
      </c>
      <c r="AL40" s="429" t="str">
        <f ca="1">IFERROR(VLOOKUP(AL$2,Rango_Admin_DailyPred,MATCH($F40,Rango_Admin_DailyPred_Primera,0)+1,0),"-")</f>
        <v>-</v>
      </c>
      <c r="AM40" s="429" t="str">
        <f ca="1">IFERROR(VLOOKUP(AM$2,Rango_Admin_DailyPred,MATCH($F40,Rango_Admin_DailyPred_Primera,0)+1,0),"-")</f>
        <v>-</v>
      </c>
      <c r="AN40" s="297"/>
    </row>
    <row r="41" spans="1:40">
      <c r="A41" s="8"/>
      <c r="B41" s="8"/>
      <c r="C41" s="8">
        <v>38</v>
      </c>
      <c r="D41" s="19"/>
      <c r="E41" s="409">
        <f ca="1">IFERROR(HLOOKUP(C41,Rango_Admin_DailyClas,3,FALSE),"-")</f>
        <v>33</v>
      </c>
      <c r="F41" s="448" t="str">
        <f ca="1">IFERROR(HLOOKUP(C41,Rango_Admin_DailyClas,5,FALSE),"-")</f>
        <v>BeliBeltrán</v>
      </c>
      <c r="G41" s="22">
        <f ca="1">IFERROR(HLOOKUP(C41,Rango_Admin_DailyClas,4,FALSE),"-")</f>
        <v>0</v>
      </c>
      <c r="H41" s="429">
        <f ca="1">IFERROR(VLOOKUP(H$2,Rango_Admin_DailyPred,MATCH($F41,Rango_Admin_DailyPred_Primera,0)+1,0),"-")</f>
        <v>0</v>
      </c>
      <c r="I41" s="429">
        <f ca="1">IFERROR(VLOOKUP(I$2,Rango_Admin_DailyPred,MATCH($F41,Rango_Admin_DailyPred_Primera,0)+1,0),"-")</f>
        <v>0</v>
      </c>
      <c r="J41" s="429">
        <f ca="1">IFERROR(VLOOKUP(J$2,Rango_Admin_DailyPred,MATCH($F41,Rango_Admin_DailyPred_Primera,0)+1,0),"-")</f>
        <v>0</v>
      </c>
      <c r="K41" s="429">
        <f ca="1">IFERROR(VLOOKUP(K$2,Rango_Admin_DailyPred,MATCH($F41,Rango_Admin_DailyPred_Primera,0)+1,0),"-")</f>
        <v>0</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t="str">
        <f ca="1">IFERROR(VLOOKUP(S$2,Rango_Admin_DailyPred,MATCH($F41,Rango_Admin_DailyPred_Primera,0)+1,0),"-")</f>
        <v>-</v>
      </c>
      <c r="T41" s="429" t="str">
        <f ca="1">IFERROR(VLOOKUP(T$2,Rango_Admin_DailyPred,MATCH($F41,Rango_Admin_DailyPred_Primera,0)+1,0),"-")</f>
        <v>-</v>
      </c>
      <c r="U41" s="429" t="str">
        <f ca="1">IFERROR(VLOOKUP(U$2,Rango_Admin_DailyPred,MATCH($F41,Rango_Admin_DailyPred_Primera,0)+1,0),"-")</f>
        <v>-</v>
      </c>
      <c r="V41" s="429" t="str">
        <f ca="1">IFERROR(VLOOKUP(V$2,Rango_Admin_DailyPred,MATCH($F41,Rango_Admin_DailyPred_Primera,0)+1,0),"-")</f>
        <v>-</v>
      </c>
      <c r="W41" s="429" t="str">
        <f ca="1">IFERROR(VLOOKUP(W$2,Rango_Admin_DailyPred,MATCH($F41,Rango_Admin_DailyPred_Primera,0)+1,0),"-")</f>
        <v>-</v>
      </c>
      <c r="X41" s="429" t="str">
        <f ca="1">IFERROR(VLOOKUP(X$2,Rango_Admin_DailyPred,MATCH($F41,Rango_Admin_DailyPred_Primera,0)+1,0),"-")</f>
        <v>-</v>
      </c>
      <c r="Y41" s="429" t="str">
        <f ca="1">IFERROR(VLOOKUP(Y$2,Rango_Admin_DailyPred,MATCH($F41,Rango_Admin_DailyPred_Primera,0)+1,0),"-")</f>
        <v>-</v>
      </c>
      <c r="Z41" s="429" t="str">
        <f ca="1">IFERROR(VLOOKUP(Z$2,Rango_Admin_DailyPred,MATCH($F41,Rango_Admin_DailyPred_Primera,0)+1,0),"-")</f>
        <v>-</v>
      </c>
      <c r="AA41" s="429" t="str">
        <f ca="1">IFERROR(VLOOKUP(AA$2,Rango_Admin_DailyPred,MATCH($F41,Rango_Admin_DailyPred_Primera,0)+1,0),"-")</f>
        <v>-</v>
      </c>
      <c r="AB41" s="429" t="str">
        <f ca="1">IFERROR(VLOOKUP(AB$2,Rango_Admin_DailyPred,MATCH($F41,Rango_Admin_DailyPred_Primera,0)+1,0),"-")</f>
        <v>-</v>
      </c>
      <c r="AC41" s="429" t="str">
        <f ca="1">IFERROR(VLOOKUP(AC$2,Rango_Admin_DailyPred,MATCH($F41,Rango_Admin_DailyPred_Primera,0)+1,0),"-")</f>
        <v>-</v>
      </c>
      <c r="AD41" s="429" t="str">
        <f ca="1">IFERROR(VLOOKUP(AD$2,Rango_Admin_DailyPred,MATCH($F41,Rango_Admin_DailyPred_Primera,0)+1,0),"-")</f>
        <v>-</v>
      </c>
      <c r="AE41" s="429" t="str">
        <f ca="1">IFERROR(VLOOKUP(AE$2,Rango_Admin_DailyPred,MATCH($F41,Rango_Admin_DailyPred_Primera,0)+1,0),"-")</f>
        <v>-</v>
      </c>
      <c r="AF41" s="429" t="str">
        <f ca="1">IFERROR(VLOOKUP(AF$2,Rango_Admin_DailyPred,MATCH($F41,Rango_Admin_DailyPred_Primera,0)+1,0),"-")</f>
        <v>-</v>
      </c>
      <c r="AG41" s="429" t="str">
        <f ca="1">IFERROR(VLOOKUP(AG$2,Rango_Admin_DailyPred,MATCH($F41,Rango_Admin_DailyPred_Primera,0)+1,0),"-")</f>
        <v>-</v>
      </c>
      <c r="AH41" s="429" t="str">
        <f ca="1">IFERROR(VLOOKUP(AH$2,Rango_Admin_DailyPred,MATCH($F41,Rango_Admin_DailyPred_Primera,0)+1,0),"-")</f>
        <v>-</v>
      </c>
      <c r="AI41" s="429" t="str">
        <f ca="1">IFERROR(VLOOKUP(AI$2,Rango_Admin_DailyPred,MATCH($F41,Rango_Admin_DailyPred_Primera,0)+1,0),"-")</f>
        <v>-</v>
      </c>
      <c r="AJ41" s="429" t="str">
        <f ca="1">IFERROR(VLOOKUP(AJ$2,Rango_Admin_DailyPred,MATCH($F41,Rango_Admin_DailyPred_Primera,0)+1,0),"-")</f>
        <v>-</v>
      </c>
      <c r="AK41" s="429" t="str">
        <f ca="1">IFERROR(VLOOKUP(AK$2,Rango_Admin_DailyPred,MATCH($F41,Rango_Admin_DailyPred_Primera,0)+1,0),"-")</f>
        <v>-</v>
      </c>
      <c r="AL41" s="429" t="str">
        <f ca="1">IFERROR(VLOOKUP(AL$2,Rango_Admin_DailyPred,MATCH($F41,Rango_Admin_DailyPred_Primera,0)+1,0),"-")</f>
        <v>-</v>
      </c>
      <c r="AM41" s="429" t="str">
        <f ca="1">IFERROR(VLOOKUP(AM$2,Rango_Admin_DailyPred,MATCH($F41,Rango_Admin_DailyPred_Primera,0)+1,0),"-")</f>
        <v>-</v>
      </c>
      <c r="AN41" s="297"/>
    </row>
    <row r="42" spans="1:40">
      <c r="A42" s="8"/>
      <c r="B42" s="8"/>
      <c r="C42" s="8">
        <v>39</v>
      </c>
      <c r="D42" s="19"/>
      <c r="E42" s="409">
        <f ca="1">IFERROR(HLOOKUP(C42,Rango_Admin_DailyClas,3,FALSE),"-")</f>
        <v>33</v>
      </c>
      <c r="F42" s="448" t="str">
        <f ca="1">IFERROR(HLOOKUP(C42,Rango_Admin_DailyClas,5,FALSE),"-")</f>
        <v>Vicuinho</v>
      </c>
      <c r="G42" s="22">
        <f ca="1">IFERROR(HLOOKUP(C42,Rango_Admin_DailyClas,4,FALSE),"-")</f>
        <v>0</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0</v>
      </c>
      <c r="S42" s="429" t="str">
        <f ca="1">IFERROR(VLOOKUP(S$2,Rango_Admin_DailyPred,MATCH($F42,Rango_Admin_DailyPred_Primera,0)+1,0),"-")</f>
        <v>-</v>
      </c>
      <c r="T42" s="429" t="str">
        <f ca="1">IFERROR(VLOOKUP(T$2,Rango_Admin_DailyPred,MATCH($F42,Rango_Admin_DailyPred_Primera,0)+1,0),"-")</f>
        <v>-</v>
      </c>
      <c r="U42" s="429" t="str">
        <f ca="1">IFERROR(VLOOKUP(U$2,Rango_Admin_DailyPred,MATCH($F42,Rango_Admin_DailyPred_Primera,0)+1,0),"-")</f>
        <v>-</v>
      </c>
      <c r="V42" s="429" t="str">
        <f ca="1">IFERROR(VLOOKUP(V$2,Rango_Admin_DailyPred,MATCH($F42,Rango_Admin_DailyPred_Primera,0)+1,0),"-")</f>
        <v>-</v>
      </c>
      <c r="W42" s="429" t="str">
        <f ca="1">IFERROR(VLOOKUP(W$2,Rango_Admin_DailyPred,MATCH($F42,Rango_Admin_DailyPred_Primera,0)+1,0),"-")</f>
        <v>-</v>
      </c>
      <c r="X42" s="429" t="str">
        <f ca="1">IFERROR(VLOOKUP(X$2,Rango_Admin_DailyPred,MATCH($F42,Rango_Admin_DailyPred_Primera,0)+1,0),"-")</f>
        <v>-</v>
      </c>
      <c r="Y42" s="429" t="str">
        <f ca="1">IFERROR(VLOOKUP(Y$2,Rango_Admin_DailyPred,MATCH($F42,Rango_Admin_DailyPred_Primera,0)+1,0),"-")</f>
        <v>-</v>
      </c>
      <c r="Z42" s="429" t="str">
        <f ca="1">IFERROR(VLOOKUP(Z$2,Rango_Admin_DailyPred,MATCH($F42,Rango_Admin_DailyPred_Primera,0)+1,0),"-")</f>
        <v>-</v>
      </c>
      <c r="AA42" s="429" t="str">
        <f ca="1">IFERROR(VLOOKUP(AA$2,Rango_Admin_DailyPred,MATCH($F42,Rango_Admin_DailyPred_Primera,0)+1,0),"-")</f>
        <v>-</v>
      </c>
      <c r="AB42" s="429" t="str">
        <f ca="1">IFERROR(VLOOKUP(AB$2,Rango_Admin_DailyPred,MATCH($F42,Rango_Admin_DailyPred_Primera,0)+1,0),"-")</f>
        <v>-</v>
      </c>
      <c r="AC42" s="429" t="str">
        <f ca="1">IFERROR(VLOOKUP(AC$2,Rango_Admin_DailyPred,MATCH($F42,Rango_Admin_DailyPred_Primera,0)+1,0),"-")</f>
        <v>-</v>
      </c>
      <c r="AD42" s="429" t="str">
        <f ca="1">IFERROR(VLOOKUP(AD$2,Rango_Admin_DailyPred,MATCH($F42,Rango_Admin_DailyPred_Primera,0)+1,0),"-")</f>
        <v>-</v>
      </c>
      <c r="AE42" s="429" t="str">
        <f ca="1">IFERROR(VLOOKUP(AE$2,Rango_Admin_DailyPred,MATCH($F42,Rango_Admin_DailyPred_Primera,0)+1,0),"-")</f>
        <v>-</v>
      </c>
      <c r="AF42" s="429" t="str">
        <f ca="1">IFERROR(VLOOKUP(AF$2,Rango_Admin_DailyPred,MATCH($F42,Rango_Admin_DailyPred_Primera,0)+1,0),"-")</f>
        <v>-</v>
      </c>
      <c r="AG42" s="429" t="str">
        <f ca="1">IFERROR(VLOOKUP(AG$2,Rango_Admin_DailyPred,MATCH($F42,Rango_Admin_DailyPred_Primera,0)+1,0),"-")</f>
        <v>-</v>
      </c>
      <c r="AH42" s="429" t="str">
        <f ca="1">IFERROR(VLOOKUP(AH$2,Rango_Admin_DailyPred,MATCH($F42,Rango_Admin_DailyPred_Primera,0)+1,0),"-")</f>
        <v>-</v>
      </c>
      <c r="AI42" s="429" t="str">
        <f ca="1">IFERROR(VLOOKUP(AI$2,Rango_Admin_DailyPred,MATCH($F42,Rango_Admin_DailyPred_Primera,0)+1,0),"-")</f>
        <v>-</v>
      </c>
      <c r="AJ42" s="429" t="str">
        <f ca="1">IFERROR(VLOOKUP(AJ$2,Rango_Admin_DailyPred,MATCH($F42,Rango_Admin_DailyPred_Primera,0)+1,0),"-")</f>
        <v>-</v>
      </c>
      <c r="AK42" s="429" t="str">
        <f ca="1">IFERROR(VLOOKUP(AK$2,Rango_Admin_DailyPred,MATCH($F42,Rango_Admin_DailyPred_Primera,0)+1,0),"-")</f>
        <v>-</v>
      </c>
      <c r="AL42" s="429" t="str">
        <f ca="1">IFERROR(VLOOKUP(AL$2,Rango_Admin_DailyPred,MATCH($F42,Rango_Admin_DailyPred_Primera,0)+1,0),"-")</f>
        <v>-</v>
      </c>
      <c r="AM42" s="429" t="str">
        <f ca="1">IFERROR(VLOOKUP(AM$2,Rango_Admin_DailyPred,MATCH($F42,Rango_Admin_DailyPred_Primera,0)+1,0),"-")</f>
        <v>-</v>
      </c>
      <c r="AN42" s="297"/>
    </row>
    <row r="43" spans="1:40">
      <c r="A43" s="8"/>
      <c r="B43" s="8"/>
      <c r="C43" s="8">
        <v>40</v>
      </c>
      <c r="D43" s="19"/>
      <c r="E43" s="409">
        <f ca="1">IFERROR(HLOOKUP(C43,Rango_Admin_DailyClas,3,FALSE),"-")</f>
        <v>33</v>
      </c>
      <c r="F43" s="448" t="str">
        <f ca="1">IFERROR(HLOOKUP(C43,Rango_Admin_DailyClas,5,FALSE),"-")</f>
        <v>Miguel Suárez-Zuloaga</v>
      </c>
      <c r="G43" s="22">
        <f ca="1">IFERROR(HLOOKUP(C43,Rango_Admin_DailyClas,4,FALSE),"-")</f>
        <v>0</v>
      </c>
      <c r="H43" s="429">
        <f ca="1">IFERROR(VLOOKUP(H$2,Rango_Admin_DailyPred,MATCH($F43,Rango_Admin_DailyPred_Primera,0)+1,0),"-")</f>
        <v>0</v>
      </c>
      <c r="I43" s="429">
        <f ca="1">IFERROR(VLOOKUP(I$2,Rango_Admin_DailyPred,MATCH($F43,Rango_Admin_DailyPred_Primera,0)+1,0),"-")</f>
        <v>0</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0</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0</v>
      </c>
      <c r="S43" s="429" t="str">
        <f ca="1">IFERROR(VLOOKUP(S$2,Rango_Admin_DailyPred,MATCH($F43,Rango_Admin_DailyPred_Primera,0)+1,0),"-")</f>
        <v>-</v>
      </c>
      <c r="T43" s="429" t="str">
        <f ca="1">IFERROR(VLOOKUP(T$2,Rango_Admin_DailyPred,MATCH($F43,Rango_Admin_DailyPred_Primera,0)+1,0),"-")</f>
        <v>-</v>
      </c>
      <c r="U43" s="429" t="str">
        <f ca="1">IFERROR(VLOOKUP(U$2,Rango_Admin_DailyPred,MATCH($F43,Rango_Admin_DailyPred_Primera,0)+1,0),"-")</f>
        <v>-</v>
      </c>
      <c r="V43" s="429" t="str">
        <f ca="1">IFERROR(VLOOKUP(V$2,Rango_Admin_DailyPred,MATCH($F43,Rango_Admin_DailyPred_Primera,0)+1,0),"-")</f>
        <v>-</v>
      </c>
      <c r="W43" s="429" t="str">
        <f ca="1">IFERROR(VLOOKUP(W$2,Rango_Admin_DailyPred,MATCH($F43,Rango_Admin_DailyPred_Primera,0)+1,0),"-")</f>
        <v>-</v>
      </c>
      <c r="X43" s="429" t="str">
        <f ca="1">IFERROR(VLOOKUP(X$2,Rango_Admin_DailyPred,MATCH($F43,Rango_Admin_DailyPred_Primera,0)+1,0),"-")</f>
        <v>-</v>
      </c>
      <c r="Y43" s="429" t="str">
        <f ca="1">IFERROR(VLOOKUP(Y$2,Rango_Admin_DailyPred,MATCH($F43,Rango_Admin_DailyPred_Primera,0)+1,0),"-")</f>
        <v>-</v>
      </c>
      <c r="Z43" s="429" t="str">
        <f ca="1">IFERROR(VLOOKUP(Z$2,Rango_Admin_DailyPred,MATCH($F43,Rango_Admin_DailyPred_Primera,0)+1,0),"-")</f>
        <v>-</v>
      </c>
      <c r="AA43" s="429" t="str">
        <f ca="1">IFERROR(VLOOKUP(AA$2,Rango_Admin_DailyPred,MATCH($F43,Rango_Admin_DailyPred_Primera,0)+1,0),"-")</f>
        <v>-</v>
      </c>
      <c r="AB43" s="429" t="str">
        <f ca="1">IFERROR(VLOOKUP(AB$2,Rango_Admin_DailyPred,MATCH($F43,Rango_Admin_DailyPred_Primera,0)+1,0),"-")</f>
        <v>-</v>
      </c>
      <c r="AC43" s="429" t="str">
        <f ca="1">IFERROR(VLOOKUP(AC$2,Rango_Admin_DailyPred,MATCH($F43,Rango_Admin_DailyPred_Primera,0)+1,0),"-")</f>
        <v>-</v>
      </c>
      <c r="AD43" s="429" t="str">
        <f ca="1">IFERROR(VLOOKUP(AD$2,Rango_Admin_DailyPred,MATCH($F43,Rango_Admin_DailyPred_Primera,0)+1,0),"-")</f>
        <v>-</v>
      </c>
      <c r="AE43" s="429" t="str">
        <f ca="1">IFERROR(VLOOKUP(AE$2,Rango_Admin_DailyPred,MATCH($F43,Rango_Admin_DailyPred_Primera,0)+1,0),"-")</f>
        <v>-</v>
      </c>
      <c r="AF43" s="429" t="str">
        <f ca="1">IFERROR(VLOOKUP(AF$2,Rango_Admin_DailyPred,MATCH($F43,Rango_Admin_DailyPred_Primera,0)+1,0),"-")</f>
        <v>-</v>
      </c>
      <c r="AG43" s="429" t="str">
        <f ca="1">IFERROR(VLOOKUP(AG$2,Rango_Admin_DailyPred,MATCH($F43,Rango_Admin_DailyPred_Primera,0)+1,0),"-")</f>
        <v>-</v>
      </c>
      <c r="AH43" s="429" t="str">
        <f ca="1">IFERROR(VLOOKUP(AH$2,Rango_Admin_DailyPred,MATCH($F43,Rango_Admin_DailyPred_Primera,0)+1,0),"-")</f>
        <v>-</v>
      </c>
      <c r="AI43" s="429" t="str">
        <f ca="1">IFERROR(VLOOKUP(AI$2,Rango_Admin_DailyPred,MATCH($F43,Rango_Admin_DailyPred_Primera,0)+1,0),"-")</f>
        <v>-</v>
      </c>
      <c r="AJ43" s="429" t="str">
        <f ca="1">IFERROR(VLOOKUP(AJ$2,Rango_Admin_DailyPred,MATCH($F43,Rango_Admin_DailyPred_Primera,0)+1,0),"-")</f>
        <v>-</v>
      </c>
      <c r="AK43" s="429" t="str">
        <f ca="1">IFERROR(VLOOKUP(AK$2,Rango_Admin_DailyPred,MATCH($F43,Rango_Admin_DailyPred_Primera,0)+1,0),"-")</f>
        <v>-</v>
      </c>
      <c r="AL43" s="429" t="str">
        <f ca="1">IFERROR(VLOOKUP(AL$2,Rango_Admin_DailyPred,MATCH($F43,Rango_Admin_DailyPred_Primera,0)+1,0),"-")</f>
        <v>-</v>
      </c>
      <c r="AM43" s="429" t="str">
        <f ca="1">IFERROR(VLOOKUP(AM$2,Rango_Admin_DailyPred,MATCH($F43,Rango_Admin_DailyPred_Primera,0)+1,0),"-")</f>
        <v>-</v>
      </c>
      <c r="AN43" s="297"/>
    </row>
    <row r="44" spans="1:40">
      <c r="A44" s="8"/>
      <c r="B44" s="8"/>
      <c r="C44" s="8">
        <v>41</v>
      </c>
      <c r="D44" s="19"/>
      <c r="E44" s="409">
        <f ca="1">IFERROR(HLOOKUP(C44,Rango_Admin_DailyClas,3,FALSE),"-")</f>
        <v>33</v>
      </c>
      <c r="F44" s="448" t="str">
        <f ca="1">IFERROR(HLOOKUP(C44,Rango_Admin_DailyClas,5,FALSE),"-")</f>
        <v>Gratacós</v>
      </c>
      <c r="G44" s="22">
        <f ca="1">IFERROR(HLOOKUP(C44,Rango_Admin_DailyClas,4,FALSE),"-")</f>
        <v>0</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0</v>
      </c>
      <c r="S44" s="429" t="str">
        <f ca="1">IFERROR(VLOOKUP(S$2,Rango_Admin_DailyPred,MATCH($F44,Rango_Admin_DailyPred_Primera,0)+1,0),"-")</f>
        <v>-</v>
      </c>
      <c r="T44" s="429" t="str">
        <f ca="1">IFERROR(VLOOKUP(T$2,Rango_Admin_DailyPred,MATCH($F44,Rango_Admin_DailyPred_Primera,0)+1,0),"-")</f>
        <v>-</v>
      </c>
      <c r="U44" s="429" t="str">
        <f ca="1">IFERROR(VLOOKUP(U$2,Rango_Admin_DailyPred,MATCH($F44,Rango_Admin_DailyPred_Primera,0)+1,0),"-")</f>
        <v>-</v>
      </c>
      <c r="V44" s="429" t="str">
        <f ca="1">IFERROR(VLOOKUP(V$2,Rango_Admin_DailyPred,MATCH($F44,Rango_Admin_DailyPred_Primera,0)+1,0),"-")</f>
        <v>-</v>
      </c>
      <c r="W44" s="429" t="str">
        <f ca="1">IFERROR(VLOOKUP(W$2,Rango_Admin_DailyPred,MATCH($F44,Rango_Admin_DailyPred_Primera,0)+1,0),"-")</f>
        <v>-</v>
      </c>
      <c r="X44" s="429" t="str">
        <f ca="1">IFERROR(VLOOKUP(X$2,Rango_Admin_DailyPred,MATCH($F44,Rango_Admin_DailyPred_Primera,0)+1,0),"-")</f>
        <v>-</v>
      </c>
      <c r="Y44" s="429" t="str">
        <f ca="1">IFERROR(VLOOKUP(Y$2,Rango_Admin_DailyPred,MATCH($F44,Rango_Admin_DailyPred_Primera,0)+1,0),"-")</f>
        <v>-</v>
      </c>
      <c r="Z44" s="429" t="str">
        <f ca="1">IFERROR(VLOOKUP(Z$2,Rango_Admin_DailyPred,MATCH($F44,Rango_Admin_DailyPred_Primera,0)+1,0),"-")</f>
        <v>-</v>
      </c>
      <c r="AA44" s="429" t="str">
        <f ca="1">IFERROR(VLOOKUP(AA$2,Rango_Admin_DailyPred,MATCH($F44,Rango_Admin_DailyPred_Primera,0)+1,0),"-")</f>
        <v>-</v>
      </c>
      <c r="AB44" s="429" t="str">
        <f ca="1">IFERROR(VLOOKUP(AB$2,Rango_Admin_DailyPred,MATCH($F44,Rango_Admin_DailyPred_Primera,0)+1,0),"-")</f>
        <v>-</v>
      </c>
      <c r="AC44" s="429" t="str">
        <f ca="1">IFERROR(VLOOKUP(AC$2,Rango_Admin_DailyPred,MATCH($F44,Rango_Admin_DailyPred_Primera,0)+1,0),"-")</f>
        <v>-</v>
      </c>
      <c r="AD44" s="429" t="str">
        <f ca="1">IFERROR(VLOOKUP(AD$2,Rango_Admin_DailyPred,MATCH($F44,Rango_Admin_DailyPred_Primera,0)+1,0),"-")</f>
        <v>-</v>
      </c>
      <c r="AE44" s="429" t="str">
        <f ca="1">IFERROR(VLOOKUP(AE$2,Rango_Admin_DailyPred,MATCH($F44,Rango_Admin_DailyPred_Primera,0)+1,0),"-")</f>
        <v>-</v>
      </c>
      <c r="AF44" s="429" t="str">
        <f ca="1">IFERROR(VLOOKUP(AF$2,Rango_Admin_DailyPred,MATCH($F44,Rango_Admin_DailyPred_Primera,0)+1,0),"-")</f>
        <v>-</v>
      </c>
      <c r="AG44" s="429" t="str">
        <f ca="1">IFERROR(VLOOKUP(AG$2,Rango_Admin_DailyPred,MATCH($F44,Rango_Admin_DailyPred_Primera,0)+1,0),"-")</f>
        <v>-</v>
      </c>
      <c r="AH44" s="429" t="str">
        <f ca="1">IFERROR(VLOOKUP(AH$2,Rango_Admin_DailyPred,MATCH($F44,Rango_Admin_DailyPred_Primera,0)+1,0),"-")</f>
        <v>-</v>
      </c>
      <c r="AI44" s="429" t="str">
        <f ca="1">IFERROR(VLOOKUP(AI$2,Rango_Admin_DailyPred,MATCH($F44,Rango_Admin_DailyPred_Primera,0)+1,0),"-")</f>
        <v>-</v>
      </c>
      <c r="AJ44" s="429" t="str">
        <f ca="1">IFERROR(VLOOKUP(AJ$2,Rango_Admin_DailyPred,MATCH($F44,Rango_Admin_DailyPred_Primera,0)+1,0),"-")</f>
        <v>-</v>
      </c>
      <c r="AK44" s="429" t="str">
        <f ca="1">IFERROR(VLOOKUP(AK$2,Rango_Admin_DailyPred,MATCH($F44,Rango_Admin_DailyPred_Primera,0)+1,0),"-")</f>
        <v>-</v>
      </c>
      <c r="AL44" s="429" t="str">
        <f ca="1">IFERROR(VLOOKUP(AL$2,Rango_Admin_DailyPred,MATCH($F44,Rango_Admin_DailyPred_Primera,0)+1,0),"-")</f>
        <v>-</v>
      </c>
      <c r="AM44" s="429" t="str">
        <f ca="1">IFERROR(VLOOKUP(AM$2,Rango_Admin_DailyPred,MATCH($F44,Rango_Admin_DailyPred_Primera,0)+1,0),"-")</f>
        <v>-</v>
      </c>
      <c r="AN44" s="297"/>
    </row>
    <row r="45" spans="1:40">
      <c r="A45" s="8"/>
      <c r="B45" s="8"/>
      <c r="C45" s="8">
        <v>42</v>
      </c>
      <c r="D45" s="19"/>
      <c r="E45" s="409">
        <f ca="1">IFERROR(HLOOKUP(C45,Rango_Admin_DailyClas,3,FALSE),"-")</f>
        <v>33</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t="str">
        <f ca="1">IFERROR(VLOOKUP(S$2,Rango_Admin_DailyPred,MATCH($F45,Rango_Admin_DailyPred_Primera,0)+1,0),"-")</f>
        <v>-</v>
      </c>
      <c r="T45" s="429" t="str">
        <f ca="1">IFERROR(VLOOKUP(T$2,Rango_Admin_DailyPred,MATCH($F45,Rango_Admin_DailyPred_Primera,0)+1,0),"-")</f>
        <v>-</v>
      </c>
      <c r="U45" s="429" t="str">
        <f ca="1">IFERROR(VLOOKUP(U$2,Rango_Admin_DailyPred,MATCH($F45,Rango_Admin_DailyPred_Primera,0)+1,0),"-")</f>
        <v>-</v>
      </c>
      <c r="V45" s="429" t="str">
        <f ca="1">IFERROR(VLOOKUP(V$2,Rango_Admin_DailyPred,MATCH($F45,Rango_Admin_DailyPred_Primera,0)+1,0),"-")</f>
        <v>-</v>
      </c>
      <c r="W45" s="429" t="str">
        <f ca="1">IFERROR(VLOOKUP(W$2,Rango_Admin_DailyPred,MATCH($F45,Rango_Admin_DailyPred_Primera,0)+1,0),"-")</f>
        <v>-</v>
      </c>
      <c r="X45" s="429" t="str">
        <f ca="1">IFERROR(VLOOKUP(X$2,Rango_Admin_DailyPred,MATCH($F45,Rango_Admin_DailyPred_Primera,0)+1,0),"-")</f>
        <v>-</v>
      </c>
      <c r="Y45" s="429" t="str">
        <f ca="1">IFERROR(VLOOKUP(Y$2,Rango_Admin_DailyPred,MATCH($F45,Rango_Admin_DailyPred_Primera,0)+1,0),"-")</f>
        <v>-</v>
      </c>
      <c r="Z45" s="429" t="str">
        <f ca="1">IFERROR(VLOOKUP(Z$2,Rango_Admin_DailyPred,MATCH($F45,Rango_Admin_DailyPred_Primera,0)+1,0),"-")</f>
        <v>-</v>
      </c>
      <c r="AA45" s="429" t="str">
        <f ca="1">IFERROR(VLOOKUP(AA$2,Rango_Admin_DailyPred,MATCH($F45,Rango_Admin_DailyPred_Primera,0)+1,0),"-")</f>
        <v>-</v>
      </c>
      <c r="AB45" s="429" t="str">
        <f ca="1">IFERROR(VLOOKUP(AB$2,Rango_Admin_DailyPred,MATCH($F45,Rango_Admin_DailyPred_Primera,0)+1,0),"-")</f>
        <v>-</v>
      </c>
      <c r="AC45" s="429" t="str">
        <f ca="1">IFERROR(VLOOKUP(AC$2,Rango_Admin_DailyPred,MATCH($F45,Rango_Admin_DailyPred_Primera,0)+1,0),"-")</f>
        <v>-</v>
      </c>
      <c r="AD45" s="429" t="str">
        <f ca="1">IFERROR(VLOOKUP(AD$2,Rango_Admin_DailyPred,MATCH($F45,Rango_Admin_DailyPred_Primera,0)+1,0),"-")</f>
        <v>-</v>
      </c>
      <c r="AE45" s="429" t="str">
        <f ca="1">IFERROR(VLOOKUP(AE$2,Rango_Admin_DailyPred,MATCH($F45,Rango_Admin_DailyPred_Primera,0)+1,0),"-")</f>
        <v>-</v>
      </c>
      <c r="AF45" s="429" t="str">
        <f ca="1">IFERROR(VLOOKUP(AF$2,Rango_Admin_DailyPred,MATCH($F45,Rango_Admin_DailyPred_Primera,0)+1,0),"-")</f>
        <v>-</v>
      </c>
      <c r="AG45" s="429" t="str">
        <f ca="1">IFERROR(VLOOKUP(AG$2,Rango_Admin_DailyPred,MATCH($F45,Rango_Admin_DailyPred_Primera,0)+1,0),"-")</f>
        <v>-</v>
      </c>
      <c r="AH45" s="429" t="str">
        <f ca="1">IFERROR(VLOOKUP(AH$2,Rango_Admin_DailyPred,MATCH($F45,Rango_Admin_DailyPred_Primera,0)+1,0),"-")</f>
        <v>-</v>
      </c>
      <c r="AI45" s="429" t="str">
        <f ca="1">IFERROR(VLOOKUP(AI$2,Rango_Admin_DailyPred,MATCH($F45,Rango_Admin_DailyPred_Primera,0)+1,0),"-")</f>
        <v>-</v>
      </c>
      <c r="AJ45" s="429" t="str">
        <f ca="1">IFERROR(VLOOKUP(AJ$2,Rango_Admin_DailyPred,MATCH($F45,Rango_Admin_DailyPred_Primera,0)+1,0),"-")</f>
        <v>-</v>
      </c>
      <c r="AK45" s="429" t="str">
        <f ca="1">IFERROR(VLOOKUP(AK$2,Rango_Admin_DailyPred,MATCH($F45,Rango_Admin_DailyPred_Primera,0)+1,0),"-")</f>
        <v>-</v>
      </c>
      <c r="AL45" s="429" t="str">
        <f ca="1">IFERROR(VLOOKUP(AL$2,Rango_Admin_DailyPred,MATCH($F45,Rango_Admin_DailyPred_Primera,0)+1,0),"-")</f>
        <v>-</v>
      </c>
      <c r="AM45" s="429" t="str">
        <f ca="1">IFERROR(VLOOKUP(AM$2,Rango_Admin_DailyPred,MATCH($F45,Rango_Admin_DailyPred_Primera,0)+1,0),"-")</f>
        <v>-</v>
      </c>
      <c r="AN45" s="297"/>
    </row>
    <row r="46" spans="1:40">
      <c r="A46" s="8"/>
      <c r="B46" s="8"/>
      <c r="C46" s="8">
        <v>43</v>
      </c>
      <c r="D46" s="19"/>
      <c r="E46" s="409">
        <f ca="1">IFERROR(HLOOKUP(C46,Rango_Admin_DailyClas,3,FALSE),"-")</f>
        <v>33</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t="str">
        <f ca="1">IFERROR(VLOOKUP(S$2,Rango_Admin_DailyPred,MATCH($F46,Rango_Admin_DailyPred_Primera,0)+1,0),"-")</f>
        <v>-</v>
      </c>
      <c r="T46" s="429" t="str">
        <f ca="1">IFERROR(VLOOKUP(T$2,Rango_Admin_DailyPred,MATCH($F46,Rango_Admin_DailyPred_Primera,0)+1,0),"-")</f>
        <v>-</v>
      </c>
      <c r="U46" s="429" t="str">
        <f ca="1">IFERROR(VLOOKUP(U$2,Rango_Admin_DailyPred,MATCH($F46,Rango_Admin_DailyPred_Primera,0)+1,0),"-")</f>
        <v>-</v>
      </c>
      <c r="V46" s="429" t="str">
        <f ca="1">IFERROR(VLOOKUP(V$2,Rango_Admin_DailyPred,MATCH($F46,Rango_Admin_DailyPred_Primera,0)+1,0),"-")</f>
        <v>-</v>
      </c>
      <c r="W46" s="429" t="str">
        <f ca="1">IFERROR(VLOOKUP(W$2,Rango_Admin_DailyPred,MATCH($F46,Rango_Admin_DailyPred_Primera,0)+1,0),"-")</f>
        <v>-</v>
      </c>
      <c r="X46" s="429" t="str">
        <f ca="1">IFERROR(VLOOKUP(X$2,Rango_Admin_DailyPred,MATCH($F46,Rango_Admin_DailyPred_Primera,0)+1,0),"-")</f>
        <v>-</v>
      </c>
      <c r="Y46" s="429" t="str">
        <f ca="1">IFERROR(VLOOKUP(Y$2,Rango_Admin_DailyPred,MATCH($F46,Rango_Admin_DailyPred_Primera,0)+1,0),"-")</f>
        <v>-</v>
      </c>
      <c r="Z46" s="429" t="str">
        <f ca="1">IFERROR(VLOOKUP(Z$2,Rango_Admin_DailyPred,MATCH($F46,Rango_Admin_DailyPred_Primera,0)+1,0),"-")</f>
        <v>-</v>
      </c>
      <c r="AA46" s="429" t="str">
        <f ca="1">IFERROR(VLOOKUP(AA$2,Rango_Admin_DailyPred,MATCH($F46,Rango_Admin_DailyPred_Primera,0)+1,0),"-")</f>
        <v>-</v>
      </c>
      <c r="AB46" s="429" t="str">
        <f ca="1">IFERROR(VLOOKUP(AB$2,Rango_Admin_DailyPred,MATCH($F46,Rango_Admin_DailyPred_Primera,0)+1,0),"-")</f>
        <v>-</v>
      </c>
      <c r="AC46" s="429" t="str">
        <f ca="1">IFERROR(VLOOKUP(AC$2,Rango_Admin_DailyPred,MATCH($F46,Rango_Admin_DailyPred_Primera,0)+1,0),"-")</f>
        <v>-</v>
      </c>
      <c r="AD46" s="429" t="str">
        <f ca="1">IFERROR(VLOOKUP(AD$2,Rango_Admin_DailyPred,MATCH($F46,Rango_Admin_DailyPred_Primera,0)+1,0),"-")</f>
        <v>-</v>
      </c>
      <c r="AE46" s="429" t="str">
        <f ca="1">IFERROR(VLOOKUP(AE$2,Rango_Admin_DailyPred,MATCH($F46,Rango_Admin_DailyPred_Primera,0)+1,0),"-")</f>
        <v>-</v>
      </c>
      <c r="AF46" s="429" t="str">
        <f ca="1">IFERROR(VLOOKUP(AF$2,Rango_Admin_DailyPred,MATCH($F46,Rango_Admin_DailyPred_Primera,0)+1,0),"-")</f>
        <v>-</v>
      </c>
      <c r="AG46" s="429" t="str">
        <f ca="1">IFERROR(VLOOKUP(AG$2,Rango_Admin_DailyPred,MATCH($F46,Rango_Admin_DailyPred_Primera,0)+1,0),"-")</f>
        <v>-</v>
      </c>
      <c r="AH46" s="429" t="str">
        <f ca="1">IFERROR(VLOOKUP(AH$2,Rango_Admin_DailyPred,MATCH($F46,Rango_Admin_DailyPred_Primera,0)+1,0),"-")</f>
        <v>-</v>
      </c>
      <c r="AI46" s="429" t="str">
        <f ca="1">IFERROR(VLOOKUP(AI$2,Rango_Admin_DailyPred,MATCH($F46,Rango_Admin_DailyPred_Primera,0)+1,0),"-")</f>
        <v>-</v>
      </c>
      <c r="AJ46" s="429" t="str">
        <f ca="1">IFERROR(VLOOKUP(AJ$2,Rango_Admin_DailyPred,MATCH($F46,Rango_Admin_DailyPred_Primera,0)+1,0),"-")</f>
        <v>-</v>
      </c>
      <c r="AK46" s="429" t="str">
        <f ca="1">IFERROR(VLOOKUP(AK$2,Rango_Admin_DailyPred,MATCH($F46,Rango_Admin_DailyPred_Primera,0)+1,0),"-")</f>
        <v>-</v>
      </c>
      <c r="AL46" s="429" t="str">
        <f ca="1">IFERROR(VLOOKUP(AL$2,Rango_Admin_DailyPred,MATCH($F46,Rango_Admin_DailyPred_Primera,0)+1,0),"-")</f>
        <v>-</v>
      </c>
      <c r="AM46" s="429" t="str">
        <f ca="1">IFERROR(VLOOKUP(AM$2,Rango_Admin_DailyPred,MATCH($F46,Rango_Admin_DailyPred_Primera,0)+1,0),"-")</f>
        <v>-</v>
      </c>
      <c r="AN46" s="297"/>
    </row>
    <row r="47" spans="1:40">
      <c r="A47" s="8"/>
      <c r="B47" s="8"/>
      <c r="C47" s="8">
        <v>44</v>
      </c>
      <c r="D47" s="19"/>
      <c r="E47" s="409">
        <f ca="1">IFERROR(HLOOKUP(C47,Rango_Admin_DailyClas,3,FALSE),"-")</f>
        <v>33</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t="str">
        <f ca="1">IFERROR(VLOOKUP(S$2,Rango_Admin_DailyPred,MATCH($F47,Rango_Admin_DailyPred_Primera,0)+1,0),"-")</f>
        <v>-</v>
      </c>
      <c r="T47" s="429" t="str">
        <f ca="1">IFERROR(VLOOKUP(T$2,Rango_Admin_DailyPred,MATCH($F47,Rango_Admin_DailyPred_Primera,0)+1,0),"-")</f>
        <v>-</v>
      </c>
      <c r="U47" s="429" t="str">
        <f ca="1">IFERROR(VLOOKUP(U$2,Rango_Admin_DailyPred,MATCH($F47,Rango_Admin_DailyPred_Primera,0)+1,0),"-")</f>
        <v>-</v>
      </c>
      <c r="V47" s="429" t="str">
        <f ca="1">IFERROR(VLOOKUP(V$2,Rango_Admin_DailyPred,MATCH($F47,Rango_Admin_DailyPred_Primera,0)+1,0),"-")</f>
        <v>-</v>
      </c>
      <c r="W47" s="429" t="str">
        <f ca="1">IFERROR(VLOOKUP(W$2,Rango_Admin_DailyPred,MATCH($F47,Rango_Admin_DailyPred_Primera,0)+1,0),"-")</f>
        <v>-</v>
      </c>
      <c r="X47" s="429" t="str">
        <f ca="1">IFERROR(VLOOKUP(X$2,Rango_Admin_DailyPred,MATCH($F47,Rango_Admin_DailyPred_Primera,0)+1,0),"-")</f>
        <v>-</v>
      </c>
      <c r="Y47" s="429" t="str">
        <f ca="1">IFERROR(VLOOKUP(Y$2,Rango_Admin_DailyPred,MATCH($F47,Rango_Admin_DailyPred_Primera,0)+1,0),"-")</f>
        <v>-</v>
      </c>
      <c r="Z47" s="429" t="str">
        <f ca="1">IFERROR(VLOOKUP(Z$2,Rango_Admin_DailyPred,MATCH($F47,Rango_Admin_DailyPred_Primera,0)+1,0),"-")</f>
        <v>-</v>
      </c>
      <c r="AA47" s="429" t="str">
        <f ca="1">IFERROR(VLOOKUP(AA$2,Rango_Admin_DailyPred,MATCH($F47,Rango_Admin_DailyPred_Primera,0)+1,0),"-")</f>
        <v>-</v>
      </c>
      <c r="AB47" s="429" t="str">
        <f ca="1">IFERROR(VLOOKUP(AB$2,Rango_Admin_DailyPred,MATCH($F47,Rango_Admin_DailyPred_Primera,0)+1,0),"-")</f>
        <v>-</v>
      </c>
      <c r="AC47" s="429" t="str">
        <f ca="1">IFERROR(VLOOKUP(AC$2,Rango_Admin_DailyPred,MATCH($F47,Rango_Admin_DailyPred_Primera,0)+1,0),"-")</f>
        <v>-</v>
      </c>
      <c r="AD47" s="429" t="str">
        <f ca="1">IFERROR(VLOOKUP(AD$2,Rango_Admin_DailyPred,MATCH($F47,Rango_Admin_DailyPred_Primera,0)+1,0),"-")</f>
        <v>-</v>
      </c>
      <c r="AE47" s="429" t="str">
        <f ca="1">IFERROR(VLOOKUP(AE$2,Rango_Admin_DailyPred,MATCH($F47,Rango_Admin_DailyPred_Primera,0)+1,0),"-")</f>
        <v>-</v>
      </c>
      <c r="AF47" s="429" t="str">
        <f ca="1">IFERROR(VLOOKUP(AF$2,Rango_Admin_DailyPred,MATCH($F47,Rango_Admin_DailyPred_Primera,0)+1,0),"-")</f>
        <v>-</v>
      </c>
      <c r="AG47" s="429" t="str">
        <f ca="1">IFERROR(VLOOKUP(AG$2,Rango_Admin_DailyPred,MATCH($F47,Rango_Admin_DailyPred_Primera,0)+1,0),"-")</f>
        <v>-</v>
      </c>
      <c r="AH47" s="429" t="str">
        <f ca="1">IFERROR(VLOOKUP(AH$2,Rango_Admin_DailyPred,MATCH($F47,Rango_Admin_DailyPred_Primera,0)+1,0),"-")</f>
        <v>-</v>
      </c>
      <c r="AI47" s="429" t="str">
        <f ca="1">IFERROR(VLOOKUP(AI$2,Rango_Admin_DailyPred,MATCH($F47,Rango_Admin_DailyPred_Primera,0)+1,0),"-")</f>
        <v>-</v>
      </c>
      <c r="AJ47" s="429" t="str">
        <f ca="1">IFERROR(VLOOKUP(AJ$2,Rango_Admin_DailyPred,MATCH($F47,Rango_Admin_DailyPred_Primera,0)+1,0),"-")</f>
        <v>-</v>
      </c>
      <c r="AK47" s="429" t="str">
        <f ca="1">IFERROR(VLOOKUP(AK$2,Rango_Admin_DailyPred,MATCH($F47,Rango_Admin_DailyPred_Primera,0)+1,0),"-")</f>
        <v>-</v>
      </c>
      <c r="AL47" s="429" t="str">
        <f ca="1">IFERROR(VLOOKUP(AL$2,Rango_Admin_DailyPred,MATCH($F47,Rango_Admin_DailyPred_Primera,0)+1,0),"-")</f>
        <v>-</v>
      </c>
      <c r="AM47" s="429" t="str">
        <f ca="1">IFERROR(VLOOKUP(AM$2,Rango_Admin_DailyPred,MATCH($F47,Rango_Admin_DailyPred_Primera,0)+1,0),"-")</f>
        <v>-</v>
      </c>
      <c r="AN47" s="297"/>
    </row>
    <row r="48" spans="1:40">
      <c r="A48" s="8"/>
      <c r="B48" s="8"/>
      <c r="C48" s="8">
        <v>45</v>
      </c>
      <c r="D48" s="19"/>
      <c r="E48" s="409">
        <f ca="1">IFERROR(HLOOKUP(C48,Rango_Admin_DailyClas,3,FALSE),"-")</f>
        <v>33</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t="str">
        <f ca="1">IFERROR(VLOOKUP(S$2,Rango_Admin_DailyPred,MATCH($F48,Rango_Admin_DailyPred_Primera,0)+1,0),"-")</f>
        <v>-</v>
      </c>
      <c r="T48" s="429" t="str">
        <f ca="1">IFERROR(VLOOKUP(T$2,Rango_Admin_DailyPred,MATCH($F48,Rango_Admin_DailyPred_Primera,0)+1,0),"-")</f>
        <v>-</v>
      </c>
      <c r="U48" s="429" t="str">
        <f ca="1">IFERROR(VLOOKUP(U$2,Rango_Admin_DailyPred,MATCH($F48,Rango_Admin_DailyPred_Primera,0)+1,0),"-")</f>
        <v>-</v>
      </c>
      <c r="V48" s="429" t="str">
        <f ca="1">IFERROR(VLOOKUP(V$2,Rango_Admin_DailyPred,MATCH($F48,Rango_Admin_DailyPred_Primera,0)+1,0),"-")</f>
        <v>-</v>
      </c>
      <c r="W48" s="429" t="str">
        <f ca="1">IFERROR(VLOOKUP(W$2,Rango_Admin_DailyPred,MATCH($F48,Rango_Admin_DailyPred_Primera,0)+1,0),"-")</f>
        <v>-</v>
      </c>
      <c r="X48" s="429" t="str">
        <f ca="1">IFERROR(VLOOKUP(X$2,Rango_Admin_DailyPred,MATCH($F48,Rango_Admin_DailyPred_Primera,0)+1,0),"-")</f>
        <v>-</v>
      </c>
      <c r="Y48" s="429" t="str">
        <f ca="1">IFERROR(VLOOKUP(Y$2,Rango_Admin_DailyPred,MATCH($F48,Rango_Admin_DailyPred_Primera,0)+1,0),"-")</f>
        <v>-</v>
      </c>
      <c r="Z48" s="429" t="str">
        <f ca="1">IFERROR(VLOOKUP(Z$2,Rango_Admin_DailyPred,MATCH($F48,Rango_Admin_DailyPred_Primera,0)+1,0),"-")</f>
        <v>-</v>
      </c>
      <c r="AA48" s="429" t="str">
        <f ca="1">IFERROR(VLOOKUP(AA$2,Rango_Admin_DailyPred,MATCH($F48,Rango_Admin_DailyPred_Primera,0)+1,0),"-")</f>
        <v>-</v>
      </c>
      <c r="AB48" s="429" t="str">
        <f ca="1">IFERROR(VLOOKUP(AB$2,Rango_Admin_DailyPred,MATCH($F48,Rango_Admin_DailyPred_Primera,0)+1,0),"-")</f>
        <v>-</v>
      </c>
      <c r="AC48" s="429" t="str">
        <f ca="1">IFERROR(VLOOKUP(AC$2,Rango_Admin_DailyPred,MATCH($F48,Rango_Admin_DailyPred_Primera,0)+1,0),"-")</f>
        <v>-</v>
      </c>
      <c r="AD48" s="429" t="str">
        <f ca="1">IFERROR(VLOOKUP(AD$2,Rango_Admin_DailyPred,MATCH($F48,Rango_Admin_DailyPred_Primera,0)+1,0),"-")</f>
        <v>-</v>
      </c>
      <c r="AE48" s="429" t="str">
        <f ca="1">IFERROR(VLOOKUP(AE$2,Rango_Admin_DailyPred,MATCH($F48,Rango_Admin_DailyPred_Primera,0)+1,0),"-")</f>
        <v>-</v>
      </c>
      <c r="AF48" s="429" t="str">
        <f ca="1">IFERROR(VLOOKUP(AF$2,Rango_Admin_DailyPred,MATCH($F48,Rango_Admin_DailyPred_Primera,0)+1,0),"-")</f>
        <v>-</v>
      </c>
      <c r="AG48" s="429" t="str">
        <f ca="1">IFERROR(VLOOKUP(AG$2,Rango_Admin_DailyPred,MATCH($F48,Rango_Admin_DailyPred_Primera,0)+1,0),"-")</f>
        <v>-</v>
      </c>
      <c r="AH48" s="429" t="str">
        <f ca="1">IFERROR(VLOOKUP(AH$2,Rango_Admin_DailyPred,MATCH($F48,Rango_Admin_DailyPred_Primera,0)+1,0),"-")</f>
        <v>-</v>
      </c>
      <c r="AI48" s="429" t="str">
        <f ca="1">IFERROR(VLOOKUP(AI$2,Rango_Admin_DailyPred,MATCH($F48,Rango_Admin_DailyPred_Primera,0)+1,0),"-")</f>
        <v>-</v>
      </c>
      <c r="AJ48" s="429" t="str">
        <f ca="1">IFERROR(VLOOKUP(AJ$2,Rango_Admin_DailyPred,MATCH($F48,Rango_Admin_DailyPred_Primera,0)+1,0),"-")</f>
        <v>-</v>
      </c>
      <c r="AK48" s="429" t="str">
        <f ca="1">IFERROR(VLOOKUP(AK$2,Rango_Admin_DailyPred,MATCH($F48,Rango_Admin_DailyPred_Primera,0)+1,0),"-")</f>
        <v>-</v>
      </c>
      <c r="AL48" s="429" t="str">
        <f ca="1">IFERROR(VLOOKUP(AL$2,Rango_Admin_DailyPred,MATCH($F48,Rango_Admin_DailyPred_Primera,0)+1,0),"-")</f>
        <v>-</v>
      </c>
      <c r="AM48" s="429" t="str">
        <f ca="1">IFERROR(VLOOKUP(AM$2,Rango_Admin_DailyPred,MATCH($F48,Rango_Admin_DailyPred_Primera,0)+1,0),"-")</f>
        <v>-</v>
      </c>
      <c r="AN48" s="297"/>
    </row>
    <row r="49" spans="1:40">
      <c r="A49" s="8"/>
      <c r="B49" s="8"/>
      <c r="C49" s="8">
        <v>46</v>
      </c>
      <c r="D49" s="19"/>
      <c r="E49" s="409">
        <f ca="1">IFERROR(HLOOKUP(C49,Rango_Admin_DailyClas,3,FALSE),"-")</f>
        <v>33</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t="str">
        <f ca="1">IFERROR(VLOOKUP(S$2,Rango_Admin_DailyPred,MATCH($F49,Rango_Admin_DailyPred_Primera,0)+1,0),"-")</f>
        <v>-</v>
      </c>
      <c r="T49" s="429" t="str">
        <f ca="1">IFERROR(VLOOKUP(T$2,Rango_Admin_DailyPred,MATCH($F49,Rango_Admin_DailyPred_Primera,0)+1,0),"-")</f>
        <v>-</v>
      </c>
      <c r="U49" s="429" t="str">
        <f ca="1">IFERROR(VLOOKUP(U$2,Rango_Admin_DailyPred,MATCH($F49,Rango_Admin_DailyPred_Primera,0)+1,0),"-")</f>
        <v>-</v>
      </c>
      <c r="V49" s="429" t="str">
        <f ca="1">IFERROR(VLOOKUP(V$2,Rango_Admin_DailyPred,MATCH($F49,Rango_Admin_DailyPred_Primera,0)+1,0),"-")</f>
        <v>-</v>
      </c>
      <c r="W49" s="429" t="str">
        <f ca="1">IFERROR(VLOOKUP(W$2,Rango_Admin_DailyPred,MATCH($F49,Rango_Admin_DailyPred_Primera,0)+1,0),"-")</f>
        <v>-</v>
      </c>
      <c r="X49" s="429" t="str">
        <f ca="1">IFERROR(VLOOKUP(X$2,Rango_Admin_DailyPred,MATCH($F49,Rango_Admin_DailyPred_Primera,0)+1,0),"-")</f>
        <v>-</v>
      </c>
      <c r="Y49" s="429" t="str">
        <f ca="1">IFERROR(VLOOKUP(Y$2,Rango_Admin_DailyPred,MATCH($F49,Rango_Admin_DailyPred_Primera,0)+1,0),"-")</f>
        <v>-</v>
      </c>
      <c r="Z49" s="429" t="str">
        <f ca="1">IFERROR(VLOOKUP(Z$2,Rango_Admin_DailyPred,MATCH($F49,Rango_Admin_DailyPred_Primera,0)+1,0),"-")</f>
        <v>-</v>
      </c>
      <c r="AA49" s="429" t="str">
        <f ca="1">IFERROR(VLOOKUP(AA$2,Rango_Admin_DailyPred,MATCH($F49,Rango_Admin_DailyPred_Primera,0)+1,0),"-")</f>
        <v>-</v>
      </c>
      <c r="AB49" s="429" t="str">
        <f ca="1">IFERROR(VLOOKUP(AB$2,Rango_Admin_DailyPred,MATCH($F49,Rango_Admin_DailyPred_Primera,0)+1,0),"-")</f>
        <v>-</v>
      </c>
      <c r="AC49" s="429" t="str">
        <f ca="1">IFERROR(VLOOKUP(AC$2,Rango_Admin_DailyPred,MATCH($F49,Rango_Admin_DailyPred_Primera,0)+1,0),"-")</f>
        <v>-</v>
      </c>
      <c r="AD49" s="429" t="str">
        <f ca="1">IFERROR(VLOOKUP(AD$2,Rango_Admin_DailyPred,MATCH($F49,Rango_Admin_DailyPred_Primera,0)+1,0),"-")</f>
        <v>-</v>
      </c>
      <c r="AE49" s="429" t="str">
        <f ca="1">IFERROR(VLOOKUP(AE$2,Rango_Admin_DailyPred,MATCH($F49,Rango_Admin_DailyPred_Primera,0)+1,0),"-")</f>
        <v>-</v>
      </c>
      <c r="AF49" s="429" t="str">
        <f ca="1">IFERROR(VLOOKUP(AF$2,Rango_Admin_DailyPred,MATCH($F49,Rango_Admin_DailyPred_Primera,0)+1,0),"-")</f>
        <v>-</v>
      </c>
      <c r="AG49" s="429" t="str">
        <f ca="1">IFERROR(VLOOKUP(AG$2,Rango_Admin_DailyPred,MATCH($F49,Rango_Admin_DailyPred_Primera,0)+1,0),"-")</f>
        <v>-</v>
      </c>
      <c r="AH49" s="429" t="str">
        <f ca="1">IFERROR(VLOOKUP(AH$2,Rango_Admin_DailyPred,MATCH($F49,Rango_Admin_DailyPred_Primera,0)+1,0),"-")</f>
        <v>-</v>
      </c>
      <c r="AI49" s="429" t="str">
        <f ca="1">IFERROR(VLOOKUP(AI$2,Rango_Admin_DailyPred,MATCH($F49,Rango_Admin_DailyPred_Primera,0)+1,0),"-")</f>
        <v>-</v>
      </c>
      <c r="AJ49" s="429" t="str">
        <f ca="1">IFERROR(VLOOKUP(AJ$2,Rango_Admin_DailyPred,MATCH($F49,Rango_Admin_DailyPred_Primera,0)+1,0),"-")</f>
        <v>-</v>
      </c>
      <c r="AK49" s="429" t="str">
        <f ca="1">IFERROR(VLOOKUP(AK$2,Rango_Admin_DailyPred,MATCH($F49,Rango_Admin_DailyPred_Primera,0)+1,0),"-")</f>
        <v>-</v>
      </c>
      <c r="AL49" s="429" t="str">
        <f ca="1">IFERROR(VLOOKUP(AL$2,Rango_Admin_DailyPred,MATCH($F49,Rango_Admin_DailyPred_Primera,0)+1,0),"-")</f>
        <v>-</v>
      </c>
      <c r="AM49" s="429" t="str">
        <f ca="1">IFERROR(VLOOKUP(AM$2,Rango_Admin_DailyPred,MATCH($F49,Rango_Admin_DailyPred_Primera,0)+1,0),"-")</f>
        <v>-</v>
      </c>
      <c r="AN49" s="297"/>
    </row>
    <row r="50" spans="1:40">
      <c r="A50" s="8"/>
      <c r="B50" s="8"/>
      <c r="C50" s="8">
        <v>47</v>
      </c>
      <c r="D50" s="19"/>
      <c r="E50" s="409">
        <f ca="1">IFERROR(HLOOKUP(C50,Rango_Admin_DailyClas,3,FALSE),"-")</f>
        <v>33</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t="str">
        <f ca="1">IFERROR(VLOOKUP(S$2,Rango_Admin_DailyPred,MATCH($F50,Rango_Admin_DailyPred_Primera,0)+1,0),"-")</f>
        <v>-</v>
      </c>
      <c r="T50" s="429" t="str">
        <f ca="1">IFERROR(VLOOKUP(T$2,Rango_Admin_DailyPred,MATCH($F50,Rango_Admin_DailyPred_Primera,0)+1,0),"-")</f>
        <v>-</v>
      </c>
      <c r="U50" s="429" t="str">
        <f ca="1">IFERROR(VLOOKUP(U$2,Rango_Admin_DailyPred,MATCH($F50,Rango_Admin_DailyPred_Primera,0)+1,0),"-")</f>
        <v>-</v>
      </c>
      <c r="V50" s="429" t="str">
        <f ca="1">IFERROR(VLOOKUP(V$2,Rango_Admin_DailyPred,MATCH($F50,Rango_Admin_DailyPred_Primera,0)+1,0),"-")</f>
        <v>-</v>
      </c>
      <c r="W50" s="429" t="str">
        <f ca="1">IFERROR(VLOOKUP(W$2,Rango_Admin_DailyPred,MATCH($F50,Rango_Admin_DailyPred_Primera,0)+1,0),"-")</f>
        <v>-</v>
      </c>
      <c r="X50" s="429" t="str">
        <f ca="1">IFERROR(VLOOKUP(X$2,Rango_Admin_DailyPred,MATCH($F50,Rango_Admin_DailyPred_Primera,0)+1,0),"-")</f>
        <v>-</v>
      </c>
      <c r="Y50" s="429" t="str">
        <f ca="1">IFERROR(VLOOKUP(Y$2,Rango_Admin_DailyPred,MATCH($F50,Rango_Admin_DailyPred_Primera,0)+1,0),"-")</f>
        <v>-</v>
      </c>
      <c r="Z50" s="429" t="str">
        <f ca="1">IFERROR(VLOOKUP(Z$2,Rango_Admin_DailyPred,MATCH($F50,Rango_Admin_DailyPred_Primera,0)+1,0),"-")</f>
        <v>-</v>
      </c>
      <c r="AA50" s="429" t="str">
        <f ca="1">IFERROR(VLOOKUP(AA$2,Rango_Admin_DailyPred,MATCH($F50,Rango_Admin_DailyPred_Primera,0)+1,0),"-")</f>
        <v>-</v>
      </c>
      <c r="AB50" s="429" t="str">
        <f ca="1">IFERROR(VLOOKUP(AB$2,Rango_Admin_DailyPred,MATCH($F50,Rango_Admin_DailyPred_Primera,0)+1,0),"-")</f>
        <v>-</v>
      </c>
      <c r="AC50" s="429" t="str">
        <f ca="1">IFERROR(VLOOKUP(AC$2,Rango_Admin_DailyPred,MATCH($F50,Rango_Admin_DailyPred_Primera,0)+1,0),"-")</f>
        <v>-</v>
      </c>
      <c r="AD50" s="429" t="str">
        <f ca="1">IFERROR(VLOOKUP(AD$2,Rango_Admin_DailyPred,MATCH($F50,Rango_Admin_DailyPred_Primera,0)+1,0),"-")</f>
        <v>-</v>
      </c>
      <c r="AE50" s="429" t="str">
        <f ca="1">IFERROR(VLOOKUP(AE$2,Rango_Admin_DailyPred,MATCH($F50,Rango_Admin_DailyPred_Primera,0)+1,0),"-")</f>
        <v>-</v>
      </c>
      <c r="AF50" s="429" t="str">
        <f ca="1">IFERROR(VLOOKUP(AF$2,Rango_Admin_DailyPred,MATCH($F50,Rango_Admin_DailyPred_Primera,0)+1,0),"-")</f>
        <v>-</v>
      </c>
      <c r="AG50" s="429" t="str">
        <f ca="1">IFERROR(VLOOKUP(AG$2,Rango_Admin_DailyPred,MATCH($F50,Rango_Admin_DailyPred_Primera,0)+1,0),"-")</f>
        <v>-</v>
      </c>
      <c r="AH50" s="429" t="str">
        <f ca="1">IFERROR(VLOOKUP(AH$2,Rango_Admin_DailyPred,MATCH($F50,Rango_Admin_DailyPred_Primera,0)+1,0),"-")</f>
        <v>-</v>
      </c>
      <c r="AI50" s="429" t="str">
        <f ca="1">IFERROR(VLOOKUP(AI$2,Rango_Admin_DailyPred,MATCH($F50,Rango_Admin_DailyPred_Primera,0)+1,0),"-")</f>
        <v>-</v>
      </c>
      <c r="AJ50" s="429" t="str">
        <f ca="1">IFERROR(VLOOKUP(AJ$2,Rango_Admin_DailyPred,MATCH($F50,Rango_Admin_DailyPred_Primera,0)+1,0),"-")</f>
        <v>-</v>
      </c>
      <c r="AK50" s="429" t="str">
        <f ca="1">IFERROR(VLOOKUP(AK$2,Rango_Admin_DailyPred,MATCH($F50,Rango_Admin_DailyPred_Primera,0)+1,0),"-")</f>
        <v>-</v>
      </c>
      <c r="AL50" s="429" t="str">
        <f ca="1">IFERROR(VLOOKUP(AL$2,Rango_Admin_DailyPred,MATCH($F50,Rango_Admin_DailyPred_Primera,0)+1,0),"-")</f>
        <v>-</v>
      </c>
      <c r="AM50" s="429" t="str">
        <f ca="1">IFERROR(VLOOKUP(AM$2,Rango_Admin_DailyPred,MATCH($F50,Rango_Admin_DailyPred_Primera,0)+1,0),"-")</f>
        <v>-</v>
      </c>
      <c r="AN50" s="297"/>
    </row>
    <row r="51" spans="1:40">
      <c r="A51" s="8"/>
      <c r="B51" s="8"/>
      <c r="C51" s="8">
        <v>48</v>
      </c>
      <c r="D51" s="19"/>
      <c r="E51" s="409">
        <f ca="1">IFERROR(HLOOKUP(C51,Rango_Admin_DailyClas,3,FALSE),"-")</f>
        <v>33</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t="str">
        <f ca="1">IFERROR(VLOOKUP(S$2,Rango_Admin_DailyPred,MATCH($F51,Rango_Admin_DailyPred_Primera,0)+1,0),"-")</f>
        <v>-</v>
      </c>
      <c r="T51" s="429" t="str">
        <f ca="1">IFERROR(VLOOKUP(T$2,Rango_Admin_DailyPred,MATCH($F51,Rango_Admin_DailyPred_Primera,0)+1,0),"-")</f>
        <v>-</v>
      </c>
      <c r="U51" s="429" t="str">
        <f ca="1">IFERROR(VLOOKUP(U$2,Rango_Admin_DailyPred,MATCH($F51,Rango_Admin_DailyPred_Primera,0)+1,0),"-")</f>
        <v>-</v>
      </c>
      <c r="V51" s="429" t="str">
        <f ca="1">IFERROR(VLOOKUP(V$2,Rango_Admin_DailyPred,MATCH($F51,Rango_Admin_DailyPred_Primera,0)+1,0),"-")</f>
        <v>-</v>
      </c>
      <c r="W51" s="429" t="str">
        <f ca="1">IFERROR(VLOOKUP(W$2,Rango_Admin_DailyPred,MATCH($F51,Rango_Admin_DailyPred_Primera,0)+1,0),"-")</f>
        <v>-</v>
      </c>
      <c r="X51" s="429" t="str">
        <f ca="1">IFERROR(VLOOKUP(X$2,Rango_Admin_DailyPred,MATCH($F51,Rango_Admin_DailyPred_Primera,0)+1,0),"-")</f>
        <v>-</v>
      </c>
      <c r="Y51" s="429" t="str">
        <f ca="1">IFERROR(VLOOKUP(Y$2,Rango_Admin_DailyPred,MATCH($F51,Rango_Admin_DailyPred_Primera,0)+1,0),"-")</f>
        <v>-</v>
      </c>
      <c r="Z51" s="429" t="str">
        <f ca="1">IFERROR(VLOOKUP(Z$2,Rango_Admin_DailyPred,MATCH($F51,Rango_Admin_DailyPred_Primera,0)+1,0),"-")</f>
        <v>-</v>
      </c>
      <c r="AA51" s="429" t="str">
        <f ca="1">IFERROR(VLOOKUP(AA$2,Rango_Admin_DailyPred,MATCH($F51,Rango_Admin_DailyPred_Primera,0)+1,0),"-")</f>
        <v>-</v>
      </c>
      <c r="AB51" s="429" t="str">
        <f ca="1">IFERROR(VLOOKUP(AB$2,Rango_Admin_DailyPred,MATCH($F51,Rango_Admin_DailyPred_Primera,0)+1,0),"-")</f>
        <v>-</v>
      </c>
      <c r="AC51" s="429" t="str">
        <f ca="1">IFERROR(VLOOKUP(AC$2,Rango_Admin_DailyPred,MATCH($F51,Rango_Admin_DailyPred_Primera,0)+1,0),"-")</f>
        <v>-</v>
      </c>
      <c r="AD51" s="429" t="str">
        <f ca="1">IFERROR(VLOOKUP(AD$2,Rango_Admin_DailyPred,MATCH($F51,Rango_Admin_DailyPred_Primera,0)+1,0),"-")</f>
        <v>-</v>
      </c>
      <c r="AE51" s="429" t="str">
        <f ca="1">IFERROR(VLOOKUP(AE$2,Rango_Admin_DailyPred,MATCH($F51,Rango_Admin_DailyPred_Primera,0)+1,0),"-")</f>
        <v>-</v>
      </c>
      <c r="AF51" s="429" t="str">
        <f ca="1">IFERROR(VLOOKUP(AF$2,Rango_Admin_DailyPred,MATCH($F51,Rango_Admin_DailyPred_Primera,0)+1,0),"-")</f>
        <v>-</v>
      </c>
      <c r="AG51" s="429" t="str">
        <f ca="1">IFERROR(VLOOKUP(AG$2,Rango_Admin_DailyPred,MATCH($F51,Rango_Admin_DailyPred_Primera,0)+1,0),"-")</f>
        <v>-</v>
      </c>
      <c r="AH51" s="429" t="str">
        <f ca="1">IFERROR(VLOOKUP(AH$2,Rango_Admin_DailyPred,MATCH($F51,Rango_Admin_DailyPred_Primera,0)+1,0),"-")</f>
        <v>-</v>
      </c>
      <c r="AI51" s="429" t="str">
        <f ca="1">IFERROR(VLOOKUP(AI$2,Rango_Admin_DailyPred,MATCH($F51,Rango_Admin_DailyPred_Primera,0)+1,0),"-")</f>
        <v>-</v>
      </c>
      <c r="AJ51" s="429" t="str">
        <f ca="1">IFERROR(VLOOKUP(AJ$2,Rango_Admin_DailyPred,MATCH($F51,Rango_Admin_DailyPred_Primera,0)+1,0),"-")</f>
        <v>-</v>
      </c>
      <c r="AK51" s="429" t="str">
        <f ca="1">IFERROR(VLOOKUP(AK$2,Rango_Admin_DailyPred,MATCH($F51,Rango_Admin_DailyPred_Primera,0)+1,0),"-")</f>
        <v>-</v>
      </c>
      <c r="AL51" s="429" t="str">
        <f ca="1">IFERROR(VLOOKUP(AL$2,Rango_Admin_DailyPred,MATCH($F51,Rango_Admin_DailyPred_Primera,0)+1,0),"-")</f>
        <v>-</v>
      </c>
      <c r="AM51" s="429" t="str">
        <f ca="1">IFERROR(VLOOKUP(AM$2,Rango_Admin_DailyPred,MATCH($F51,Rango_Admin_DailyPred_Primera,0)+1,0),"-")</f>
        <v>-</v>
      </c>
      <c r="AN51" s="297"/>
    </row>
    <row r="52" spans="1:40">
      <c r="A52" s="8"/>
      <c r="B52" s="8"/>
      <c r="C52" s="8">
        <v>49</v>
      </c>
      <c r="D52" s="19"/>
      <c r="E52" s="409">
        <f ca="1">IFERROR(HLOOKUP(C52,Rango_Admin_DailyClas,3,FALSE),"-")</f>
        <v>33</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t="str">
        <f ca="1">IFERROR(VLOOKUP(S$2,Rango_Admin_DailyPred,MATCH($F52,Rango_Admin_DailyPred_Primera,0)+1,0),"-")</f>
        <v>-</v>
      </c>
      <c r="T52" s="429" t="str">
        <f ca="1">IFERROR(VLOOKUP(T$2,Rango_Admin_DailyPred,MATCH($F52,Rango_Admin_DailyPred_Primera,0)+1,0),"-")</f>
        <v>-</v>
      </c>
      <c r="U52" s="429" t="str">
        <f ca="1">IFERROR(VLOOKUP(U$2,Rango_Admin_DailyPred,MATCH($F52,Rango_Admin_DailyPred_Primera,0)+1,0),"-")</f>
        <v>-</v>
      </c>
      <c r="V52" s="429" t="str">
        <f ca="1">IFERROR(VLOOKUP(V$2,Rango_Admin_DailyPred,MATCH($F52,Rango_Admin_DailyPred_Primera,0)+1,0),"-")</f>
        <v>-</v>
      </c>
      <c r="W52" s="429" t="str">
        <f ca="1">IFERROR(VLOOKUP(W$2,Rango_Admin_DailyPred,MATCH($F52,Rango_Admin_DailyPred_Primera,0)+1,0),"-")</f>
        <v>-</v>
      </c>
      <c r="X52" s="429" t="str">
        <f ca="1">IFERROR(VLOOKUP(X$2,Rango_Admin_DailyPred,MATCH($F52,Rango_Admin_DailyPred_Primera,0)+1,0),"-")</f>
        <v>-</v>
      </c>
      <c r="Y52" s="429" t="str">
        <f ca="1">IFERROR(VLOOKUP(Y$2,Rango_Admin_DailyPred,MATCH($F52,Rango_Admin_DailyPred_Primera,0)+1,0),"-")</f>
        <v>-</v>
      </c>
      <c r="Z52" s="429" t="str">
        <f ca="1">IFERROR(VLOOKUP(Z$2,Rango_Admin_DailyPred,MATCH($F52,Rango_Admin_DailyPred_Primera,0)+1,0),"-")</f>
        <v>-</v>
      </c>
      <c r="AA52" s="429" t="str">
        <f ca="1">IFERROR(VLOOKUP(AA$2,Rango_Admin_DailyPred,MATCH($F52,Rango_Admin_DailyPred_Primera,0)+1,0),"-")</f>
        <v>-</v>
      </c>
      <c r="AB52" s="429" t="str">
        <f ca="1">IFERROR(VLOOKUP(AB$2,Rango_Admin_DailyPred,MATCH($F52,Rango_Admin_DailyPred_Primera,0)+1,0),"-")</f>
        <v>-</v>
      </c>
      <c r="AC52" s="429" t="str">
        <f ca="1">IFERROR(VLOOKUP(AC$2,Rango_Admin_DailyPred,MATCH($F52,Rango_Admin_DailyPred_Primera,0)+1,0),"-")</f>
        <v>-</v>
      </c>
      <c r="AD52" s="429" t="str">
        <f ca="1">IFERROR(VLOOKUP(AD$2,Rango_Admin_DailyPred,MATCH($F52,Rango_Admin_DailyPred_Primera,0)+1,0),"-")</f>
        <v>-</v>
      </c>
      <c r="AE52" s="429" t="str">
        <f ca="1">IFERROR(VLOOKUP(AE$2,Rango_Admin_DailyPred,MATCH($F52,Rango_Admin_DailyPred_Primera,0)+1,0),"-")</f>
        <v>-</v>
      </c>
      <c r="AF52" s="429" t="str">
        <f ca="1">IFERROR(VLOOKUP(AF$2,Rango_Admin_DailyPred,MATCH($F52,Rango_Admin_DailyPred_Primera,0)+1,0),"-")</f>
        <v>-</v>
      </c>
      <c r="AG52" s="429" t="str">
        <f ca="1">IFERROR(VLOOKUP(AG$2,Rango_Admin_DailyPred,MATCH($F52,Rango_Admin_DailyPred_Primera,0)+1,0),"-")</f>
        <v>-</v>
      </c>
      <c r="AH52" s="429" t="str">
        <f ca="1">IFERROR(VLOOKUP(AH$2,Rango_Admin_DailyPred,MATCH($F52,Rango_Admin_DailyPred_Primera,0)+1,0),"-")</f>
        <v>-</v>
      </c>
      <c r="AI52" s="429" t="str">
        <f ca="1">IFERROR(VLOOKUP(AI$2,Rango_Admin_DailyPred,MATCH($F52,Rango_Admin_DailyPred_Primera,0)+1,0),"-")</f>
        <v>-</v>
      </c>
      <c r="AJ52" s="429" t="str">
        <f ca="1">IFERROR(VLOOKUP(AJ$2,Rango_Admin_DailyPred,MATCH($F52,Rango_Admin_DailyPred_Primera,0)+1,0),"-")</f>
        <v>-</v>
      </c>
      <c r="AK52" s="429" t="str">
        <f ca="1">IFERROR(VLOOKUP(AK$2,Rango_Admin_DailyPred,MATCH($F52,Rango_Admin_DailyPred_Primera,0)+1,0),"-")</f>
        <v>-</v>
      </c>
      <c r="AL52" s="429" t="str">
        <f ca="1">IFERROR(VLOOKUP(AL$2,Rango_Admin_DailyPred,MATCH($F52,Rango_Admin_DailyPred_Primera,0)+1,0),"-")</f>
        <v>-</v>
      </c>
      <c r="AM52" s="429" t="str">
        <f ca="1">IFERROR(VLOOKUP(AM$2,Rango_Admin_DailyPred,MATCH($F52,Rango_Admin_DailyPred_Primera,0)+1,0),"-")</f>
        <v>-</v>
      </c>
      <c r="AN52" s="297"/>
    </row>
    <row r="53" spans="1:40">
      <c r="A53" s="8"/>
      <c r="B53" s="8"/>
      <c r="C53" s="8">
        <v>50</v>
      </c>
      <c r="D53" s="19"/>
      <c r="E53" s="409">
        <f ca="1">IFERROR(HLOOKUP(C53,Rango_Admin_DailyClas,3,FALSE),"-")</f>
        <v>33</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t="str">
        <f ca="1">IFERROR(VLOOKUP(S$2,Rango_Admin_DailyPred,MATCH($F53,Rango_Admin_DailyPred_Primera,0)+1,0),"-")</f>
        <v>-</v>
      </c>
      <c r="T53" s="429" t="str">
        <f ca="1">IFERROR(VLOOKUP(T$2,Rango_Admin_DailyPred,MATCH($F53,Rango_Admin_DailyPred_Primera,0)+1,0),"-")</f>
        <v>-</v>
      </c>
      <c r="U53" s="429" t="str">
        <f ca="1">IFERROR(VLOOKUP(U$2,Rango_Admin_DailyPred,MATCH($F53,Rango_Admin_DailyPred_Primera,0)+1,0),"-")</f>
        <v>-</v>
      </c>
      <c r="V53" s="429" t="str">
        <f ca="1">IFERROR(VLOOKUP(V$2,Rango_Admin_DailyPred,MATCH($F53,Rango_Admin_DailyPred_Primera,0)+1,0),"-")</f>
        <v>-</v>
      </c>
      <c r="W53" s="429" t="str">
        <f ca="1">IFERROR(VLOOKUP(W$2,Rango_Admin_DailyPred,MATCH($F53,Rango_Admin_DailyPred_Primera,0)+1,0),"-")</f>
        <v>-</v>
      </c>
      <c r="X53" s="429" t="str">
        <f ca="1">IFERROR(VLOOKUP(X$2,Rango_Admin_DailyPred,MATCH($F53,Rango_Admin_DailyPred_Primera,0)+1,0),"-")</f>
        <v>-</v>
      </c>
      <c r="Y53" s="429" t="str">
        <f ca="1">IFERROR(VLOOKUP(Y$2,Rango_Admin_DailyPred,MATCH($F53,Rango_Admin_DailyPred_Primera,0)+1,0),"-")</f>
        <v>-</v>
      </c>
      <c r="Z53" s="429" t="str">
        <f ca="1">IFERROR(VLOOKUP(Z$2,Rango_Admin_DailyPred,MATCH($F53,Rango_Admin_DailyPred_Primera,0)+1,0),"-")</f>
        <v>-</v>
      </c>
      <c r="AA53" s="429" t="str">
        <f ca="1">IFERROR(VLOOKUP(AA$2,Rango_Admin_DailyPred,MATCH($F53,Rango_Admin_DailyPred_Primera,0)+1,0),"-")</f>
        <v>-</v>
      </c>
      <c r="AB53" s="429" t="str">
        <f ca="1">IFERROR(VLOOKUP(AB$2,Rango_Admin_DailyPred,MATCH($F53,Rango_Admin_DailyPred_Primera,0)+1,0),"-")</f>
        <v>-</v>
      </c>
      <c r="AC53" s="429" t="str">
        <f ca="1">IFERROR(VLOOKUP(AC$2,Rango_Admin_DailyPred,MATCH($F53,Rango_Admin_DailyPred_Primera,0)+1,0),"-")</f>
        <v>-</v>
      </c>
      <c r="AD53" s="429" t="str">
        <f ca="1">IFERROR(VLOOKUP(AD$2,Rango_Admin_DailyPred,MATCH($F53,Rango_Admin_DailyPred_Primera,0)+1,0),"-")</f>
        <v>-</v>
      </c>
      <c r="AE53" s="429" t="str">
        <f ca="1">IFERROR(VLOOKUP(AE$2,Rango_Admin_DailyPred,MATCH($F53,Rango_Admin_DailyPred_Primera,0)+1,0),"-")</f>
        <v>-</v>
      </c>
      <c r="AF53" s="429" t="str">
        <f ca="1">IFERROR(VLOOKUP(AF$2,Rango_Admin_DailyPred,MATCH($F53,Rango_Admin_DailyPred_Primera,0)+1,0),"-")</f>
        <v>-</v>
      </c>
      <c r="AG53" s="429" t="str">
        <f ca="1">IFERROR(VLOOKUP(AG$2,Rango_Admin_DailyPred,MATCH($F53,Rango_Admin_DailyPred_Primera,0)+1,0),"-")</f>
        <v>-</v>
      </c>
      <c r="AH53" s="429" t="str">
        <f ca="1">IFERROR(VLOOKUP(AH$2,Rango_Admin_DailyPred,MATCH($F53,Rango_Admin_DailyPred_Primera,0)+1,0),"-")</f>
        <v>-</v>
      </c>
      <c r="AI53" s="429" t="str">
        <f ca="1">IFERROR(VLOOKUP(AI$2,Rango_Admin_DailyPred,MATCH($F53,Rango_Admin_DailyPred_Primera,0)+1,0),"-")</f>
        <v>-</v>
      </c>
      <c r="AJ53" s="429" t="str">
        <f ca="1">IFERROR(VLOOKUP(AJ$2,Rango_Admin_DailyPred,MATCH($F53,Rango_Admin_DailyPred_Primera,0)+1,0),"-")</f>
        <v>-</v>
      </c>
      <c r="AK53" s="429" t="str">
        <f ca="1">IFERROR(VLOOKUP(AK$2,Rango_Admin_DailyPred,MATCH($F53,Rango_Admin_DailyPred_Primera,0)+1,0),"-")</f>
        <v>-</v>
      </c>
      <c r="AL53" s="429" t="str">
        <f ca="1">IFERROR(VLOOKUP(AL$2,Rango_Admin_DailyPred,MATCH($F53,Rango_Admin_DailyPred_Primera,0)+1,0),"-")</f>
        <v>-</v>
      </c>
      <c r="AM53" s="429" t="str">
        <f ca="1">IFERROR(VLOOKUP(AM$2,Rango_Admin_DailyPred,MATCH($F53,Rango_Admin_DailyPred_Primera,0)+1,0),"-")</f>
        <v>-</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3-4 &amp; Final</v>
      </c>
      <c r="F5" s="404">
        <f ca="1">VLOOKUP($E$5,Equipos!$Q$2:$R$37,2,0)</f>
        <v>24</v>
      </c>
      <c r="G5" s="17"/>
      <c r="H5" s="476" t="str">
        <f>Idiomas!D501</f>
        <v>Selecciona un partido de hoy:↗</v>
      </c>
      <c r="I5" s="450" t="s">
        <v>1938</v>
      </c>
      <c r="J5" s="17"/>
      <c r="K5" s="17"/>
      <c r="L5" s="855">
        <f ca="1">SUM(WORLDCUP!AG4:AG147)/104</f>
        <v>1</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3-4 &amp; Final (Individual)</v>
      </c>
      <c r="E8" s="455">
        <f ca="1">IFERROR(SUMIF(ADMIN!$G$6:$G$258,$F$5,ADMIN!$F$6:$F$258),"")</f>
        <v>123</v>
      </c>
      <c r="F8" s="456">
        <f ca="1">IFERROR(E8/$B$46,0)</f>
        <v>0.14089347079037801</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3-4 &amp; Final (Individual)</v>
      </c>
      <c r="E9" s="455">
        <f ca="1">IFERROR(SUMIF($A$22:$A$45,"&lt;"&amp;$F$5,$B$22:$B$45),"")</f>
        <v>750</v>
      </c>
      <c r="F9" s="456">
        <f ca="1">IFERROR(E9/$B$46,0)</f>
        <v>0.85910652920962194</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3-4 &amp; Final (Individual)</v>
      </c>
      <c r="E10" s="455">
        <f ca="1">IFERROR(SUMIF($A$22:$A$45,"&lt;="&amp;$F$5,$B$22:$B$45),"")</f>
        <v>873</v>
      </c>
      <c r="F10" s="456">
        <f ca="1">IFERROR(E10/$B$46,0)</f>
        <v>1</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0</v>
      </c>
      <c r="F11" s="456">
        <f ca="1">IFERROR(1-F10,0)</f>
        <v>0</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6150</v>
      </c>
      <c r="F12" s="456">
        <f ca="1">IFERROR(E12/B47,0)</f>
        <v>0.14089347079037801</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1007</v>
      </c>
      <c r="F13" s="456">
        <f ca="1">IFERROR(E13/E12,0)</f>
        <v>0.16373983739837397</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3-4 &amp;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3-4 &amp; Final?</v>
      </c>
      <c r="E15" s="455">
        <f ca="1">IFERROR(COUNTIF(DailyClas!$G$4:INDEX(DailyClas!$G$4:$G$100,ADMIN!$D$5),"&gt;0"),0)</f>
        <v>32</v>
      </c>
      <c r="F15" s="456">
        <f ca="1">IFERROR(E15/ADMIN!$D$5,0)</f>
        <v>0.64</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3-4 &amp; Final?</v>
      </c>
      <c r="E16" s="455">
        <f ca="1">IFERROR(IF(SUM(ADMIN!$D$8:$D$47)=0,0,COUNTIF(DailyClas!$G$4:INDEX(DailyClas!$G$4:$G$100,ADMIN!$D$5),0)),0)</f>
        <v>18</v>
      </c>
      <c r="F16" s="456">
        <f ca="1">IFERROR(E16/ADMIN!$D$5,0)</f>
        <v>0.36</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3-4 &amp; Final?</v>
      </c>
      <c r="E17" s="459">
        <f ca="1">IFERROR(AVERAGE(DailyClas!$G$4:INDEX(DailyClas!$G$4:$G$100,ADMIN!$D$5)),0)</f>
        <v>20.14</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45" ca="1">_xlfn.UNIQUE(_xlfn._xlws.FILTER(DailyPrediction!$A$4:$A$35,DailyPrediction!$A$4:$A$35&lt;&gt;""))</f>
        <v>Francia-Inglaterra</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Inglaterra-Francia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España-Argentina</v>
      </c>
      <c r="AH36" s="11"/>
      <c r="AI36" s="11"/>
      <c r="AJ36" s="11"/>
      <c r="AK36" s="11"/>
      <c r="AL36" s="11"/>
      <c r="AM36" s="11"/>
      <c r="AN36" s="11"/>
      <c r="AO36" s="11" t="str">
        <f ca="1">IFERROR(INDEX(DailyPrediction!$D$4:$D$35,MATCH(Stats!AG36,DailyPrediction!$A$4:$A$35,0)),"")</f>
        <v>Argentina-España</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🥇Campeón</v>
      </c>
      <c r="AH37" s="11"/>
      <c r="AI37" s="11"/>
      <c r="AJ37" s="11"/>
      <c r="AK37" s="11"/>
      <c r="AL37" s="11"/>
      <c r="AM37" s="11"/>
      <c r="AN37" s="11"/>
      <c r="AO37" s="11">
        <f ca="1">IFERROR(INDEX(DailyPrediction!$D$4:$D$35,MATCH(Stats!AG37,DailyPrediction!$A$4:$A$35,0)),"")</f>
        <v>0</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🥈Subcampeón</v>
      </c>
      <c r="AH38" s="11"/>
      <c r="AI38" s="11"/>
      <c r="AJ38" s="11"/>
      <c r="AK38" s="11"/>
      <c r="AL38" s="11"/>
      <c r="AM38" s="11"/>
      <c r="AN38" s="11"/>
      <c r="AO38" s="11">
        <f ca="1">IFERROR(INDEX(DailyPrediction!$D$4:$D$35,MATCH(Stats!AG38,DailyPrediction!$A$4:$A$35,0)),"")</f>
        <v>0</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🥉3º puesto</v>
      </c>
      <c r="AH39" s="11"/>
      <c r="AI39" s="11"/>
      <c r="AJ39" s="11"/>
      <c r="AK39" s="11"/>
      <c r="AL39" s="11"/>
      <c r="AM39" s="11"/>
      <c r="AN39" s="11"/>
      <c r="AO39" s="11">
        <f ca="1">IFERROR(INDEX(DailyPrediction!$D$4:$D$35,MATCH(Stats!AG39,DailyPrediction!$A$4:$A$35,0)),"")</f>
        <v>0</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Bota de Oro  (máximo goleador)</v>
      </c>
      <c r="AH40" s="11"/>
      <c r="AI40" s="11"/>
      <c r="AJ40" s="11"/>
      <c r="AK40" s="11"/>
      <c r="AL40" s="11"/>
      <c r="AM40" s="11"/>
      <c r="AN40" s="11"/>
      <c r="AO40" s="11">
        <f ca="1">IFERROR(INDEX(DailyPrediction!$D$4:$D$35,MATCH(Stats!AG40,DailyPrediction!$A$4:$A$35,0)),"")</f>
        <v>0</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Bota de Plata (2º máximo goleador)</v>
      </c>
      <c r="AH41" s="11"/>
      <c r="AI41" s="11"/>
      <c r="AJ41" s="11"/>
      <c r="AK41" s="11"/>
      <c r="AL41" s="11"/>
      <c r="AM41" s="11"/>
      <c r="AN41" s="11"/>
      <c r="AO41" s="11">
        <f ca="1">IFERROR(INDEX(DailyPrediction!$D$4:$D$35,MATCH(Stats!AG41,DailyPrediction!$A$4:$A$35,0)),"")</f>
        <v>0</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Bota de Bronce (3º máximo goleador)</v>
      </c>
      <c r="AH42" s="11"/>
      <c r="AI42" s="11"/>
      <c r="AJ42" s="11"/>
      <c r="AK42" s="11"/>
      <c r="AL42" s="11"/>
      <c r="AM42" s="11"/>
      <c r="AN42" s="11"/>
      <c r="AO42" s="11">
        <f ca="1">IFERROR(INDEX(DailyPrediction!$D$4:$D$35,MATCH(Stats!AG42,DailyPrediction!$A$4:$A$35,0)),"")</f>
        <v>0</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Balón de Oro  (mejor jugador)</v>
      </c>
      <c r="AH43" s="11"/>
      <c r="AI43" s="11"/>
      <c r="AJ43" s="11"/>
      <c r="AK43" s="11"/>
      <c r="AL43" s="11"/>
      <c r="AM43" s="11"/>
      <c r="AN43" s="11"/>
      <c r="AO43" s="11">
        <f ca="1">IFERROR(INDEX(DailyPrediction!$D$4:$D$35,MATCH(Stats!AG43,DailyPrediction!$A$4:$A$35,0)),"")</f>
        <v>0</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Balón de Plata (2º mejor jugador)</v>
      </c>
      <c r="AH44" s="11"/>
      <c r="AI44" s="11"/>
      <c r="AJ44" s="11"/>
      <c r="AK44" s="11"/>
      <c r="AL44" s="11"/>
      <c r="AM44" s="11"/>
      <c r="AN44" s="11"/>
      <c r="AO44" s="11">
        <f ca="1">IFERROR(INDEX(DailyPrediction!$D$4:$D$35,MATCH(Stats!AG44,DailyPrediction!$A$4:$A$35,0)),"")</f>
        <v>0</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308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Balón de Bronce (3º mejor jugador)</v>
      </c>
      <c r="AH45" s="11"/>
      <c r="AI45" s="11"/>
      <c r="AJ45" s="11"/>
      <c r="AK45" s="11"/>
      <c r="AL45" s="11"/>
      <c r="AM45" s="11"/>
      <c r="AN45" s="11"/>
      <c r="AO45" s="11">
        <f ca="1">IFERROR(INDEX(DailyPrediction!$D$4:$D$35,MATCH(Stats!AG45,DailyPrediction!$A$4:$A$35,0)),"")</f>
        <v>0</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1</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f>+IF(ISBLANK(INDEX(WORLDCUP!$AC$101:$AC$147,MATCH(AL13,WORLDCUP!$Z$101:$Z$147,0))),"",INDEX(WORLDCUP!$AC$101:$AC$147,MATCH(AL13,WORLDCUP!$Z$101:$Z$147,0)))</f>
        <v>0</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f>+IF(ISBLANK(INDEX(WORLDCUP!$AD$101:$AD$147,MATCH(AL14,WORLDCUP!$Z$101:$Z$147,0))),"",INDEX(WORLDCUP!$AD$101:$AD$147,MATCH(AL14,WORLDCUP!$Z$101:$Z$147,0)))</f>
        <v>2</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 ca="1">WORLDCUP!AA150</f>
        <v>España</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 ca="1">+WORLDCUP!AA151</f>
        <v>Argentina</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1</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Espa</v>
      </c>
      <c r="AV25" s="624">
        <f>+IF(ISBLANK(INDEX(WORLDCUP!$AC$101:$AC$147,MATCH(AT25,WORLDCUP!$Z$101:$Z$147,0))),"",INDEX(WORLDCUP!$AC$101:$AC$147,MATCH(AT25,WORLDCUP!$Z$101:$Z$147,0)))</f>
        <v>1</v>
      </c>
      <c r="AW25" s="625" t="str">
        <f>+IF(ISBLANK(INDEX(WORLDCUP!$AB$101:$AB$147,MATCH(AT25,WORLDCUP!$Z$101:$Z$147,0))),"","( "&amp;INDEX(WORLDCUP!$AB$101:$AB$147,MATCH(AT25,WORLDCUP!$Z$101:$Z$147,0))&amp;" )")</f>
        <v/>
      </c>
      <c r="AX25" s="626"/>
      <c r="AY25" s="613"/>
      <c r="AZ25" s="614" t="str">
        <f ca="1">+WORLDCUP!AA152</f>
        <v>Inglaterra</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Arge</v>
      </c>
      <c r="AV26" s="624">
        <f>+IF(ISBLANK(INDEX(WORLDCUP!$AD$101:$AD$147,MATCH(AT26,WORLDCUP!$Z$101:$Z$147,0))),"",INDEX(WORLDCUP!$AD$101:$AD$147,MATCH(AT26,WORLDCUP!$Z$101:$Z$147,0)))</f>
        <v>0</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1</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Fran</v>
      </c>
      <c r="AR31" s="634">
        <f>+IF(ISBLANK(INDEX(WORLDCUP!$AC$101:$AC$147,MATCH(AP31,WORLDCUP!$Z$101:$Z$147,0))),"",INDEX(WORLDCUP!$AC$101:$AC$147,MATCH(AP31,WORLDCUP!$Z$101:$Z$147,0)))</f>
        <v>4</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Ingl</v>
      </c>
      <c r="AR32" s="634">
        <f>+IF(ISBLANK(INDEX(WORLDCUP!$AD$101:$AD$147,MATCH(AP32,WORLDCUP!$Z$101:$Z$147,0))),"",INDEX(WORLDCUP!$AD$101:$AD$147,MATCH(AP32,WORLDCUP!$Z$101:$Z$147,0)))</f>
        <v>6</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f>+IF(ISBLANK(INDEX(WORLDCUP!$AC$101:$AC$147,MATCH(AL37,WORLDCUP!$Z$101:$Z$147,0))),"",INDEX(WORLDCUP!$AC$101:$AC$147,MATCH(AL37,WORLDCUP!$Z$101:$Z$147,0)))</f>
        <v>1</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f>+IF(ISBLANK(INDEX(WORLDCUP!$AD$101:$AD$147,MATCH(AL38,WORLDCUP!$Z$101:$Z$147,0))),"",INDEX(WORLDCUP!$AD$101:$AD$147,MATCH(AL38,WORLDCUP!$Z$101:$Z$147,0)))</f>
        <v>2</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2026-07-19T23:42:31Z</dcterms:modified>
  <cp:category/>
</cp:coreProperties>
</file>