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01" documentId="13_ncr:1_{AF5F34E1-3CEA-4E5C-856E-DF27FFEF07FE}" xr6:coauthVersionLast="47" xr6:coauthVersionMax="47" xr10:uidLastSave="{B026D71C-2AF0-49DC-B73D-89264516A63C}"/>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M29" i="46" s="1"/>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M53" i="46" s="1"/>
  <c r="N51" i="46"/>
  <c r="N50" i="46"/>
  <c r="N49" i="46"/>
  <c r="N48" i="46"/>
  <c r="N47" i="46"/>
  <c r="N46" i="46"/>
  <c r="N45" i="46"/>
  <c r="N44" i="46"/>
  <c r="M44" i="46" s="1"/>
  <c r="N43" i="46"/>
  <c r="N42" i="46"/>
  <c r="N41" i="46"/>
  <c r="N40" i="46"/>
  <c r="N39" i="46"/>
  <c r="N38" i="46"/>
  <c r="N37" i="46"/>
  <c r="N36" i="46"/>
  <c r="M36" i="46" s="1"/>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s="1"/>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Q244" i="46"/>
  <c r="Q179" i="46"/>
  <c r="E221" i="46"/>
  <c r="Q45" i="46"/>
  <c r="Q76" i="46"/>
  <c r="E233" i="46"/>
  <c r="M61" i="46"/>
  <c r="M45" i="46"/>
  <c r="M69" i="46"/>
  <c r="Q201" i="46"/>
  <c r="M221" i="46"/>
  <c r="M49" i="46"/>
  <c r="M77" i="46"/>
  <c r="M57" i="46"/>
  <c r="E223" i="46"/>
  <c r="M26" i="46"/>
  <c r="M50" i="46"/>
  <c r="M47" i="46"/>
  <c r="M62" i="46"/>
  <c r="M14" i="46"/>
  <c r="M17" i="46"/>
  <c r="D107" i="36"/>
  <c r="M84" i="34" s="1"/>
  <c r="S267" i="46"/>
  <c r="M48" i="46" l="1"/>
  <c r="M41" i="46"/>
  <c r="M20" i="46"/>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BP36" i="46" s="1"/>
  <c r="Q40" i="46"/>
  <c r="Q44" i="46"/>
  <c r="T44" i="46" s="1"/>
  <c r="Q30" i="46"/>
  <c r="P203" i="46"/>
  <c r="Q203" i="46"/>
  <c r="Q207" i="46"/>
  <c r="Q65" i="46"/>
  <c r="Q232" i="46"/>
  <c r="Q33" i="46"/>
  <c r="AO33" i="46" s="1"/>
  <c r="Q37" i="46"/>
  <c r="Q41" i="46"/>
  <c r="AR41" i="46" s="1"/>
  <c r="Q49" i="46"/>
  <c r="AU49" i="46" s="1"/>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52" i="46"/>
  <c r="W26" i="46"/>
  <c r="W75"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BD45" i="46"/>
  <c r="BY47" i="46"/>
  <c r="AF49" i="46"/>
  <c r="CH49" i="46"/>
  <c r="AR52" i="46"/>
  <c r="BP52" i="46"/>
  <c r="CN52" i="46"/>
  <c r="AI53" i="46"/>
  <c r="BG53" i="46"/>
  <c r="CE53" i="46"/>
  <c r="AI56" i="46"/>
  <c r="BG56" i="46"/>
  <c r="CE56" i="46"/>
  <c r="AO58" i="46"/>
  <c r="BM58" i="46"/>
  <c r="CK58" i="46"/>
  <c r="AX36" i="46"/>
  <c r="Z37" i="46"/>
  <c r="BG45" i="46"/>
  <c r="Z47" i="46"/>
  <c r="CB47" i="46"/>
  <c r="AU52" i="46"/>
  <c r="BS52" i="46"/>
  <c r="CQ52" i="46"/>
  <c r="AL53" i="46"/>
  <c r="BJ53" i="46"/>
  <c r="CH53" i="46"/>
  <c r="AL56" i="46"/>
  <c r="BJ56" i="46"/>
  <c r="CB37" i="46"/>
  <c r="BJ45" i="46"/>
  <c r="AC47" i="46"/>
  <c r="AL49" i="46"/>
  <c r="Z52" i="46"/>
  <c r="AX52" i="46"/>
  <c r="BV52" i="46"/>
  <c r="AO53" i="46"/>
  <c r="BM53" i="46"/>
  <c r="AO56" i="46"/>
  <c r="BM56" i="46"/>
  <c r="CN45" i="46"/>
  <c r="AX47" i="46"/>
  <c r="BD52" i="46"/>
  <c r="Z53" i="46"/>
  <c r="Z58" i="46"/>
  <c r="BP58" i="46"/>
  <c r="AU62" i="46"/>
  <c r="BS62" i="46"/>
  <c r="AL63" i="46"/>
  <c r="BJ63" i="46"/>
  <c r="CH63"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BM49" i="46" l="1"/>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J6" i="46"/>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23" i="3" l="1"/>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CB27" i="3" s="1"/>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CA19" i="3" s="1"/>
  <c r="I93" i="3"/>
  <c r="H52" i="3"/>
  <c r="I28" i="3"/>
  <c r="H54" i="3"/>
  <c r="I40" i="3"/>
  <c r="CB23" i="3" s="1"/>
  <c r="I71" i="3"/>
  <c r="I76" i="3"/>
  <c r="H96" i="3"/>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52" i="3" l="1"/>
  <c r="CB42" i="3"/>
  <c r="CB36" i="3"/>
  <c r="CA50" i="3"/>
  <c r="CB45" i="3"/>
  <c r="CB31" i="3"/>
  <c r="CA34" i="3"/>
  <c r="CA36" i="3"/>
  <c r="CA27" i="3"/>
  <c r="CC27" i="3" s="1"/>
  <c r="CB37" i="3"/>
  <c r="CA45" i="3"/>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52" i="3" l="1"/>
  <c r="CC36" i="3"/>
  <c r="CC45" i="3"/>
  <c r="CC50" i="3"/>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K29" i="3"/>
  <c r="K94" i="3"/>
  <c r="CF52" i="3" s="1"/>
  <c r="L80" i="3"/>
  <c r="L78" i="3"/>
  <c r="L24" i="3"/>
  <c r="K80" i="3"/>
  <c r="L76" i="3"/>
  <c r="L88" i="3"/>
  <c r="K20" i="3"/>
  <c r="L40" i="3"/>
  <c r="K37" i="3"/>
  <c r="K48" i="3"/>
  <c r="L96" i="3"/>
  <c r="L30" i="3"/>
  <c r="K57" i="3"/>
  <c r="K5" i="3"/>
  <c r="K12" i="3"/>
  <c r="L16" i="3"/>
  <c r="CF13" i="3" s="1"/>
  <c r="K86" i="3"/>
  <c r="L17" i="3"/>
  <c r="L94" i="3"/>
  <c r="K93" i="3"/>
  <c r="K54" i="3"/>
  <c r="L57" i="3"/>
  <c r="K71" i="3"/>
  <c r="K72" i="3"/>
  <c r="L12" i="3"/>
  <c r="L49" i="3"/>
  <c r="K55" i="3"/>
  <c r="K81" i="3"/>
  <c r="K17" i="3"/>
  <c r="K85" i="3"/>
  <c r="L7" i="3"/>
  <c r="L77" i="3"/>
  <c r="L15" i="3"/>
  <c r="K47" i="3"/>
  <c r="CF27" i="3" s="1"/>
  <c r="L86" i="3"/>
  <c r="K65" i="3"/>
  <c r="K63" i="3"/>
  <c r="L45" i="3"/>
  <c r="K22" i="3"/>
  <c r="L60" i="3"/>
  <c r="K46" i="3"/>
  <c r="L23" i="3"/>
  <c r="L25" i="3"/>
  <c r="K24" i="3"/>
  <c r="L46" i="3"/>
  <c r="CF26" i="3" s="1"/>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L4" i="3"/>
  <c r="L64" i="3"/>
  <c r="L54" i="3"/>
  <c r="K88" i="3"/>
  <c r="K87" i="3"/>
  <c r="CF47" i="3" s="1"/>
  <c r="K61" i="3"/>
  <c r="CF37" i="3" s="1"/>
  <c r="L47" i="3"/>
  <c r="CF29" i="3" s="1"/>
  <c r="CF49" i="3"/>
  <c r="CF45" i="3"/>
  <c r="CF16" i="3"/>
  <c r="E9" i="51"/>
  <c r="CF22" i="3"/>
  <c r="B46" i="51"/>
  <c r="B47" i="51" s="1"/>
  <c r="E10" i="51"/>
  <c r="E28" i="48"/>
  <c r="F27" i="48" a="1"/>
  <c r="F27" i="48" s="1"/>
  <c r="E12" i="51"/>
  <c r="E11" i="51"/>
  <c r="CF50" i="3" l="1"/>
  <c r="CF35" i="3"/>
  <c r="CF33" i="3"/>
  <c r="CF23" i="3"/>
  <c r="CF14" i="3"/>
  <c r="CF25" i="3"/>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O89" i="3"/>
  <c r="O48" i="3"/>
  <c r="E31" i="48"/>
  <c r="F30" i="48" a="1"/>
  <c r="F30" i="48" s="1"/>
  <c r="N71" i="3" l="1"/>
  <c r="O46" i="3"/>
  <c r="O88" i="3"/>
  <c r="O93" i="3"/>
  <c r="O78" i="3"/>
  <c r="O53" i="3"/>
  <c r="CJ32" i="3" s="1"/>
  <c r="N96" i="3"/>
  <c r="O80" i="3"/>
  <c r="N47" i="3"/>
  <c r="O22" i="3"/>
  <c r="CJ17" i="3" s="1"/>
  <c r="N84" i="3"/>
  <c r="CJ47" i="3" s="1"/>
  <c r="O97" i="3"/>
  <c r="O16" i="3"/>
  <c r="N15" i="3"/>
  <c r="CK12" i="3" s="1"/>
  <c r="O15" i="3"/>
  <c r="CI10" i="3" s="1"/>
  <c r="O61" i="3"/>
  <c r="CJ36" i="3" s="1"/>
  <c r="CJ37" i="3"/>
  <c r="N13" i="3"/>
  <c r="CJ13" i="3" s="1"/>
  <c r="N65" i="3"/>
  <c r="O69" i="3"/>
  <c r="O62" i="3"/>
  <c r="N55" i="3"/>
  <c r="O20" i="3"/>
  <c r="O64" i="3"/>
  <c r="N5" i="3"/>
  <c r="CK9" i="3" s="1"/>
  <c r="O14" i="3"/>
  <c r="CI13" i="3" s="1"/>
  <c r="N93" i="3"/>
  <c r="CK53" i="3" s="1"/>
  <c r="N33" i="3"/>
  <c r="N52" i="3"/>
  <c r="CJ31" i="3" s="1"/>
  <c r="O57" i="3"/>
  <c r="N17" i="3"/>
  <c r="O31" i="3"/>
  <c r="O84" i="3"/>
  <c r="CJ46" i="3" s="1"/>
  <c r="O45" i="3"/>
  <c r="N9" i="3"/>
  <c r="O52" i="3"/>
  <c r="N80" i="3"/>
  <c r="O55" i="3"/>
  <c r="O81" i="3"/>
  <c r="N76" i="3"/>
  <c r="CK43" i="3" s="1"/>
  <c r="O29" i="3"/>
  <c r="CI20" i="3" s="1"/>
  <c r="O71" i="3"/>
  <c r="N69" i="3"/>
  <c r="O37" i="3"/>
  <c r="CI24" i="3" s="1"/>
  <c r="O60" i="3"/>
  <c r="O47" i="3"/>
  <c r="N8" i="3"/>
  <c r="N31" i="3"/>
  <c r="CI19" i="3" s="1"/>
  <c r="N48" i="3"/>
  <c r="O54" i="3"/>
  <c r="CK30" i="3" s="1"/>
  <c r="N16" i="3"/>
  <c r="O56" i="3"/>
  <c r="O38" i="3"/>
  <c r="N73" i="3"/>
  <c r="N24" i="3"/>
  <c r="N64" i="3"/>
  <c r="O5" i="3"/>
  <c r="CI8" i="3" s="1"/>
  <c r="O70" i="3"/>
  <c r="CJ38" i="3" s="1"/>
  <c r="N39" i="3"/>
  <c r="O40" i="3"/>
  <c r="O13" i="3"/>
  <c r="CJ12" i="3" s="1"/>
  <c r="N22" i="3"/>
  <c r="CI15" i="3" s="1"/>
  <c r="N89" i="3"/>
  <c r="O4" i="3"/>
  <c r="CI6" i="3" s="1"/>
  <c r="N62" i="3"/>
  <c r="CK36" i="3" s="1"/>
  <c r="O92" i="3"/>
  <c r="CI50" i="3" s="1"/>
  <c r="N60" i="3"/>
  <c r="CJ35" i="3" s="1"/>
  <c r="O41" i="3"/>
  <c r="N36" i="3"/>
  <c r="CK23" i="3" s="1"/>
  <c r="N4" i="3"/>
  <c r="CK7" i="3" s="1"/>
  <c r="N92" i="3"/>
  <c r="CK51" i="3" s="1"/>
  <c r="O76" i="3"/>
  <c r="CI42" i="3" s="1"/>
  <c r="N79" i="3"/>
  <c r="CI43" i="3" s="1"/>
  <c r="N81" i="3"/>
  <c r="N46" i="3"/>
  <c r="N68" i="3"/>
  <c r="CK39" i="3" s="1"/>
  <c r="O49" i="3"/>
  <c r="O32" i="3"/>
  <c r="N23" i="3"/>
  <c r="N70" i="3"/>
  <c r="N20" i="3"/>
  <c r="CK15" i="3" s="1"/>
  <c r="N30" i="3"/>
  <c r="CK20" i="3" s="1"/>
  <c r="O39" i="3"/>
  <c r="CJ25" i="3" s="1"/>
  <c r="N29" i="3"/>
  <c r="CK21" i="3" s="1"/>
  <c r="N40" i="3"/>
  <c r="O8" i="3"/>
  <c r="CK27" i="3" s="1"/>
  <c r="O33" i="3"/>
  <c r="N94" i="3"/>
  <c r="O9" i="3"/>
  <c r="O23" i="3"/>
  <c r="O95" i="3"/>
  <c r="N87" i="3"/>
  <c r="N88" i="3"/>
  <c r="CJ28" i="3"/>
  <c r="CJ51" i="3"/>
  <c r="CJ19" i="3"/>
  <c r="CI12" i="3"/>
  <c r="CK35" i="3"/>
  <c r="CK45" i="3"/>
  <c r="CJ45" i="3"/>
  <c r="CJ42" i="3"/>
  <c r="CK6" i="3"/>
  <c r="CK33" i="3"/>
  <c r="CJ52" i="3"/>
  <c r="CJ53" i="3"/>
  <c r="CK48" i="3"/>
  <c r="CJ29" i="3"/>
  <c r="CK50" i="3"/>
  <c r="CI33" i="3"/>
  <c r="CK37" i="3"/>
  <c r="CK44" i="3"/>
  <c r="CK28" i="3"/>
  <c r="CJ10" i="3"/>
  <c r="CJ21" i="3"/>
  <c r="CJ49" i="3"/>
  <c r="CI32" i="3"/>
  <c r="CJ43" i="3"/>
  <c r="CI47" i="3"/>
  <c r="CK18" i="3"/>
  <c r="CI49" i="3"/>
  <c r="CI17" i="3"/>
  <c r="CI31" i="3"/>
  <c r="CJ11" i="3"/>
  <c r="CK13" i="3"/>
  <c r="CI35" i="3"/>
  <c r="CI18" i="3"/>
  <c r="CK19" i="3"/>
  <c r="CI46" i="3"/>
  <c r="CK24" i="3"/>
  <c r="CI26" i="3"/>
  <c r="CK42" i="3"/>
  <c r="CI25" i="3"/>
  <c r="CI40" i="3"/>
  <c r="CK41" i="3"/>
  <c r="CI27" i="3"/>
  <c r="CK26" i="3"/>
  <c r="CI23" i="3"/>
  <c r="CJ20" i="3"/>
  <c r="CI16" i="3"/>
  <c r="CI51" i="3"/>
  <c r="CI45" i="3"/>
  <c r="CK31" i="3"/>
  <c r="CK22" i="3"/>
  <c r="CJ33" i="3"/>
  <c r="CI22" i="3"/>
  <c r="CI11" i="3"/>
  <c r="CI7" i="3"/>
  <c r="CK52" i="3"/>
  <c r="CJ44" i="3"/>
  <c r="CK25" i="3"/>
  <c r="CI44" i="3"/>
  <c r="CK47" i="3"/>
  <c r="CI53" i="3"/>
  <c r="CK46" i="3"/>
  <c r="CK49" i="3"/>
  <c r="CI9" i="3"/>
  <c r="CK38" i="3"/>
  <c r="CK17" i="3"/>
  <c r="CK8" i="3"/>
  <c r="CI29" i="3"/>
  <c r="CJ9" i="3"/>
  <c r="CK10" i="3"/>
  <c r="CJ50" i="3"/>
  <c r="CK16" i="3"/>
  <c r="CJ18" i="3"/>
  <c r="CI36" i="3"/>
  <c r="CI21" i="3"/>
  <c r="CJ22" i="3"/>
  <c r="CK29" i="3"/>
  <c r="CK14" i="3"/>
  <c r="CI28" i="3"/>
  <c r="CI34" i="3"/>
  <c r="CJ16" i="3"/>
  <c r="CJ48" i="3"/>
  <c r="CI39" i="3"/>
  <c r="CI37" i="3"/>
  <c r="CI30" i="3"/>
  <c r="CK11" i="3"/>
  <c r="CI52" i="3"/>
  <c r="CK34" i="3"/>
  <c r="CK32" i="3"/>
  <c r="CI48" i="3"/>
  <c r="CJ6" i="3"/>
  <c r="CJ24" i="3"/>
  <c r="CJ8" i="3"/>
  <c r="CJ7" i="3"/>
  <c r="CJ39" i="3"/>
  <c r="CJ23" i="3"/>
  <c r="CJ34" i="3"/>
  <c r="CJ27" i="3"/>
  <c r="CJ26" i="3"/>
  <c r="CJ41" i="3"/>
  <c r="E32" i="48"/>
  <c r="F31" i="48" a="1"/>
  <c r="F31" i="48" s="1"/>
  <c r="CI38" i="3" l="1"/>
  <c r="CI41" i="3"/>
  <c r="CL41" i="3" s="1"/>
  <c r="CK40" i="3"/>
  <c r="CJ30" i="3"/>
  <c r="CL30" i="3" s="1"/>
  <c r="CI14" i="3"/>
  <c r="CJ15" i="3"/>
  <c r="CL15" i="3" s="1"/>
  <c r="CL32" i="3"/>
  <c r="CL42" i="3"/>
  <c r="CL53" i="3"/>
  <c r="CJ14"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L14" i="3" l="1"/>
  <c r="CM36" i="3" s="1"/>
  <c r="CM25" i="3"/>
  <c r="CM42" i="3"/>
  <c r="CM34" i="3"/>
  <c r="CM47" i="3"/>
  <c r="CM29" i="3"/>
  <c r="CM20" i="3"/>
  <c r="CM8" i="3"/>
  <c r="CM48" i="3"/>
  <c r="CM18" i="3"/>
  <c r="CM46" i="3"/>
  <c r="CM33" i="3"/>
  <c r="CM44" i="3"/>
  <c r="CM9" i="3"/>
  <c r="CM45" i="3"/>
  <c r="CM40" i="3"/>
  <c r="CM31" i="3"/>
  <c r="CM35" i="3"/>
  <c r="CM19" i="3"/>
  <c r="CM37" i="3"/>
  <c r="CM51" i="3"/>
  <c r="CM23" i="3"/>
  <c r="CM30" i="3"/>
  <c r="CM53" i="3"/>
  <c r="CM13" i="3"/>
  <c r="CM11" i="3"/>
  <c r="CM6" i="3"/>
  <c r="CM7" i="3"/>
  <c r="CM22" i="3"/>
  <c r="CM49" i="3"/>
  <c r="CM24" i="3"/>
  <c r="CM28" i="3"/>
  <c r="CM21" i="3"/>
  <c r="CM12" i="3"/>
  <c r="CM43" i="3"/>
  <c r="CM39" i="3"/>
  <c r="CM16" i="3"/>
  <c r="CM32" i="3"/>
  <c r="CM17" i="3"/>
  <c r="F33" i="48" a="1"/>
  <c r="F33" i="48" s="1"/>
  <c r="E34" i="48"/>
  <c r="CM50" i="3" l="1"/>
  <c r="CM38" i="3"/>
  <c r="CM27" i="3"/>
  <c r="CM41" i="3"/>
  <c r="CM52" i="3"/>
  <c r="CM26" i="3"/>
  <c r="CM10" i="3"/>
  <c r="CM14" i="3"/>
  <c r="CM15" i="3"/>
  <c r="R25" i="3"/>
  <c r="F34" i="48" a="1"/>
  <c r="F34" i="48" s="1"/>
  <c r="E35" i="48"/>
  <c r="CN32" i="3" l="1"/>
  <c r="R54" i="3" s="1"/>
  <c r="CN19" i="3"/>
  <c r="Q33" i="3" s="1"/>
  <c r="CN30" i="3"/>
  <c r="Q54" i="3" s="1"/>
  <c r="CN39" i="3"/>
  <c r="R71" i="3" s="1"/>
  <c r="CN52" i="3"/>
  <c r="R97" i="3" s="1"/>
  <c r="CN22" i="3"/>
  <c r="Q38" i="3" s="1"/>
  <c r="CN12" i="3"/>
  <c r="Q13" i="3" s="1"/>
  <c r="CN50" i="3"/>
  <c r="Q92" i="3" s="1"/>
  <c r="CN42" i="3"/>
  <c r="Q76" i="3" s="1"/>
  <c r="CN13" i="3"/>
  <c r="R13" i="3" s="1"/>
  <c r="CN48" i="3"/>
  <c r="Q85" i="3" s="1"/>
  <c r="CN38" i="3"/>
  <c r="Q68" i="3" s="1"/>
  <c r="CN23" i="3"/>
  <c r="Q40" i="3" s="1"/>
  <c r="CN36" i="3"/>
  <c r="Q61" i="3" s="1"/>
  <c r="CN29" i="3"/>
  <c r="R45" i="3" s="1"/>
  <c r="CN43" i="3"/>
  <c r="Q80" i="3" s="1"/>
  <c r="CN35" i="3"/>
  <c r="R60" i="3" s="1"/>
  <c r="CN53" i="3"/>
  <c r="R93" i="3" s="1"/>
  <c r="CN7" i="3"/>
  <c r="R4" i="3" s="1"/>
  <c r="CN8" i="3"/>
  <c r="R9" i="3" s="1"/>
  <c r="CN47" i="3"/>
  <c r="R84" i="3" s="1"/>
  <c r="CN17" i="3"/>
  <c r="Q24" i="3" s="1"/>
  <c r="CN28" i="3"/>
  <c r="R46" i="3" s="1"/>
  <c r="CN31" i="3"/>
  <c r="Q56" i="3" s="1"/>
  <c r="CN49" i="3"/>
  <c r="Q88" i="3" s="1"/>
  <c r="CN44" i="3"/>
  <c r="Q77" i="3" s="1"/>
  <c r="CN34" i="3"/>
  <c r="Q60" i="3" s="1"/>
  <c r="CN15" i="3"/>
  <c r="R22" i="3" s="1"/>
  <c r="CN25" i="3"/>
  <c r="Q39" i="3" s="1"/>
  <c r="CN40" i="3"/>
  <c r="R70" i="3" s="1"/>
  <c r="CN6" i="3"/>
  <c r="Q7" i="3" s="1"/>
  <c r="CN11" i="3"/>
  <c r="R14" i="3" s="1"/>
  <c r="CN33" i="3"/>
  <c r="Q57" i="3" s="1"/>
  <c r="CN41" i="3"/>
  <c r="Q71" i="3" s="1"/>
  <c r="CN46" i="3"/>
  <c r="Q86" i="3" s="1"/>
  <c r="CN16" i="3"/>
  <c r="Q21" i="3" s="1"/>
  <c r="CN21" i="3"/>
  <c r="Q32" i="3" s="1"/>
  <c r="CN20" i="3"/>
  <c r="R33" i="3" s="1"/>
  <c r="CN18" i="3"/>
  <c r="Q30" i="3" s="1"/>
  <c r="CN9" i="3"/>
  <c r="R5" i="3" s="1"/>
  <c r="CN14" i="3"/>
  <c r="Q23" i="3" s="1"/>
  <c r="CN26" i="3"/>
  <c r="Q44" i="3" s="1"/>
  <c r="CN10" i="3"/>
  <c r="Q15" i="3" s="1"/>
  <c r="CN51" i="3"/>
  <c r="R95" i="3" s="1"/>
  <c r="CN24" i="3"/>
  <c r="R40" i="3" s="1"/>
  <c r="CN37" i="3"/>
  <c r="R61" i="3" s="1"/>
  <c r="CN27" i="3"/>
  <c r="R47" i="3" s="1"/>
  <c r="CN45" i="3"/>
  <c r="Q81" i="3" s="1"/>
  <c r="R48" i="3"/>
  <c r="R16" i="3"/>
  <c r="R49" i="3"/>
  <c r="Q78" i="3"/>
  <c r="Q48" i="3"/>
  <c r="Q72" i="3"/>
  <c r="Q64" i="3"/>
  <c r="Q49" i="3"/>
  <c r="Q73" i="3"/>
  <c r="R41" i="3"/>
  <c r="R57" i="3"/>
  <c r="Q16" i="3"/>
  <c r="R89" i="3"/>
  <c r="R88" i="3"/>
  <c r="R80" i="3"/>
  <c r="R81" i="3"/>
  <c r="Q9" i="3"/>
  <c r="Q25" i="3"/>
  <c r="R32" i="3"/>
  <c r="Q97" i="3"/>
  <c r="R24" i="3"/>
  <c r="Q8" i="3"/>
  <c r="R8" i="3"/>
  <c r="R73" i="3"/>
  <c r="Q89" i="3"/>
  <c r="R17" i="3"/>
  <c r="Q17" i="3"/>
  <c r="R64" i="3"/>
  <c r="R72" i="3"/>
  <c r="Q65" i="3"/>
  <c r="Q96" i="3"/>
  <c r="R96" i="3"/>
  <c r="R56" i="3"/>
  <c r="Q41" i="3"/>
  <c r="R65" i="3"/>
  <c r="F35" i="48" a="1"/>
  <c r="F35" i="48" s="1"/>
  <c r="E36" i="48"/>
  <c r="Q87" i="3" l="1"/>
  <c r="R87" i="3"/>
  <c r="Q95" i="3"/>
  <c r="R79" i="3"/>
  <c r="Q94" i="3"/>
  <c r="CP52" i="3" s="1"/>
  <c r="R94" i="3"/>
  <c r="R86" i="3"/>
  <c r="Q79" i="3"/>
  <c r="CP43" i="3" s="1"/>
  <c r="R31" i="3"/>
  <c r="R63" i="3"/>
  <c r="CO37" i="3" s="1"/>
  <c r="R78" i="3"/>
  <c r="Q70" i="3"/>
  <c r="R28" i="3"/>
  <c r="Q52" i="3"/>
  <c r="R68" i="3"/>
  <c r="CO38" i="3" s="1"/>
  <c r="R55" i="3"/>
  <c r="Q55" i="3"/>
  <c r="R6" i="3"/>
  <c r="Q63" i="3"/>
  <c r="CO35" i="3" s="1"/>
  <c r="Q53" i="3"/>
  <c r="R15" i="3"/>
  <c r="R69" i="3"/>
  <c r="R36" i="3"/>
  <c r="Q36" i="3"/>
  <c r="CO23" i="3" s="1"/>
  <c r="Q62" i="3"/>
  <c r="Q5" i="3"/>
  <c r="Q4" i="3"/>
  <c r="R62" i="3"/>
  <c r="Q93" i="3"/>
  <c r="CP53" i="3" s="1"/>
  <c r="R39" i="3"/>
  <c r="Q28" i="3"/>
  <c r="Q14" i="3"/>
  <c r="Q45" i="3"/>
  <c r="R85" i="3"/>
  <c r="R44" i="3"/>
  <c r="CO26" i="3" s="1"/>
  <c r="R76" i="3"/>
  <c r="CO42" i="3" s="1"/>
  <c r="Q47" i="3"/>
  <c r="CO27" i="3" s="1"/>
  <c r="Q69" i="3"/>
  <c r="CO41" i="3" s="1"/>
  <c r="Q22" i="3"/>
  <c r="R37" i="3"/>
  <c r="R21" i="3"/>
  <c r="R23" i="3"/>
  <c r="Q84" i="3"/>
  <c r="CP47" i="3" s="1"/>
  <c r="Q12" i="3"/>
  <c r="CO39" i="3"/>
  <c r="R53" i="3"/>
  <c r="CP32" i="3" s="1"/>
  <c r="R12" i="3"/>
  <c r="R7" i="3"/>
  <c r="R20" i="3"/>
  <c r="Q29" i="3"/>
  <c r="CP27" i="3"/>
  <c r="R30" i="3"/>
  <c r="Q31" i="3"/>
  <c r="R52" i="3"/>
  <c r="CP30" i="3" s="1"/>
  <c r="R29" i="3"/>
  <c r="CP20" i="3" s="1"/>
  <c r="CO51" i="3"/>
  <c r="Q20" i="3"/>
  <c r="R77" i="3"/>
  <c r="CP44" i="3" s="1"/>
  <c r="R38" i="3"/>
  <c r="R92" i="3"/>
  <c r="Q6" i="3"/>
  <c r="Q37" i="3"/>
  <c r="Q46" i="3"/>
  <c r="CO8" i="3"/>
  <c r="CP51" i="3"/>
  <c r="CP8" i="3"/>
  <c r="CP36" i="3"/>
  <c r="CO36" i="3"/>
  <c r="CO21" i="3"/>
  <c r="CP39" i="3"/>
  <c r="CP21" i="3"/>
  <c r="CP34" i="3"/>
  <c r="CP13" i="3"/>
  <c r="CP45" i="3"/>
  <c r="CP18" i="3"/>
  <c r="CO12" i="3"/>
  <c r="CP46" i="3"/>
  <c r="CP16" i="3"/>
  <c r="CP49" i="3"/>
  <c r="CO16" i="3"/>
  <c r="CO22" i="3"/>
  <c r="CO46" i="3"/>
  <c r="CO49" i="3"/>
  <c r="CO45" i="3"/>
  <c r="CO13" i="3"/>
  <c r="CO29" i="3"/>
  <c r="CP31" i="3"/>
  <c r="CO17" i="3"/>
  <c r="CP48" i="3"/>
  <c r="CP17" i="3"/>
  <c r="CO18" i="3"/>
  <c r="CP6" i="3"/>
  <c r="CP22" i="3"/>
  <c r="CO24" i="3"/>
  <c r="CP33" i="3"/>
  <c r="CP12" i="3"/>
  <c r="CO43" i="3"/>
  <c r="CO34" i="3"/>
  <c r="CO6" i="3"/>
  <c r="CP24" i="3"/>
  <c r="CO31" i="3"/>
  <c r="CO28" i="3"/>
  <c r="CO48" i="3"/>
  <c r="CP28" i="3"/>
  <c r="CP29" i="3"/>
  <c r="CO33" i="3"/>
  <c r="E37" i="48"/>
  <c r="F36" i="48" a="1"/>
  <c r="F36" i="48" s="1"/>
  <c r="CO52" i="3" l="1"/>
  <c r="CO50" i="3"/>
  <c r="CP37" i="3"/>
  <c r="CP35" i="3"/>
  <c r="CQ35" i="3" s="1"/>
  <c r="CO53" i="3"/>
  <c r="CQ53" i="3" s="1"/>
  <c r="CP38" i="3"/>
  <c r="CQ38" i="3" s="1"/>
  <c r="CP40" i="3"/>
  <c r="CO40" i="3"/>
  <c r="CP9" i="3"/>
  <c r="CO47" i="3"/>
  <c r="CQ47" i="3" s="1"/>
  <c r="CP23" i="3"/>
  <c r="CQ23" i="3" s="1"/>
  <c r="CO10" i="3"/>
  <c r="CP7" i="3"/>
  <c r="CO25" i="3"/>
  <c r="CO32" i="3"/>
  <c r="CQ32" i="3" s="1"/>
  <c r="CO11" i="3"/>
  <c r="CO9" i="3"/>
  <c r="CP26" i="3"/>
  <c r="CQ26" i="3" s="1"/>
  <c r="CO19" i="3"/>
  <c r="CO20" i="3"/>
  <c r="CQ20" i="3" s="1"/>
  <c r="CP42" i="3"/>
  <c r="CQ42" i="3" s="1"/>
  <c r="CO14" i="3"/>
  <c r="CP19" i="3"/>
  <c r="CP14" i="3"/>
  <c r="CO30" i="3"/>
  <c r="CQ30" i="3" s="1"/>
  <c r="CO15" i="3"/>
  <c r="CP41" i="3"/>
  <c r="CQ41" i="3" s="1"/>
  <c r="CP11" i="3"/>
  <c r="CO44" i="3"/>
  <c r="CQ44" i="3" s="1"/>
  <c r="CP15" i="3"/>
  <c r="CP10" i="3"/>
  <c r="CQ51" i="3"/>
  <c r="CQ39" i="3"/>
  <c r="CP25" i="3"/>
  <c r="CO7" i="3"/>
  <c r="CQ27" i="3"/>
  <c r="CP50" i="3"/>
  <c r="CQ50" i="3" s="1"/>
  <c r="CQ6" i="3"/>
  <c r="CQ48" i="3"/>
  <c r="CQ49" i="3"/>
  <c r="CQ46" i="3"/>
  <c r="CQ33" i="3"/>
  <c r="CQ31" i="3"/>
  <c r="CQ13" i="3"/>
  <c r="CQ16" i="3"/>
  <c r="CQ8" i="3"/>
  <c r="CQ45" i="3"/>
  <c r="CQ36" i="3"/>
  <c r="CQ24" i="3"/>
  <c r="CQ21" i="3"/>
  <c r="CQ34" i="3"/>
  <c r="CQ52" i="3"/>
  <c r="CQ28" i="3"/>
  <c r="CQ29" i="3"/>
  <c r="CQ12" i="3"/>
  <c r="CQ22" i="3"/>
  <c r="CQ43" i="3"/>
  <c r="CQ17" i="3"/>
  <c r="CQ37" i="3"/>
  <c r="CQ18" i="3"/>
  <c r="E38" i="48"/>
  <c r="F37" i="48" a="1"/>
  <c r="F37" i="48" s="1"/>
  <c r="CQ40" i="3" l="1"/>
  <c r="CQ9" i="3"/>
  <c r="CQ10" i="3"/>
  <c r="CQ7" i="3"/>
  <c r="CQ25" i="3"/>
  <c r="CQ11" i="3"/>
  <c r="CQ19" i="3"/>
  <c r="CR20" i="3" s="1"/>
  <c r="CQ14" i="3"/>
  <c r="CQ15" i="3"/>
  <c r="CR16" i="3"/>
  <c r="CR22" i="3"/>
  <c r="CR48" i="3"/>
  <c r="CR18" i="3"/>
  <c r="CR21" i="3"/>
  <c r="CR8" i="3"/>
  <c r="CR36" i="3"/>
  <c r="CR28" i="3"/>
  <c r="CR24" i="3"/>
  <c r="CR34" i="3"/>
  <c r="CR49" i="3"/>
  <c r="CR30" i="3"/>
  <c r="CR17" i="3"/>
  <c r="CR31" i="3"/>
  <c r="CR33" i="3"/>
  <c r="CR6" i="3"/>
  <c r="CR29" i="3"/>
  <c r="F38" i="48" a="1"/>
  <c r="F38" i="48" s="1"/>
  <c r="E39" i="48"/>
  <c r="CR44" i="3" l="1"/>
  <c r="CR32" i="3"/>
  <c r="CR40" i="3"/>
  <c r="CR11" i="3"/>
  <c r="CR27" i="3"/>
  <c r="CR39" i="3"/>
  <c r="CR9" i="3"/>
  <c r="CR15" i="3"/>
  <c r="CR53" i="3"/>
  <c r="CR47" i="3"/>
  <c r="CR51" i="3"/>
  <c r="CR19" i="3"/>
  <c r="CR41" i="3"/>
  <c r="CR35" i="3"/>
  <c r="CR46" i="3"/>
  <c r="CR25" i="3"/>
  <c r="CR50" i="3"/>
  <c r="CR14" i="3"/>
  <c r="CR26" i="3"/>
  <c r="CR45" i="3"/>
  <c r="CR43" i="3"/>
  <c r="CR7" i="3"/>
  <c r="CR37" i="3"/>
  <c r="CR12" i="3"/>
  <c r="CR38" i="3"/>
  <c r="CR23" i="3"/>
  <c r="CR52" i="3"/>
  <c r="CR13" i="3"/>
  <c r="CR10" i="3"/>
  <c r="CR42" i="3"/>
  <c r="E40" i="48"/>
  <c r="F39" i="48" a="1"/>
  <c r="F39" i="48" s="1"/>
  <c r="CS12" i="3" l="1"/>
  <c r="T13" i="3" s="1"/>
  <c r="CS46" i="3"/>
  <c r="U88" i="3" s="1"/>
  <c r="CS44" i="3"/>
  <c r="U78" i="3" s="1"/>
  <c r="CS53" i="3"/>
  <c r="U93" i="3" s="1"/>
  <c r="CS6" i="3"/>
  <c r="CT6" i="3" s="1"/>
  <c r="CS45" i="3"/>
  <c r="U77" i="3" s="1"/>
  <c r="CS42" i="3"/>
  <c r="T76" i="3" s="1"/>
  <c r="CS8" i="3"/>
  <c r="U7" i="3" s="1"/>
  <c r="CS13" i="3"/>
  <c r="T14" i="3" s="1"/>
  <c r="CS52" i="3"/>
  <c r="T93" i="3" s="1"/>
  <c r="CS23" i="3"/>
  <c r="U39" i="3" s="1"/>
  <c r="CS18" i="3"/>
  <c r="T28" i="3" s="1"/>
  <c r="CS33" i="3"/>
  <c r="U53" i="3" s="1"/>
  <c r="CS30" i="3"/>
  <c r="T52" i="3" s="1"/>
  <c r="CS17" i="3"/>
  <c r="U21" i="3" s="1"/>
  <c r="CS35" i="3"/>
  <c r="U60" i="3" s="1"/>
  <c r="CS36" i="3"/>
  <c r="T61" i="3" s="1"/>
  <c r="CS37" i="3"/>
  <c r="U61" i="3" s="1"/>
  <c r="CS10" i="3"/>
  <c r="T15" i="3" s="1"/>
  <c r="CS22" i="3"/>
  <c r="U41" i="3" s="1"/>
  <c r="CS51" i="3"/>
  <c r="U92" i="3" s="1"/>
  <c r="CS43" i="3"/>
  <c r="U76" i="3" s="1"/>
  <c r="CS40" i="3"/>
  <c r="T69" i="3" s="1"/>
  <c r="CS50" i="3"/>
  <c r="T92" i="3" s="1"/>
  <c r="CS29" i="3"/>
  <c r="U45" i="3" s="1"/>
  <c r="CS24" i="3"/>
  <c r="U38" i="3" s="1"/>
  <c r="CS31" i="3"/>
  <c r="U52" i="3" s="1"/>
  <c r="CS38" i="3"/>
  <c r="T68" i="3" s="1"/>
  <c r="CS15" i="3"/>
  <c r="T25" i="3" s="1"/>
  <c r="CS11" i="3"/>
  <c r="U14" i="3" s="1"/>
  <c r="CS32" i="3"/>
  <c r="T53" i="3" s="1"/>
  <c r="CS25" i="3"/>
  <c r="T41" i="3" s="1"/>
  <c r="CS34" i="3"/>
  <c r="T60" i="3" s="1"/>
  <c r="CS20" i="3"/>
  <c r="T29" i="3" s="1"/>
  <c r="CS41" i="3"/>
  <c r="U69" i="3" s="1"/>
  <c r="CS48" i="3"/>
  <c r="T85" i="3" s="1"/>
  <c r="CS19" i="3"/>
  <c r="U28" i="3" s="1"/>
  <c r="CS16" i="3"/>
  <c r="U25" i="3" s="1"/>
  <c r="CS49" i="3"/>
  <c r="U85" i="3" s="1"/>
  <c r="CS39" i="3"/>
  <c r="U68" i="3" s="1"/>
  <c r="CS21" i="3"/>
  <c r="U29" i="3" s="1"/>
  <c r="CS9" i="3"/>
  <c r="U5" i="3" s="1"/>
  <c r="CS47" i="3"/>
  <c r="U84" i="3" s="1"/>
  <c r="CS7" i="3"/>
  <c r="U4" i="3" s="1"/>
  <c r="CS28" i="3"/>
  <c r="U46" i="3" s="1"/>
  <c r="CS27" i="3"/>
  <c r="U44" i="3" s="1"/>
  <c r="CS14" i="3"/>
  <c r="T20" i="3" s="1"/>
  <c r="CS26" i="3"/>
  <c r="T46" i="3" s="1"/>
  <c r="T16" i="3"/>
  <c r="U64" i="3"/>
  <c r="U40" i="3"/>
  <c r="U89" i="3"/>
  <c r="T96" i="3"/>
  <c r="T64" i="3"/>
  <c r="T56" i="3"/>
  <c r="U65" i="3"/>
  <c r="T80" i="3"/>
  <c r="U32" i="3"/>
  <c r="T24" i="3"/>
  <c r="U16" i="3"/>
  <c r="U56" i="3"/>
  <c r="T97" i="3"/>
  <c r="T33" i="3"/>
  <c r="T8" i="3"/>
  <c r="T9" i="3"/>
  <c r="U17" i="3"/>
  <c r="T89" i="3"/>
  <c r="T65" i="3"/>
  <c r="T40" i="3"/>
  <c r="U80" i="3"/>
  <c r="U48" i="3"/>
  <c r="T49" i="3"/>
  <c r="T72" i="3"/>
  <c r="U72" i="3"/>
  <c r="T73" i="3"/>
  <c r="T32" i="3"/>
  <c r="T88" i="3"/>
  <c r="T95" i="3"/>
  <c r="U96" i="3"/>
  <c r="T57" i="3"/>
  <c r="U49" i="3"/>
  <c r="U87" i="3"/>
  <c r="U9" i="3"/>
  <c r="T87" i="3"/>
  <c r="U57" i="3"/>
  <c r="T86" i="3"/>
  <c r="U8" i="3"/>
  <c r="T81" i="3"/>
  <c r="U97" i="3"/>
  <c r="T17" i="3"/>
  <c r="U33" i="3"/>
  <c r="U81" i="3"/>
  <c r="U24" i="3"/>
  <c r="U94" i="3"/>
  <c r="T48" i="3"/>
  <c r="U73" i="3"/>
  <c r="E41" i="48"/>
  <c r="F40" i="48" a="1"/>
  <c r="F40" i="48" s="1"/>
  <c r="T94" i="3" l="1"/>
  <c r="U95" i="3"/>
  <c r="T22" i="3"/>
  <c r="U86" i="3"/>
  <c r="U15" i="3"/>
  <c r="T77" i="3"/>
  <c r="T79" i="3"/>
  <c r="CT43" i="3" s="1"/>
  <c r="U70" i="3"/>
  <c r="CT38" i="3" s="1"/>
  <c r="U13" i="3"/>
  <c r="U62" i="3"/>
  <c r="U79" i="3"/>
  <c r="T63" i="3"/>
  <c r="CT35" i="3" s="1"/>
  <c r="T54" i="3"/>
  <c r="CT32" i="3" s="1"/>
  <c r="T4" i="3"/>
  <c r="T62" i="3"/>
  <c r="T71" i="3"/>
  <c r="CT39" i="3" s="1"/>
  <c r="U71" i="3"/>
  <c r="CT41" i="3" s="1"/>
  <c r="T70" i="3"/>
  <c r="CT40" i="3" s="1"/>
  <c r="T84" i="3"/>
  <c r="CT47" i="3" s="1"/>
  <c r="T7" i="3"/>
  <c r="U36" i="3"/>
  <c r="CT51" i="3"/>
  <c r="T55" i="3"/>
  <c r="T6" i="3"/>
  <c r="T47" i="3"/>
  <c r="U55" i="3"/>
  <c r="T31" i="3"/>
  <c r="CT19" i="3" s="1"/>
  <c r="T78" i="3"/>
  <c r="CT44" i="3" s="1"/>
  <c r="T5" i="3"/>
  <c r="T45" i="3"/>
  <c r="U54" i="3"/>
  <c r="CT30" i="3" s="1"/>
  <c r="U63" i="3"/>
  <c r="CT37" i="3" s="1"/>
  <c r="U20" i="3"/>
  <c r="U30" i="3"/>
  <c r="T12" i="3"/>
  <c r="CT11" i="3" s="1"/>
  <c r="U12" i="3"/>
  <c r="T30" i="3"/>
  <c r="CT20" i="3" s="1"/>
  <c r="T37" i="3"/>
  <c r="CT25" i="3" s="1"/>
  <c r="U23" i="3"/>
  <c r="U31" i="3"/>
  <c r="U22" i="3"/>
  <c r="U6" i="3"/>
  <c r="T38" i="3"/>
  <c r="T36" i="3"/>
  <c r="T21" i="3"/>
  <c r="T44" i="3"/>
  <c r="T39" i="3"/>
  <c r="U47" i="3"/>
  <c r="U37" i="3"/>
  <c r="T23" i="3"/>
  <c r="CT16" i="3"/>
  <c r="CT8" i="3"/>
  <c r="CT21" i="3"/>
  <c r="CT26" i="3"/>
  <c r="CT17" i="3"/>
  <c r="CT12" i="3"/>
  <c r="CT46" i="3"/>
  <c r="CT28" i="3"/>
  <c r="CT36" i="3"/>
  <c r="CT24" i="3"/>
  <c r="CT49" i="3"/>
  <c r="CT15" i="3"/>
  <c r="CT34" i="3"/>
  <c r="CT45" i="3"/>
  <c r="CT29" i="3"/>
  <c r="CT31" i="3"/>
  <c r="CT42" i="3"/>
  <c r="CT53" i="3"/>
  <c r="CT22" i="3"/>
  <c r="CT52" i="3"/>
  <c r="CT50" i="3"/>
  <c r="CT13" i="3"/>
  <c r="CT33" i="3"/>
  <c r="CT48" i="3"/>
  <c r="CT18" i="3"/>
  <c r="E42" i="48"/>
  <c r="F41" i="48" a="1"/>
  <c r="F41" i="48" s="1"/>
  <c r="CT10" i="3" l="1"/>
  <c r="CT7" i="3"/>
  <c r="CT27" i="3"/>
  <c r="CT9" i="3"/>
  <c r="CT23" i="3"/>
  <c r="CT14" i="3"/>
  <c r="CU29" i="3"/>
  <c r="CU48" i="3"/>
  <c r="CU37" i="3"/>
  <c r="CU35" i="3"/>
  <c r="CU16" i="3"/>
  <c r="CU19" i="3"/>
  <c r="CU24" i="3"/>
  <c r="CU47" i="3"/>
  <c r="CU17" i="3"/>
  <c r="CU30" i="3"/>
  <c r="CU28" i="3"/>
  <c r="CU36" i="3"/>
  <c r="CU34" i="3"/>
  <c r="CU33" i="3"/>
  <c r="CU44" i="3"/>
  <c r="CU49" i="3"/>
  <c r="CU18" i="3"/>
  <c r="CU6" i="3"/>
  <c r="CU31" i="3"/>
  <c r="CU21" i="3"/>
  <c r="CU46" i="3"/>
  <c r="CU32" i="3"/>
  <c r="CU8" i="3"/>
  <c r="CU22" i="3"/>
  <c r="CU42" i="3"/>
  <c r="CU20" i="3"/>
  <c r="E43" i="48"/>
  <c r="F42" i="48" a="1"/>
  <c r="F42" i="48" s="1"/>
  <c r="CU53" i="3" l="1"/>
  <c r="CU13" i="3"/>
  <c r="CU41" i="3"/>
  <c r="CU9" i="3"/>
  <c r="CU25" i="3"/>
  <c r="CU7" i="3"/>
  <c r="CU11" i="3"/>
  <c r="CU51" i="3"/>
  <c r="CU14" i="3"/>
  <c r="CU50" i="3"/>
  <c r="CU39" i="3"/>
  <c r="CU26" i="3"/>
  <c r="CU45" i="3"/>
  <c r="CU40" i="3"/>
  <c r="CU23" i="3"/>
  <c r="CU12" i="3"/>
  <c r="CU27" i="3"/>
  <c r="CU38" i="3"/>
  <c r="CU43" i="3"/>
  <c r="CU10" i="3"/>
  <c r="CU52" i="3"/>
  <c r="CU15" i="3"/>
  <c r="E44" i="48"/>
  <c r="F43" i="48" a="1"/>
  <c r="F43" i="48" s="1"/>
  <c r="CV51" i="3" l="1"/>
  <c r="CW51" i="3" s="1"/>
  <c r="CV40" i="3"/>
  <c r="CW40" i="3" s="1"/>
  <c r="CV38" i="3"/>
  <c r="CW38" i="3" s="1"/>
  <c r="CV14" i="3"/>
  <c r="CW14" i="3" s="1"/>
  <c r="CV10" i="3"/>
  <c r="CW10" i="3" s="1"/>
  <c r="CV45" i="3"/>
  <c r="CW45" i="3" s="1"/>
  <c r="CV36" i="3"/>
  <c r="CW36" i="3" s="1"/>
  <c r="CV23" i="3"/>
  <c r="CW23" i="3" s="1"/>
  <c r="CV39" i="3"/>
  <c r="CW39" i="3" s="1"/>
  <c r="CV27" i="3"/>
  <c r="CW27" i="3" s="1"/>
  <c r="CV16" i="3"/>
  <c r="CW16" i="3" s="1"/>
  <c r="CV18" i="3"/>
  <c r="CW18" i="3" s="1"/>
  <c r="CV46" i="3"/>
  <c r="CW46" i="3" s="1"/>
  <c r="CV12" i="3"/>
  <c r="CW12" i="3" s="1"/>
  <c r="CV17" i="3"/>
  <c r="CW17" i="3" s="1"/>
  <c r="CV35" i="3"/>
  <c r="CW35" i="3" s="1"/>
  <c r="CV32" i="3"/>
  <c r="CW32" i="3" s="1"/>
  <c r="CV6" i="3"/>
  <c r="CW6" i="3" s="1"/>
  <c r="CV52" i="3"/>
  <c r="CW52" i="3" s="1"/>
  <c r="CV31" i="3"/>
  <c r="CW31" i="3" s="1"/>
  <c r="CV37" i="3"/>
  <c r="CW37" i="3" s="1"/>
  <c r="CV26" i="3"/>
  <c r="CW26" i="3" s="1"/>
  <c r="CV25" i="3"/>
  <c r="CW25" i="3" s="1"/>
  <c r="CV24" i="3"/>
  <c r="CW24" i="3" s="1"/>
  <c r="CV33" i="3"/>
  <c r="CW33" i="3" s="1"/>
  <c r="CV20" i="3"/>
  <c r="CW20" i="3" s="1"/>
  <c r="CV21" i="3"/>
  <c r="CW21" i="3" s="1"/>
  <c r="CV7" i="3"/>
  <c r="CW7" i="3" s="1"/>
  <c r="CV29" i="3"/>
  <c r="CW29" i="3" s="1"/>
  <c r="CV41" i="3"/>
  <c r="CW41" i="3" s="1"/>
  <c r="CV19" i="3"/>
  <c r="CW19" i="3" s="1"/>
  <c r="CV47" i="3"/>
  <c r="CW47" i="3" s="1"/>
  <c r="CV22" i="3"/>
  <c r="CW22" i="3" s="1"/>
  <c r="CV13" i="3"/>
  <c r="CW13" i="3" s="1"/>
  <c r="CV42" i="3"/>
  <c r="CW42" i="3" s="1"/>
  <c r="CV50" i="3"/>
  <c r="CW50" i="3" s="1"/>
  <c r="CV11" i="3"/>
  <c r="CW11" i="3" s="1"/>
  <c r="CV28" i="3"/>
  <c r="CW28" i="3" s="1"/>
  <c r="CV43" i="3"/>
  <c r="CW43" i="3" s="1"/>
  <c r="CV34" i="3"/>
  <c r="CW34" i="3" s="1"/>
  <c r="CV53" i="3"/>
  <c r="CW53" i="3" s="1"/>
  <c r="CV8" i="3"/>
  <c r="CW8" i="3" s="1"/>
  <c r="CV48" i="3"/>
  <c r="CW48" i="3" s="1"/>
  <c r="CV9" i="3"/>
  <c r="CW9" i="3" s="1"/>
  <c r="CV15" i="3"/>
  <c r="CW15" i="3" s="1"/>
  <c r="CV44" i="3"/>
  <c r="CW44" i="3" s="1"/>
  <c r="CV30" i="3"/>
  <c r="CW30" i="3" s="1"/>
  <c r="CV49" i="3"/>
  <c r="CW49" i="3" s="1"/>
  <c r="E45" i="48"/>
  <c r="F44" i="48" a="1"/>
  <c r="F44" i="48" s="1"/>
  <c r="CX27" i="3" l="1"/>
  <c r="CX33" i="3"/>
  <c r="CX21" i="3"/>
  <c r="CX32" i="3"/>
  <c r="CX18" i="3"/>
  <c r="CX49" i="3"/>
  <c r="CX51" i="3"/>
  <c r="CX9" i="3"/>
  <c r="CX35" i="3"/>
  <c r="CX47" i="3"/>
  <c r="CX52" i="3"/>
  <c r="CX14" i="3"/>
  <c r="CX39" i="3"/>
  <c r="CX13" i="3"/>
  <c r="CX41" i="3"/>
  <c r="CX45" i="3"/>
  <c r="CX26" i="3"/>
  <c r="CX40" i="3"/>
  <c r="CX10" i="3"/>
  <c r="CX20" i="3"/>
  <c r="CX42" i="3"/>
  <c r="CX22" i="3"/>
  <c r="CX29" i="3"/>
  <c r="CX6" i="3"/>
  <c r="CX8" i="3"/>
  <c r="CX24" i="3"/>
  <c r="CX36" i="3"/>
  <c r="CX30" i="3"/>
  <c r="CX37" i="3"/>
  <c r="CX53" i="3"/>
  <c r="CX11" i="3"/>
  <c r="CX16" i="3"/>
  <c r="CX15" i="3"/>
  <c r="CX28" i="3"/>
  <c r="CX12" i="3"/>
  <c r="CX38" i="3"/>
  <c r="CX19" i="3"/>
  <c r="CX31" i="3"/>
  <c r="CX46" i="3"/>
  <c r="CX44" i="3"/>
  <c r="CX48" i="3"/>
  <c r="CX50" i="3"/>
  <c r="CX34" i="3"/>
  <c r="CX7" i="3"/>
  <c r="CX17" i="3"/>
  <c r="CX23" i="3"/>
  <c r="CX43" i="3"/>
  <c r="CX25" i="3"/>
  <c r="F45" i="48" a="1"/>
  <c r="F45" i="48" s="1"/>
  <c r="E46" i="48"/>
  <c r="CY39" i="3" l="1"/>
  <c r="CZ39" i="3" s="1"/>
  <c r="CY8" i="3"/>
  <c r="CZ8" i="3" s="1"/>
  <c r="CY50" i="3"/>
  <c r="CZ50" i="3" s="1"/>
  <c r="CY18" i="3"/>
  <c r="CZ18" i="3" s="1"/>
  <c r="CY24" i="3"/>
  <c r="CZ24" i="3" s="1"/>
  <c r="CY46" i="3"/>
  <c r="CZ46" i="3" s="1"/>
  <c r="CY31" i="3"/>
  <c r="CZ31" i="3" s="1"/>
  <c r="CY47" i="3"/>
  <c r="CZ47" i="3" s="1"/>
  <c r="CY36" i="3"/>
  <c r="CZ36" i="3" s="1"/>
  <c r="CY9" i="3"/>
  <c r="CZ9" i="3" s="1"/>
  <c r="CY48" i="3"/>
  <c r="CZ48" i="3" s="1"/>
  <c r="CY43" i="3"/>
  <c r="CZ43" i="3" s="1"/>
  <c r="CY16" i="3"/>
  <c r="CZ16" i="3" s="1"/>
  <c r="CY32" i="3"/>
  <c r="CZ32" i="3" s="1"/>
  <c r="CY53" i="3"/>
  <c r="CZ53" i="3" s="1"/>
  <c r="CY44" i="3"/>
  <c r="CZ44" i="3" s="1"/>
  <c r="CY23" i="3"/>
  <c r="CZ23" i="3" s="1"/>
  <c r="CY40" i="3"/>
  <c r="CZ40" i="3" s="1"/>
  <c r="CY7" i="3"/>
  <c r="CZ7" i="3" s="1"/>
  <c r="CY33" i="3"/>
  <c r="CZ33" i="3" s="1"/>
  <c r="CY22" i="3"/>
  <c r="CZ22" i="3" s="1"/>
  <c r="CY30" i="3"/>
  <c r="CZ30" i="3" s="1"/>
  <c r="CY14" i="3"/>
  <c r="CZ14" i="3" s="1"/>
  <c r="CY45" i="3"/>
  <c r="CZ45" i="3" s="1"/>
  <c r="CY11" i="3"/>
  <c r="CZ11" i="3" s="1"/>
  <c r="CY35" i="3"/>
  <c r="CZ35" i="3" s="1"/>
  <c r="CY34" i="3"/>
  <c r="CZ34" i="3" s="1"/>
  <c r="CY13" i="3"/>
  <c r="CZ13" i="3" s="1"/>
  <c r="CY49" i="3"/>
  <c r="CZ49" i="3" s="1"/>
  <c r="CY15" i="3"/>
  <c r="CZ15" i="3" s="1"/>
  <c r="CY25" i="3"/>
  <c r="CZ25" i="3" s="1"/>
  <c r="CY10" i="3"/>
  <c r="CZ10" i="3" s="1"/>
  <c r="CY37" i="3"/>
  <c r="CZ37" i="3" s="1"/>
  <c r="CY19" i="3"/>
  <c r="CZ19" i="3" s="1"/>
  <c r="CY52" i="3"/>
  <c r="CZ52" i="3" s="1"/>
  <c r="CY6" i="3"/>
  <c r="CZ6" i="3" s="1"/>
  <c r="CY28" i="3"/>
  <c r="CZ28" i="3" s="1"/>
  <c r="CY20" i="3"/>
  <c r="CZ20" i="3" s="1"/>
  <c r="CY29" i="3"/>
  <c r="CZ29" i="3" s="1"/>
  <c r="CY26" i="3"/>
  <c r="CZ26" i="3" s="1"/>
  <c r="CY42" i="3"/>
  <c r="CZ42" i="3" s="1"/>
  <c r="CY51" i="3"/>
  <c r="CZ51" i="3" s="1"/>
  <c r="CY12" i="3"/>
  <c r="CZ12" i="3" s="1"/>
  <c r="CY27" i="3"/>
  <c r="CZ27" i="3" s="1"/>
  <c r="CY41" i="3"/>
  <c r="CZ41" i="3" s="1"/>
  <c r="CY17" i="3"/>
  <c r="CZ17" i="3" s="1"/>
  <c r="CY38" i="3"/>
  <c r="CZ38" i="3" s="1"/>
  <c r="CY21" i="3"/>
  <c r="CZ21" i="3" s="1"/>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<sst xmlns="http://schemas.openxmlformats.org/spreadsheetml/2006/main" count="16873" uniqueCount="2800">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</sst>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01" t="str">
        <f>Idiomas!D8</f>
        <v>XXIII Mundial USA/MEX/CAN 2026</v>
      </c>
      <c r="C3" s="801"/>
      <c r="D3" s="801"/>
      <c r="E3" s="801"/>
      <c r="F3" s="801"/>
      <c r="G3" s="801"/>
      <c r="H3" s="801"/>
      <c r="I3" s="801"/>
      <c r="J3" s="801"/>
      <c r="K3" s="801"/>
      <c r="L3" s="801"/>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799"/>
      <c r="F16" s="800"/>
      <c r="G16" s="800"/>
      <c r="H16" s="800"/>
      <c r="I16" s="800"/>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798"/>
      <c r="F17" s="798"/>
      <c r="G17" s="798"/>
      <c r="H17" s="798"/>
      <c r="I17" s="798"/>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14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25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2"/>
      <c r="C24" s="803"/>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46197</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W36" zoomScaleNormal="100" workbookViewId="0">
      <selection activeCell="AD88" sqref="AD88"/>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6" t="str">
        <f>Idiomas!D8</f>
        <v>XXIII Mundial USA/MEX/CAN 2026</v>
      </c>
      <c r="X1" s="836"/>
      <c r="Y1" s="836"/>
      <c r="Z1" s="836"/>
      <c r="AA1" s="836"/>
      <c r="AB1" s="836"/>
      <c r="AC1" s="836"/>
      <c r="AD1" s="836"/>
      <c r="AE1" s="836"/>
      <c r="AF1" s="836"/>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P.3 (2)</v>
      </c>
      <c r="G4" s="744"/>
      <c r="H4" s="744" t="str">
        <f t="shared" ref="H4:H9" ca="1" si="3">IF(D4="Pendiente","-",INDEX($BZ$6:$BZ$53,MATCH($AA4,$BD$6:$BD$53,0)))</f>
        <v>-</v>
      </c>
      <c r="I4" s="744" t="str">
        <f t="shared" ref="I4:I9" ca="1" si="4">IF(D4="Pendiente","-",INDEX($BZ$6:$BZ$53,MATCH($AF4,$BD$6:$BD$53,0)))</f>
        <v>P.3 (2)</v>
      </c>
      <c r="J4" s="744"/>
      <c r="K4" s="744" t="str">
        <f t="shared" ref="K4:K9" ca="1" si="5">IF(D4="Pendiente","-",INDEX($CE$6:$CE$53,MATCH($AA4,$BD$6:$BD$53,0)))</f>
        <v>-</v>
      </c>
      <c r="L4" s="744" t="str">
        <f t="shared" ref="L4:L9" ca="1" si="6">IF(D4="Pendiente","-",INDEX($CE$6:$CE$53,MATCH($AF4,$BD$6:$BD$53,0)))</f>
        <v>P.3 (2)</v>
      </c>
      <c r="M4" s="744"/>
      <c r="N4" s="744" t="str">
        <f t="shared" ref="N4:N9" ca="1" si="7">IF(D4="Pendiente","-",INDEX($CH$6:$CH$53,MATCH($AA4,$BD$6:$BD$53,0)))</f>
        <v>-</v>
      </c>
      <c r="O4" s="744" t="str">
        <f t="shared" ref="O4:O9" ca="1" si="8">IF(D4="Pendiente","-",INDEX($CH$6:$CH$53,MATCH($AF4,$BD$6:$BD$53,0)))</f>
        <v>P.3 (2)</v>
      </c>
      <c r="P4" s="744"/>
      <c r="Q4" s="744" t="str">
        <f t="shared" ref="Q4:Q9" ca="1" si="9">IF(D4="Pendiente","-",INDEX($CN$6:$CN$53,MATCH($AA4,$BD$6:$BD$53,0)))</f>
        <v>-</v>
      </c>
      <c r="R4" s="744" t="str">
        <f t="shared" ref="R4:R9" ca="1" si="10">IF(D4="Pendiente","-",INDEX($CN$6:$CN$53,MATCH($AF4,$BD$6:$BD$53,0)))</f>
        <v>P.3 (2)</v>
      </c>
      <c r="S4" s="744"/>
      <c r="T4" s="744" t="str">
        <f t="shared" ref="T4:T9" ca="1" si="11">IF(D4="Pendiente","-",INDEX($CS$6:$CS$53,MATCH($AA4,$BD$6:$BD$53,0)))</f>
        <v>-</v>
      </c>
      <c r="U4" s="744" t="str">
        <f t="shared" ref="U4:U9" ca="1" si="12">IF(D4="Pendiente","-",INDEX($CS$6:$CS$53,MATCH($AF4,$BD$6:$BD$53,0)))</f>
        <v>P.3 (2)</v>
      </c>
      <c r="V4" s="172"/>
      <c r="W4" s="832"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P.3 (2)</v>
      </c>
      <c r="G5" s="744"/>
      <c r="H5" s="744" t="str">
        <f t="shared" ca="1" si="3"/>
        <v>-</v>
      </c>
      <c r="I5" s="744" t="str">
        <f t="shared" ca="1" si="4"/>
        <v>P.3 (2)</v>
      </c>
      <c r="J5" s="744"/>
      <c r="K5" s="744" t="str">
        <f t="shared" ca="1" si="5"/>
        <v>-</v>
      </c>
      <c r="L5" s="744" t="str">
        <f t="shared" ca="1" si="6"/>
        <v>P.3 (2)</v>
      </c>
      <c r="M5" s="744"/>
      <c r="N5" s="744" t="str">
        <f t="shared" ca="1" si="7"/>
        <v>-</v>
      </c>
      <c r="O5" s="744" t="str">
        <f t="shared" ca="1" si="8"/>
        <v>P.3 (2)</v>
      </c>
      <c r="P5" s="744"/>
      <c r="Q5" s="744" t="str">
        <f t="shared" ca="1" si="9"/>
        <v>-</v>
      </c>
      <c r="R5" s="744" t="str">
        <f t="shared" ca="1" si="10"/>
        <v>P.3 (2)</v>
      </c>
      <c r="S5" s="744"/>
      <c r="T5" s="744" t="str">
        <f t="shared" ca="1" si="11"/>
        <v>-</v>
      </c>
      <c r="U5" s="744" t="str">
        <f t="shared" ca="1" si="12"/>
        <v>P.3 (2)</v>
      </c>
      <c r="V5" s="172"/>
      <c r="W5" s="832"/>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P.3 (2)</v>
      </c>
      <c r="F6" s="744" t="str">
        <f t="shared" ca="1" si="2"/>
        <v>P.3 (2)</v>
      </c>
      <c r="G6" s="744"/>
      <c r="H6" s="744" t="str">
        <f t="shared" ca="1" si="3"/>
        <v>P.3 (2)</v>
      </c>
      <c r="I6" s="744" t="str">
        <f t="shared" ca="1" si="4"/>
        <v>P.3 (2)</v>
      </c>
      <c r="J6" s="744"/>
      <c r="K6" s="744" t="str">
        <f t="shared" ca="1" si="5"/>
        <v>P.3 (2)</v>
      </c>
      <c r="L6" s="744" t="str">
        <f t="shared" ca="1" si="6"/>
        <v>P.3 (2)</v>
      </c>
      <c r="M6" s="744"/>
      <c r="N6" s="744" t="str">
        <f t="shared" ca="1" si="7"/>
        <v>P.3 (2)</v>
      </c>
      <c r="O6" s="744" t="str">
        <f t="shared" ca="1" si="8"/>
        <v>P.3 (2)</v>
      </c>
      <c r="P6" s="744"/>
      <c r="Q6" s="744" t="str">
        <f t="shared" ca="1" si="9"/>
        <v>P.3 (2)</v>
      </c>
      <c r="R6" s="744" t="str">
        <f t="shared" ca="1" si="10"/>
        <v>P.3 (2)</v>
      </c>
      <c r="S6" s="744"/>
      <c r="T6" s="744" t="str">
        <f t="shared" ca="1" si="11"/>
        <v>P.3 (2)</v>
      </c>
      <c r="U6" s="744" t="str">
        <f t="shared" ca="1" si="12"/>
        <v>P.3 (2)</v>
      </c>
      <c r="V6" s="172"/>
      <c r="W6" s="832"/>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6</v>
      </c>
      <c r="AN6" s="214">
        <f t="shared" ca="1" si="16"/>
        <v>2</v>
      </c>
      <c r="AO6" s="214">
        <f t="shared" ca="1" si="16"/>
        <v>2</v>
      </c>
      <c r="AP6" s="214">
        <f t="shared" ca="1" si="16"/>
        <v>0</v>
      </c>
      <c r="AQ6" s="214">
        <f t="shared" ca="1" si="16"/>
        <v>0</v>
      </c>
      <c r="AR6" s="214">
        <f t="shared" ca="1" si="16"/>
        <v>3</v>
      </c>
      <c r="AS6" s="214">
        <f t="shared" ca="1" si="16"/>
        <v>0</v>
      </c>
      <c r="AT6" s="215">
        <f t="shared" ca="1" si="16"/>
        <v>3</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6</v>
      </c>
      <c r="BF6" s="748">
        <f ca="1">+BG6+BH6+BI6</f>
        <v>2</v>
      </c>
      <c r="BG6" s="748">
        <f t="shared" ref="BG6:BG53" ca="1" si="17">+COUNTIFS(FGLocal,BD6,Ganador,"Local")+COUNTIFS(FGVisitante,BD6,Ganador,"Visitante")</f>
        <v>2</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3</v>
      </c>
      <c r="BK6" s="748">
        <f t="shared" ref="BK6:BK53" ca="1" si="21">+SUMIFS(FG_GolesLocal,FGVisitante,BD6,Ganador,"&lt;&gt;"&amp;"Pendiente",FG_GolesLocal,"&lt;&gt;"&amp;"",FG_GolesVisitante,"&lt;&gt;"&amp;"")+SUMIFS(FG_GolesVisitante,FGLocal,BD6,Ganador,"&lt;&gt;"&amp;"Pendiente",FG_GolesLocal,"&lt;&gt;"&amp;"",FG_GolesVisitante,"&lt;&gt;"&amp;"")</f>
        <v>0</v>
      </c>
      <c r="BL6" s="748">
        <f ca="1">+BJ6-BK6</f>
        <v>3</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6</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8</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32"/>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2</v>
      </c>
      <c r="AO7" s="224">
        <f t="shared" ca="1" si="16"/>
        <v>1</v>
      </c>
      <c r="AP7" s="224">
        <f t="shared" ca="1" si="16"/>
        <v>0</v>
      </c>
      <c r="AQ7" s="224">
        <f t="shared" ca="1" si="16"/>
        <v>1</v>
      </c>
      <c r="AR7" s="224">
        <f t="shared" ca="1" si="16"/>
        <v>2</v>
      </c>
      <c r="AS7" s="224">
        <f t="shared" ca="1" si="16"/>
        <v>2</v>
      </c>
      <c r="AT7" s="225">
        <f t="shared" ca="1" si="16"/>
        <v>0</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1</v>
      </c>
      <c r="BF7" s="748">
        <f t="shared" ref="BF7:BF53" ca="1" si="26">+BG7+BH7+BI7</f>
        <v>2</v>
      </c>
      <c r="BG7" s="748">
        <f t="shared" ca="1" si="17"/>
        <v>0</v>
      </c>
      <c r="BH7" s="748">
        <f t="shared" ca="1" si="18"/>
        <v>1</v>
      </c>
      <c r="BI7" s="748">
        <f t="shared" ca="1" si="19"/>
        <v>1</v>
      </c>
      <c r="BJ7" s="748">
        <f t="shared" ca="1" si="20"/>
        <v>1</v>
      </c>
      <c r="BK7" s="748">
        <f t="shared" ca="1" si="21"/>
        <v>3</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1</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1</v>
      </c>
      <c r="BW7" s="758">
        <f ca="1">IF($BT7="-","-",COUNTIFS(FGLocal,$BD7,Ganador,"Visitante",Part1Empate1V,$BT7)+COUNTIFS(FGVisitante,$BD7,Ganador,"Local",Part1Empate1L,$BT7))</f>
        <v>0</v>
      </c>
      <c r="BX7" s="758">
        <f ca="1">IF($BT7="-","-",BU7*3+BV7)</f>
        <v>1</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1</v>
      </c>
      <c r="CB7" s="758">
        <f ca="1">IF($BZ7="-","-",SUMIFS(FG_GolesVisitante,FGLocal,$BD7,Part1Empate2V,$BZ7)+SUMIFS(FG_GolesLocal,FGVisitante,$BD7,Part1Empate2L,$BZ7))</f>
        <v>1</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1</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1</v>
      </c>
      <c r="CK7" s="758">
        <f ca="1">IF($CH7="-","-",COUNTIFS(FGLocal,$BD7,Ganador,"Visitante",Part2Empate4V,$CH7)+COUNTIFS(FGVisitante,$BD7,Ganador,"Local",Part2Empate4L,$CH7))</f>
        <v>0</v>
      </c>
      <c r="CL7" s="758">
        <f ca="1">IF($CH7="-","-",CI7*3+CJ7)</f>
        <v>1</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1</v>
      </c>
      <c r="CP7" s="758">
        <f ca="1">IF($CN7="-","-",SUMIFS(FG_GolesVisitante,FGLocal,$BD7,Part2Empate5V,$CN7)+SUMIFS(FG_GolesLocal,FGVisitante,$BD7,Part2Empate5L,$CN7))</f>
        <v>1</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1</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8</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32"/>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2</v>
      </c>
      <c r="BG8" s="748">
        <f t="shared" ca="1" si="17"/>
        <v>1</v>
      </c>
      <c r="BH8" s="748">
        <f t="shared" ca="1" si="18"/>
        <v>0</v>
      </c>
      <c r="BI8" s="748">
        <f t="shared" ca="1" si="19"/>
        <v>1</v>
      </c>
      <c r="BJ8" s="748">
        <f t="shared" ca="1" si="20"/>
        <v>2</v>
      </c>
      <c r="BK8" s="748">
        <f t="shared" ca="1" si="21"/>
        <v>2</v>
      </c>
      <c r="BL8" s="748">
        <f t="shared" ca="1" si="27"/>
        <v>0</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2</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2</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2</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2</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2</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2</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2</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8</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33"/>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2</v>
      </c>
      <c r="BG9" s="748">
        <f t="shared" ca="1" si="17"/>
        <v>0</v>
      </c>
      <c r="BH9" s="748">
        <f t="shared" ca="1" si="18"/>
        <v>1</v>
      </c>
      <c r="BI9" s="748">
        <f t="shared" ca="1" si="19"/>
        <v>1</v>
      </c>
      <c r="BJ9" s="748">
        <f t="shared" ca="1" si="20"/>
        <v>2</v>
      </c>
      <c r="BK9" s="748">
        <f t="shared" ca="1" si="21"/>
        <v>3</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1</v>
      </c>
      <c r="BW9" s="758">
        <f ca="1">IF($BT9="-","-",COUNTIFS(FGLocal,$BD9,Ganador,"Visitante",Part1Empate1V,$BT9)+COUNTIFS(FGVisitante,$BD9,Ganador,"Local",Part1Empate1L,$BT9))</f>
        <v>0</v>
      </c>
      <c r="BX9" s="758">
        <f ca="1">IF($BT9="-","-",BU9*3+BV9)</f>
        <v>1</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1</v>
      </c>
      <c r="CB9" s="758">
        <f ca="1">IF($BZ9="-","-",SUMIFS(FG_GolesVisitante,FGLocal,$BD9,Part1Empate2V,$BZ9)+SUMIFS(FG_GolesLocal,FGVisitante,$BD9,Part1Empate2L,$BZ9))</f>
        <v>1</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1</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1</v>
      </c>
      <c r="CK9" s="758">
        <f ca="1">IF($CH9="-","-",COUNTIFS(FGLocal,$BD9,Ganador,"Visitante",Part2Empate4V,$CH9)+COUNTIFS(FGVisitante,$BD9,Ganador,"Local",Part2Empate4L,$CH9))</f>
        <v>0</v>
      </c>
      <c r="CL9" s="758">
        <f ca="1">IF($CH9="-","-",CI9*3+CJ9)</f>
        <v>1</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1</v>
      </c>
      <c r="CP9" s="758">
        <f ca="1">IF($CN9="-","-",SUMIFS(FG_GolesVisitante,FGLocal,$BD9,Part2Empate5V,$CN9)+SUMIFS(FG_GolesLocal,FGVisitante,$BD9,Part2Empate5L,$CN9))</f>
        <v>1</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1</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8</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2</v>
      </c>
      <c r="BG10" s="748">
        <f t="shared" ca="1" si="17"/>
        <v>1</v>
      </c>
      <c r="BH10" s="748">
        <f t="shared" ca="1" si="18"/>
        <v>1</v>
      </c>
      <c r="BI10" s="748">
        <f t="shared" ca="1" si="19"/>
        <v>0</v>
      </c>
      <c r="BJ10" s="748">
        <f t="shared" ca="1" si="20"/>
        <v>7</v>
      </c>
      <c r="BK10" s="748">
        <f t="shared" ca="1" si="21"/>
        <v>1</v>
      </c>
      <c r="BL10" s="748">
        <f t="shared" ca="1" si="27"/>
        <v>6</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(2)</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(2)</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(2)</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(2)</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(2)</v>
      </c>
      <c r="CW10" s="757">
        <f t="shared" ca="1" si="30"/>
        <v>6</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t="str">
        <f ca="1">IF(DB10="-","-",COUNTIFS(DF$6:DF$53,"&lt;"&amp;DF10,$BC$6:$BC$53,INDEX(T_Equipos[Grupo],MATCH(BD10,T_Equipos[NombreEquipo],0))))</f>
        <v>-</v>
      </c>
      <c r="DH10" s="756">
        <f ca="1">DA10+COUNTIFS(DB$6:DB$53,DB10,DG$6:DG$53,"&lt;"&amp;DG10,$BC$6:$BC$53,INDEX(T_Equipos[Grupo],MATCH(BD10,T_Equipos[NombreEquipo],0)))</f>
        <v>1</v>
      </c>
      <c r="DI10" s="744"/>
      <c r="DJ10" s="744">
        <f t="shared" ref="DJ10:DJ53" ca="1" si="53">INDEX($DA$6:$DA$53,MATCH($DQ10,$BD$6:$BD$53,0))</f>
        <v>1</v>
      </c>
      <c r="DK10" s="744">
        <f t="shared" ca="1" si="24"/>
        <v>8</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2</v>
      </c>
      <c r="BG11" s="748">
        <f t="shared" ca="1" si="17"/>
        <v>0</v>
      </c>
      <c r="BH11" s="748">
        <f t="shared" ca="1" si="18"/>
        <v>1</v>
      </c>
      <c r="BI11" s="748">
        <f t="shared" ca="1" si="19"/>
        <v>1</v>
      </c>
      <c r="BJ11" s="748">
        <f t="shared" ca="1" si="20"/>
        <v>2</v>
      </c>
      <c r="BK11" s="748">
        <f t="shared" ca="1" si="21"/>
        <v>5</v>
      </c>
      <c r="BL11" s="748">
        <f t="shared" ca="1" si="27"/>
        <v>-3</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3</v>
      </c>
      <c r="BT11" s="757" t="str">
        <f ca="1">IF(COUNTIFS($BS$6:$BS$53,BS11,$BC$6:$BC$53,INDEX(T_Equipos[Grupo],MATCH(BD11,T_Equipos[NombreEquipo],0)))=1,"-","P."&amp;BS11&amp;" ("&amp;COUNTIFS($BS$6:$BS$53,BS11,$BC$6:$BC$53,INDEX(T_Equipos[Grupo],MATCH(BD11,T_Equipos[NombreEquipo],0)))&amp;")")</f>
        <v>P.3 (2)</v>
      </c>
      <c r="BU11" s="758">
        <f t="shared" ca="1" si="36"/>
        <v>0</v>
      </c>
      <c r="BV11" s="758">
        <f t="shared" ca="1" si="37"/>
        <v>0</v>
      </c>
      <c r="BW11" s="758">
        <f t="shared" ca="1" si="38"/>
        <v>0</v>
      </c>
      <c r="BX11" s="758">
        <f t="shared" ca="1" si="39"/>
        <v>0</v>
      </c>
      <c r="BY11" s="758">
        <f ca="1">BS11+COUNTIFS($BT$6:$BT$53,BT11,$BX$6:BX$53,"&gt;"&amp;BX11,$BC$6:$BC$53,INDEX(T_Equipos[Grupo],MATCH(BD11,T_Equipos[NombreEquipo],0)))</f>
        <v>3</v>
      </c>
      <c r="BZ11" s="757" t="str">
        <f ca="1">IF(COUNTIFS($BY$6:$BY$53,BY11,$BC$6:$BC$53,INDEX(T_Equipos[Grupo],MATCH(BD11,T_Equipos[NombreEquipo],0)))=1,"-","P."&amp;BY11&amp;" ("&amp;COUNTIFS($BY$6:$BY$53,BY11,$BC$6:$BC$53,INDEX(T_Equipos[Grupo],MATCH(BD11,T_Equipos[NombreEquipo],0)))&amp;")")</f>
        <v>P.3 (2)</v>
      </c>
      <c r="CA11" s="758">
        <f t="shared" ca="1" si="40"/>
        <v>0</v>
      </c>
      <c r="CB11" s="758">
        <f t="shared" ca="1" si="41"/>
        <v>0</v>
      </c>
      <c r="CC11" s="758">
        <f t="shared" ca="1" si="42"/>
        <v>0</v>
      </c>
      <c r="CD11" s="758">
        <f ca="1">BY11+COUNTIFS($BZ$6:$BZ$53,BZ11,$CC$6:CC$53,"&gt;"&amp;CC11,$BC$6:$BC$53,INDEX(T_Equipos[Grupo],MATCH(BD11,T_Equipos[NombreEquipo],0)))</f>
        <v>3</v>
      </c>
      <c r="CE11" s="757" t="str">
        <f ca="1">IF(COUNTIFS($CD$6:$CD$53,CD11,$BC$6:$BC$53,INDEX(T_Equipos[Grupo],MATCH(BD11,T_Equipos[NombreEquipo],0)))=1,"-","P."&amp;CD11&amp;" ("&amp;COUNTIFS($CD$6:$CD$53,CD11,$BC$6:$BC$53,INDEX(T_Equipos[Grupo],MATCH(BD11,T_Equipos[NombreEquipo],0)))&amp;")")</f>
        <v>P.3 (2)</v>
      </c>
      <c r="CF11" s="758">
        <f t="shared" ca="1" si="43"/>
        <v>0</v>
      </c>
      <c r="CG11" s="758">
        <f ca="1">CD11+COUNTIFS($CE$6:$CE$53,CE11,$CF$6:CF$53,"&gt;"&amp;CF11,$BC$6:$BC$53,INDEX(T_Equipos[Grupo],MATCH(BD11,T_Equipos[NombreEquipo],0)))</f>
        <v>3</v>
      </c>
      <c r="CH11" s="757" t="str">
        <f ca="1">IF(COUNTIFS($CG$6:$CG$53,CG11,$BC$6:$BC$53,INDEX(T_Equipos[Grupo],MATCH(BD11,T_Equipos[NombreEquipo],0)))=1,"-","P."&amp;CG11&amp;" ("&amp;COUNTIFS($CG$6:$CG$53,CG11,$BC$6:$BC$53,INDEX(T_Equipos[Grupo],MATCH(BD11,T_Equipos[NombreEquipo],0)))&amp;")")</f>
        <v>P.3 (2)</v>
      </c>
      <c r="CI11" s="758">
        <f t="shared" ca="1" si="44"/>
        <v>0</v>
      </c>
      <c r="CJ11" s="758">
        <f t="shared" ca="1" si="45"/>
        <v>0</v>
      </c>
      <c r="CK11" s="758">
        <f t="shared" ca="1" si="46"/>
        <v>0</v>
      </c>
      <c r="CL11" s="758">
        <f t="shared" ca="1" si="47"/>
        <v>0</v>
      </c>
      <c r="CM11" s="758">
        <f ca="1">CG11+COUNTIFS($CH$6:$CH$53,CH11,$CL$6:CL$53,"&gt;"&amp;CL11,$BC$6:$BC$53,INDEX(T_Equipos[Grupo],MATCH(BD11,T_Equipos[NombreEquipo],0)))</f>
        <v>3</v>
      </c>
      <c r="CN11" s="757" t="str">
        <f ca="1">IF(COUNTIFS($CM$6:$CM$53,CM11,$BC$6:$BC$53,INDEX(T_Equipos[Grupo],MATCH(BD11,T_Equipos[NombreEquipo],0)))=1,"-","P."&amp;CM11&amp;" ("&amp;COUNTIFS($CM$6:$CM$53,CM11,$BC$6:$BC$53,INDEX(T_Equipos[Grupo],MATCH(BD11,T_Equipos[NombreEquipo],0)))&amp;")")</f>
        <v>P.3 (2)</v>
      </c>
      <c r="CO11" s="758">
        <f t="shared" ca="1" si="48"/>
        <v>0</v>
      </c>
      <c r="CP11" s="758">
        <f t="shared" ca="1" si="49"/>
        <v>0</v>
      </c>
      <c r="CQ11" s="758">
        <f t="shared" ca="1" si="50"/>
        <v>0</v>
      </c>
      <c r="CR11" s="758">
        <f ca="1">CM11+COUNTIFS($CN$6:$CN$53,CN11,$CQ$6:CQ$53,"&gt;"&amp;CQ11,$BC$6:$BC$53,INDEX(T_Equipos[Grupo],MATCH(BD11,T_Equipos[NombreEquipo],0)))</f>
        <v>3</v>
      </c>
      <c r="CS11" s="757" t="str">
        <f ca="1">IF(COUNTIFS($CR$6:$CR$53,CR11,$BC$6:$BC$53,INDEX(T_Equipos[Grupo],MATCH(BD11,T_Equipos[NombreEquipo],0)))=1,"-","P."&amp;CR11&amp;" ("&amp;COUNTIFS($CR$6:$CR$53,CR11,$BC$6:$BC$53,INDEX(T_Equipos[Grupo],MATCH(BD11,T_Equipos[NombreEquipo],0)))&amp;")")</f>
        <v>P.3 (2)</v>
      </c>
      <c r="CT11" s="758">
        <f t="shared" ca="1" si="51"/>
        <v>0</v>
      </c>
      <c r="CU11" s="758">
        <f ca="1">CR11+COUNTIFS($CS$6:$CS$53,CS11,$CT$6:CT$53,"&gt;"&amp;CT11,$BC$6:$BC$53,INDEX(T_Equipos[Grupo],MATCH(BD11,T_Equipos[NombreEquipo],0)))</f>
        <v>3</v>
      </c>
      <c r="CV11" s="757" t="str">
        <f ca="1">IF(COUNTIFS($CU$6:$CU$53,CU11,$BC$6:$BC$53,INDEX(T_Equipos[Grupo],MATCH(BD11,T_Equipos[NombreEquipo],0)))=1,"-","P."&amp;CU11&amp;" ("&amp;COUNTIFS($CU$6:$CU$53,CU11,$BC$6:$BC$53,INDEX(T_Equipos[Grupo],MATCH(BD11,T_Equipos[NombreEquipo],0)))&amp;")")</f>
        <v>P.3 (2)</v>
      </c>
      <c r="CW11" s="757">
        <f t="shared" ca="1" si="30"/>
        <v>-3</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8</v>
      </c>
      <c r="DL11" s="744">
        <f t="shared" ca="1" si="33"/>
        <v>1</v>
      </c>
      <c r="DM11" s="738" t="str">
        <f t="shared" ca="1" si="34"/>
        <v>2.1</v>
      </c>
      <c r="DN11" s="744" cm="1">
        <f t="array" aca="1" ref="DN11" ca="1">OFFSET(Horarios!$P$3,DJ11-1,0,DL11,1)</f>
        <v>2</v>
      </c>
      <c r="DO11" s="744"/>
      <c r="DP11" s="744" t="s">
        <v>649</v>
      </c>
      <c r="DQ11" s="744" t="str">
        <f t="shared" ca="1" si="35"/>
        <v>Suiza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(2)</v>
      </c>
      <c r="F12" s="744" t="str">
        <f t="shared" ref="F12:F17" ca="1" si="56">IF(D12="Pendiente","-",INDEX($BT$6:$BT$53,MATCH($AF12,$BD$6:$BD$53,0)))</f>
        <v>P.3 (2)</v>
      </c>
      <c r="G12" s="744"/>
      <c r="H12" s="744" t="str">
        <f t="shared" ref="H12:H17" ca="1" si="57">IF(D12="Pendiente","-",INDEX($BZ$6:$BZ$53,MATCH($AA12,$BD$6:$BD$53,0)))</f>
        <v>P.1 (2)</v>
      </c>
      <c r="I12" s="744" t="str">
        <f t="shared" ref="I12:I17" ca="1" si="58">IF(D12="Pendiente","-",INDEX($BZ$6:$BZ$53,MATCH($AF12,$BD$6:$BD$53,0)))</f>
        <v>P.3 (2)</v>
      </c>
      <c r="J12" s="744"/>
      <c r="K12" s="744" t="str">
        <f t="shared" ref="K12:K17" ca="1" si="59">IF(D12="Pendiente","-",INDEX($CE$6:$CE$53,MATCH($AA12,$BD$6:$BD$53,0)))</f>
        <v>P.1 (2)</v>
      </c>
      <c r="L12" s="744" t="str">
        <f t="shared" ref="L12:L17" ca="1" si="60">IF(D12="Pendiente","-",INDEX($CE$6:$CE$53,MATCH($AF12,$BD$6:$BD$53,0)))</f>
        <v>P.3 (2)</v>
      </c>
      <c r="M12" s="744"/>
      <c r="N12" s="744" t="str">
        <f t="shared" ref="N12:N17" ca="1" si="61">IF(D12="Pendiente","-",INDEX($CH$6:$CH$53,MATCH($AA12,$BD$6:$BD$53,0)))</f>
        <v>P.1 (2)</v>
      </c>
      <c r="O12" s="744" t="str">
        <f t="shared" ref="O12:O17" ca="1" si="62">IF(D12="Pendiente","-",INDEX($CH$6:$CH$53,MATCH($AF12,$BD$6:$BD$53,0)))</f>
        <v>P.3 (2)</v>
      </c>
      <c r="P12" s="744"/>
      <c r="Q12" s="744" t="str">
        <f t="shared" ref="Q12:Q17" ca="1" si="63">IF(D12="Pendiente","-",INDEX($CN$6:$CN$53,MATCH($AA12,$BD$6:$BD$53,0)))</f>
        <v>P.1 (2)</v>
      </c>
      <c r="R12" s="744" t="str">
        <f t="shared" ref="R12:R17" ca="1" si="64">IF(D12="Pendiente","-",INDEX($CN$6:$CN$53,MATCH($AF12,$BD$6:$BD$53,0)))</f>
        <v>P.3 (2)</v>
      </c>
      <c r="S12" s="744"/>
      <c r="T12" s="744" t="str">
        <f t="shared" ref="T12:T17" ca="1" si="65">IF(D12="Pendiente","-",INDEX($CS$6:$CS$53,MATCH($AA12,$BD$6:$BD$53,0)))</f>
        <v>P.1 (2)</v>
      </c>
      <c r="U12" s="744" t="str">
        <f t="shared" ref="U12:U17" ca="1" si="66">IF(D12="Pendiente","-",INDEX($CS$6:$CS$53,MATCH($AF12,$BD$6:$BD$53,0)))</f>
        <v>P.3 (2)</v>
      </c>
      <c r="V12" s="172"/>
      <c r="W12" s="834"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2</v>
      </c>
      <c r="BG12" s="748">
        <f t="shared" ca="1" si="17"/>
        <v>0</v>
      </c>
      <c r="BH12" s="748">
        <f t="shared" ca="1" si="18"/>
        <v>1</v>
      </c>
      <c r="BI12" s="748">
        <f t="shared" ca="1" si="19"/>
        <v>1</v>
      </c>
      <c r="BJ12" s="748">
        <f t="shared" ca="1" si="20"/>
        <v>1</v>
      </c>
      <c r="BK12" s="748">
        <f t="shared" ca="1" si="21"/>
        <v>7</v>
      </c>
      <c r="BL12" s="748">
        <f t="shared" ca="1" si="27"/>
        <v>-6</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3</v>
      </c>
      <c r="BT12" s="757" t="str">
        <f ca="1">IF(COUNTIFS($BS$6:$BS$53,BS12,$BC$6:$BC$53,INDEX(T_Equipos[Grupo],MATCH(BD12,T_Equipos[NombreEquipo],0)))=1,"-","P."&amp;BS12&amp;" ("&amp;COUNTIFS($BS$6:$BS$53,BS12,$BC$6:$BC$53,INDEX(T_Equipos[Grupo],MATCH(BD12,T_Equipos[NombreEquipo],0)))&amp;")")</f>
        <v>P.3 (2)</v>
      </c>
      <c r="BU12" s="758">
        <f t="shared" ca="1" si="36"/>
        <v>0</v>
      </c>
      <c r="BV12" s="758">
        <f t="shared" ca="1" si="37"/>
        <v>0</v>
      </c>
      <c r="BW12" s="758">
        <f t="shared" ca="1" si="38"/>
        <v>0</v>
      </c>
      <c r="BX12" s="758">
        <f t="shared" ca="1" si="39"/>
        <v>0</v>
      </c>
      <c r="BY12" s="758">
        <f ca="1">BS12+COUNTIFS($BT$6:$BT$53,BT12,$BX$6:BX$53,"&gt;"&amp;BX12,$BC$6:$BC$53,INDEX(T_Equipos[Grupo],MATCH(BD12,T_Equipos[NombreEquipo],0)))</f>
        <v>3</v>
      </c>
      <c r="BZ12" s="757" t="str">
        <f ca="1">IF(COUNTIFS($BY$6:$BY$53,BY12,$BC$6:$BC$53,INDEX(T_Equipos[Grupo],MATCH(BD12,T_Equipos[NombreEquipo],0)))=1,"-","P."&amp;BY12&amp;" ("&amp;COUNTIFS($BY$6:$BY$53,BY12,$BC$6:$BC$53,INDEX(T_Equipos[Grupo],MATCH(BD12,T_Equipos[NombreEquipo],0)))&amp;")")</f>
        <v>P.3 (2)</v>
      </c>
      <c r="CA12" s="758">
        <f t="shared" ca="1" si="40"/>
        <v>0</v>
      </c>
      <c r="CB12" s="758">
        <f t="shared" ca="1" si="41"/>
        <v>0</v>
      </c>
      <c r="CC12" s="758">
        <f t="shared" ca="1" si="42"/>
        <v>0</v>
      </c>
      <c r="CD12" s="758">
        <f ca="1">BY12+COUNTIFS($BZ$6:$BZ$53,BZ12,$CC$6:CC$53,"&gt;"&amp;CC12,$BC$6:$BC$53,INDEX(T_Equipos[Grupo],MATCH(BD12,T_Equipos[NombreEquipo],0)))</f>
        <v>3</v>
      </c>
      <c r="CE12" s="757" t="str">
        <f ca="1">IF(COUNTIFS($CD$6:$CD$53,CD12,$BC$6:$BC$53,INDEX(T_Equipos[Grupo],MATCH(BD12,T_Equipos[NombreEquipo],0)))=1,"-","P."&amp;CD12&amp;" ("&amp;COUNTIFS($CD$6:$CD$53,CD12,$BC$6:$BC$53,INDEX(T_Equipos[Grupo],MATCH(BD12,T_Equipos[NombreEquipo],0)))&amp;")")</f>
        <v>P.3 (2)</v>
      </c>
      <c r="CF12" s="758">
        <f t="shared" ca="1" si="43"/>
        <v>0</v>
      </c>
      <c r="CG12" s="758">
        <f ca="1">CD12+COUNTIFS($CE$6:$CE$53,CE12,$CF$6:CF$53,"&gt;"&amp;CF12,$BC$6:$BC$53,INDEX(T_Equipos[Grupo],MATCH(BD12,T_Equipos[NombreEquipo],0)))</f>
        <v>3</v>
      </c>
      <c r="CH12" s="757" t="str">
        <f ca="1">IF(COUNTIFS($CG$6:$CG$53,CG12,$BC$6:$BC$53,INDEX(T_Equipos[Grupo],MATCH(BD12,T_Equipos[NombreEquipo],0)))=1,"-","P."&amp;CG12&amp;" ("&amp;COUNTIFS($CG$6:$CG$53,CG12,$BC$6:$BC$53,INDEX(T_Equipos[Grupo],MATCH(BD12,T_Equipos[NombreEquipo],0)))&amp;")")</f>
        <v>P.3 (2)</v>
      </c>
      <c r="CI12" s="758">
        <f t="shared" ca="1" si="44"/>
        <v>0</v>
      </c>
      <c r="CJ12" s="758">
        <f t="shared" ca="1" si="45"/>
        <v>0</v>
      </c>
      <c r="CK12" s="758">
        <f t="shared" ca="1" si="46"/>
        <v>0</v>
      </c>
      <c r="CL12" s="758">
        <f t="shared" ca="1" si="47"/>
        <v>0</v>
      </c>
      <c r="CM12" s="758">
        <f ca="1">CG12+COUNTIFS($CH$6:$CH$53,CH12,$CL$6:CL$53,"&gt;"&amp;CL12,$BC$6:$BC$53,INDEX(T_Equipos[Grupo],MATCH(BD12,T_Equipos[NombreEquipo],0)))</f>
        <v>3</v>
      </c>
      <c r="CN12" s="757" t="str">
        <f ca="1">IF(COUNTIFS($CM$6:$CM$53,CM12,$BC$6:$BC$53,INDEX(T_Equipos[Grupo],MATCH(BD12,T_Equipos[NombreEquipo],0)))=1,"-","P."&amp;CM12&amp;" ("&amp;COUNTIFS($CM$6:$CM$53,CM12,$BC$6:$BC$53,INDEX(T_Equipos[Grupo],MATCH(BD12,T_Equipos[NombreEquipo],0)))&amp;")")</f>
        <v>P.3 (2)</v>
      </c>
      <c r="CO12" s="758">
        <f t="shared" ca="1" si="48"/>
        <v>0</v>
      </c>
      <c r="CP12" s="758">
        <f t="shared" ca="1" si="49"/>
        <v>0</v>
      </c>
      <c r="CQ12" s="758">
        <f t="shared" ca="1" si="50"/>
        <v>0</v>
      </c>
      <c r="CR12" s="758">
        <f ca="1">CM12+COUNTIFS($CN$6:$CN$53,CN12,$CQ$6:CQ$53,"&gt;"&amp;CQ12,$BC$6:$BC$53,INDEX(T_Equipos[Grupo],MATCH(BD12,T_Equipos[NombreEquipo],0)))</f>
        <v>3</v>
      </c>
      <c r="CS12" s="757" t="str">
        <f ca="1">IF(COUNTIFS($CR$6:$CR$53,CR12,$BC$6:$BC$53,INDEX(T_Equipos[Grupo],MATCH(BD12,T_Equipos[NombreEquipo],0)))=1,"-","P."&amp;CR12&amp;" ("&amp;COUNTIFS($CR$6:$CR$53,CR12,$BC$6:$BC$53,INDEX(T_Equipos[Grupo],MATCH(BD12,T_Equipos[NombreEquipo],0)))&amp;")")</f>
        <v>P.3 (2)</v>
      </c>
      <c r="CT12" s="758">
        <f t="shared" ca="1" si="51"/>
        <v>0</v>
      </c>
      <c r="CU12" s="758">
        <f ca="1">CR12+COUNTIFS($CS$6:$CS$53,CS12,$CT$6:CT$53,"&gt;"&amp;CT12,$BC$6:$BC$53,INDEX(T_Equipos[Grupo],MATCH(BD12,T_Equipos[NombreEquipo],0)))</f>
        <v>3</v>
      </c>
      <c r="CV12" s="757" t="str">
        <f ca="1">IF(COUNTIFS($CU$6:$CU$53,CU12,$BC$6:$BC$53,INDEX(T_Equipos[Grupo],MATCH(BD12,T_Equipos[NombreEquipo],0)))=1,"-","P."&amp;CU12&amp;" ("&amp;COUNTIFS($CU$6:$CU$53,CU12,$BC$6:$BC$53,INDEX(T_Equipos[Grupo],MATCH(BD12,T_Equipos[NombreEquipo],0)))&amp;")")</f>
        <v>P.3 (2)</v>
      </c>
      <c r="CW12" s="757">
        <f t="shared" ca="1" si="30"/>
        <v>-6</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8</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P.3 (2)</v>
      </c>
      <c r="F13" s="744" t="str">
        <f t="shared" ca="1" si="56"/>
        <v>P.1 (2)</v>
      </c>
      <c r="G13" s="744"/>
      <c r="H13" s="744" t="str">
        <f t="shared" ca="1" si="57"/>
        <v>P.3 (2)</v>
      </c>
      <c r="I13" s="744" t="str">
        <f t="shared" ca="1" si="58"/>
        <v>P.1 (2)</v>
      </c>
      <c r="J13" s="744"/>
      <c r="K13" s="744" t="str">
        <f t="shared" ca="1" si="59"/>
        <v>P.3 (2)</v>
      </c>
      <c r="L13" s="744" t="str">
        <f t="shared" ca="1" si="60"/>
        <v>P.1 (2)</v>
      </c>
      <c r="M13" s="744"/>
      <c r="N13" s="744" t="str">
        <f t="shared" ca="1" si="61"/>
        <v>P.3 (2)</v>
      </c>
      <c r="O13" s="744" t="str">
        <f t="shared" ca="1" si="62"/>
        <v>P.1 (2)</v>
      </c>
      <c r="P13" s="744"/>
      <c r="Q13" s="744" t="str">
        <f t="shared" ca="1" si="63"/>
        <v>P.3 (2)</v>
      </c>
      <c r="R13" s="744" t="str">
        <f t="shared" ca="1" si="64"/>
        <v>P.1 (2)</v>
      </c>
      <c r="S13" s="744"/>
      <c r="T13" s="744" t="str">
        <f t="shared" ca="1" si="65"/>
        <v>P.3 (2)</v>
      </c>
      <c r="U13" s="744" t="str">
        <f t="shared" ca="1" si="66"/>
        <v>P.1 (2)</v>
      </c>
      <c r="V13" s="172"/>
      <c r="W13" s="834"/>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4</v>
      </c>
      <c r="BF13" s="748">
        <f t="shared" ca="1" si="26"/>
        <v>2</v>
      </c>
      <c r="BG13" s="748">
        <f t="shared" ca="1" si="17"/>
        <v>1</v>
      </c>
      <c r="BH13" s="748">
        <f t="shared" ca="1" si="18"/>
        <v>1</v>
      </c>
      <c r="BI13" s="748">
        <f t="shared" ca="1" si="19"/>
        <v>0</v>
      </c>
      <c r="BJ13" s="748">
        <f t="shared" ca="1" si="20"/>
        <v>5</v>
      </c>
      <c r="BK13" s="748">
        <f t="shared" ca="1" si="21"/>
        <v>2</v>
      </c>
      <c r="BL13" s="748">
        <f t="shared" ca="1" si="27"/>
        <v>3</v>
      </c>
      <c r="BM13" s="748" t="str">
        <f t="shared" ca="1" si="22"/>
        <v>2B</v>
      </c>
      <c r="BN13" s="748" t="str">
        <f t="shared" ca="1" si="23"/>
        <v>2B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4</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(2)</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(2)</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(2)</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(2)</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(2)</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(2)</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(2)</v>
      </c>
      <c r="CW13" s="757">
        <f t="shared" ca="1" si="30"/>
        <v>3</v>
      </c>
      <c r="CX13" s="757">
        <f ca="1">CU13+COUNTIFS($CV$6:$CV$53,CV13,$CW$6:CW$53,"&gt;"&amp;CW13,$BC$6:$BC$53,INDEX(T_Equipos[Grupo],MATCH(BD13,T_Equipos[NombreEquipo],0)))</f>
        <v>2</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2</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2</v>
      </c>
      <c r="DE13" s="756"/>
      <c r="DF13" s="756">
        <f t="shared" ca="1" si="52"/>
        <v>2</v>
      </c>
      <c r="DG13" s="756" t="str">
        <f ca="1">IF(DB13="-","-",COUNTIFS(DF$6:DF$53,"&lt;"&amp;DF13,$BC$6:$BC$53,INDEX(T_Equipos[Grupo],MATCH(BD13,T_Equipos[NombreEquipo],0))))</f>
        <v>-</v>
      </c>
      <c r="DH13" s="756">
        <f ca="1">DA13+COUNTIFS(DB$6:DB$53,DB13,DG$6:DG$53,"&lt;"&amp;DG13,$BC$6:$BC$53,INDEX(T_Equipos[Grupo],MATCH(BD13,T_Equipos[NombreEquipo],0)))</f>
        <v>2</v>
      </c>
      <c r="DI13" s="744"/>
      <c r="DJ13" s="744">
        <f t="shared" ca="1" si="53"/>
        <v>4</v>
      </c>
      <c r="DK13" s="744">
        <f t="shared" ca="1" si="24"/>
        <v>8</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P.1 (2)</v>
      </c>
      <c r="F14" s="744" t="str">
        <f t="shared" ca="1" si="56"/>
        <v>P.3 (2)</v>
      </c>
      <c r="G14" s="744"/>
      <c r="H14" s="744" t="str">
        <f t="shared" ca="1" si="57"/>
        <v>P.1 (2)</v>
      </c>
      <c r="I14" s="744" t="str">
        <f t="shared" ca="1" si="58"/>
        <v>P.3 (2)</v>
      </c>
      <c r="J14" s="744"/>
      <c r="K14" s="744" t="str">
        <f t="shared" ca="1" si="59"/>
        <v>P.1 (2)</v>
      </c>
      <c r="L14" s="744" t="str">
        <f t="shared" ca="1" si="60"/>
        <v>P.3 (2)</v>
      </c>
      <c r="M14" s="744"/>
      <c r="N14" s="744" t="str">
        <f t="shared" ca="1" si="61"/>
        <v>P.1 (2)</v>
      </c>
      <c r="O14" s="744" t="str">
        <f t="shared" ca="1" si="62"/>
        <v>P.3 (2)</v>
      </c>
      <c r="P14" s="744"/>
      <c r="Q14" s="744" t="str">
        <f t="shared" ca="1" si="63"/>
        <v>P.1 (2)</v>
      </c>
      <c r="R14" s="744" t="str">
        <f t="shared" ca="1" si="64"/>
        <v>P.3 (2)</v>
      </c>
      <c r="S14" s="744"/>
      <c r="T14" s="744" t="str">
        <f t="shared" ca="1" si="65"/>
        <v>P.1 (2)</v>
      </c>
      <c r="U14" s="744" t="str">
        <f t="shared" ca="1" si="66"/>
        <v>P.3 (2)</v>
      </c>
      <c r="V14" s="172"/>
      <c r="W14" s="834"/>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4</v>
      </c>
      <c r="AN14" s="214">
        <f t="shared" ca="1" si="71"/>
        <v>2</v>
      </c>
      <c r="AO14" s="214">
        <f t="shared" ca="1" si="71"/>
        <v>1</v>
      </c>
      <c r="AP14" s="214">
        <f t="shared" ca="1" si="71"/>
        <v>1</v>
      </c>
      <c r="AQ14" s="214">
        <f t="shared" ca="1" si="71"/>
        <v>0</v>
      </c>
      <c r="AR14" s="214">
        <f t="shared" ca="1" si="71"/>
        <v>7</v>
      </c>
      <c r="AS14" s="214">
        <f t="shared" ca="1" si="71"/>
        <v>1</v>
      </c>
      <c r="AT14" s="257">
        <f t="shared" ca="1" si="71"/>
        <v>6</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4</v>
      </c>
      <c r="BF14" s="748">
        <f t="shared" ca="1" si="26"/>
        <v>2</v>
      </c>
      <c r="BG14" s="748">
        <f t="shared" ca="1" si="17"/>
        <v>1</v>
      </c>
      <c r="BH14" s="748">
        <f t="shared" ca="1" si="18"/>
        <v>1</v>
      </c>
      <c r="BI14" s="748">
        <f t="shared" ca="1" si="19"/>
        <v>0</v>
      </c>
      <c r="BJ14" s="748">
        <f t="shared" ca="1" si="20"/>
        <v>4</v>
      </c>
      <c r="BK14" s="748">
        <f t="shared" ca="1" si="21"/>
        <v>1</v>
      </c>
      <c r="BL14" s="748">
        <f t="shared" ca="1" si="27"/>
        <v>3</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4</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3</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8</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P.1 (2)</v>
      </c>
      <c r="F15" s="744" t="str">
        <f t="shared" ca="1" si="56"/>
        <v>P.3 (2)</v>
      </c>
      <c r="G15" s="744"/>
      <c r="H15" s="744" t="str">
        <f t="shared" ca="1" si="57"/>
        <v>P.1 (2)</v>
      </c>
      <c r="I15" s="744" t="str">
        <f t="shared" ca="1" si="58"/>
        <v>P.3 (2)</v>
      </c>
      <c r="J15" s="744"/>
      <c r="K15" s="744" t="str">
        <f t="shared" ca="1" si="59"/>
        <v>P.1 (2)</v>
      </c>
      <c r="L15" s="744" t="str">
        <f t="shared" ca="1" si="60"/>
        <v>P.3 (2)</v>
      </c>
      <c r="M15" s="744"/>
      <c r="N15" s="744" t="str">
        <f t="shared" ca="1" si="61"/>
        <v>P.1 (2)</v>
      </c>
      <c r="O15" s="744" t="str">
        <f t="shared" ca="1" si="62"/>
        <v>P.3 (2)</v>
      </c>
      <c r="P15" s="744"/>
      <c r="Q15" s="744" t="str">
        <f t="shared" ca="1" si="63"/>
        <v>P.1 (2)</v>
      </c>
      <c r="R15" s="744" t="str">
        <f t="shared" ca="1" si="64"/>
        <v>P.3 (2)</v>
      </c>
      <c r="S15" s="744"/>
      <c r="T15" s="744" t="str">
        <f t="shared" ca="1" si="65"/>
        <v>P.1 (2)</v>
      </c>
      <c r="U15" s="744" t="str">
        <f t="shared" ca="1" si="66"/>
        <v>P.3 (2)</v>
      </c>
      <c r="V15" s="172"/>
      <c r="W15" s="834"/>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8">
        <f t="array" aca="1" ref="AK15" ca="1">Ver_flag_visit</f>
        <v>#VALUE!</v>
      </c>
      <c r="AL15" s="222" t="str">
        <f ca="1">IFERROR(INDEX($BD$6:$BD$53,MATCH(AI15,$BN$6:$BN$53,0)),"")</f>
        <v>Suiza</v>
      </c>
      <c r="AM15" s="223">
        <f t="shared" ca="1" si="71"/>
        <v>4</v>
      </c>
      <c r="AN15" s="224">
        <f t="shared" ca="1" si="71"/>
        <v>2</v>
      </c>
      <c r="AO15" s="224">
        <f t="shared" ca="1" si="71"/>
        <v>1</v>
      </c>
      <c r="AP15" s="224">
        <f t="shared" ca="1" si="71"/>
        <v>1</v>
      </c>
      <c r="AQ15" s="224">
        <f t="shared" ca="1" si="71"/>
        <v>0</v>
      </c>
      <c r="AR15" s="224">
        <f t="shared" ca="1" si="71"/>
        <v>5</v>
      </c>
      <c r="AS15" s="224">
        <f t="shared" ca="1" si="71"/>
        <v>2</v>
      </c>
      <c r="AT15" s="259">
        <f t="shared" ca="1" si="71"/>
        <v>3</v>
      </c>
      <c r="AU15" s="420">
        <f ca="1">INDEX($DL$6:$DL$53,MATCH(AI15,$DP$6:$DP$53,0))</f>
        <v>1</v>
      </c>
      <c r="AV15" s="217" t="str">
        <f ca="1">INDEX($BD$6:$BD$53,MATCH(AI15,$BM$6:$BM$53,0))</f>
        <v>Suiza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4</v>
      </c>
      <c r="BF15" s="748">
        <f t="shared" ca="1" si="26"/>
        <v>2</v>
      </c>
      <c r="BG15" s="748">
        <f t="shared" ca="1" si="17"/>
        <v>1</v>
      </c>
      <c r="BH15" s="748">
        <f t="shared" ca="1" si="18"/>
        <v>1</v>
      </c>
      <c r="BI15" s="748">
        <f t="shared" ca="1" si="19"/>
        <v>0</v>
      </c>
      <c r="BJ15" s="748">
        <f t="shared" ca="1" si="20"/>
        <v>2</v>
      </c>
      <c r="BK15" s="748">
        <f t="shared" ca="1" si="21"/>
        <v>1</v>
      </c>
      <c r="BL15" s="748">
        <f t="shared" ca="1" si="27"/>
        <v>1</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4</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1</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8</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34"/>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6">
        <f t="array" aca="1" ref="AK16" ca="1">Ver_flag_visit</f>
        <v>#VALUE!</v>
      </c>
      <c r="AL16" s="222" t="str">
        <f ca="1">IFERROR(INDEX($BD$6:$BD$53,MATCH(AI16,$BN$6:$BN$53,0)),"")</f>
        <v>Bosnia y Herzegovina</v>
      </c>
      <c r="AM16" s="223">
        <f t="shared" ca="1" si="71"/>
        <v>1</v>
      </c>
      <c r="AN16" s="224">
        <f t="shared" ca="1" si="71"/>
        <v>2</v>
      </c>
      <c r="AO16" s="224">
        <f t="shared" ca="1" si="71"/>
        <v>0</v>
      </c>
      <c r="AP16" s="224">
        <f t="shared" ca="1" si="71"/>
        <v>1</v>
      </c>
      <c r="AQ16" s="224">
        <f t="shared" ca="1" si="71"/>
        <v>1</v>
      </c>
      <c r="AR16" s="224">
        <f t="shared" ca="1" si="71"/>
        <v>2</v>
      </c>
      <c r="AS16" s="224">
        <f t="shared" ca="1" si="71"/>
        <v>5</v>
      </c>
      <c r="AT16" s="259">
        <f t="shared" ca="1" si="71"/>
        <v>-3</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2</v>
      </c>
      <c r="BG16" s="748">
        <f t="shared" ca="1" si="17"/>
        <v>0</v>
      </c>
      <c r="BH16" s="748">
        <f t="shared" ca="1" si="18"/>
        <v>0</v>
      </c>
      <c r="BI16" s="748">
        <f t="shared" ca="1" si="19"/>
        <v>2</v>
      </c>
      <c r="BJ16" s="748">
        <f t="shared" ca="1" si="20"/>
        <v>0</v>
      </c>
      <c r="BK16" s="748">
        <f t="shared" ca="1" si="21"/>
        <v>4</v>
      </c>
      <c r="BL16" s="748">
        <f t="shared" ca="1" si="27"/>
        <v>-4</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8</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35"/>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2</v>
      </c>
      <c r="AO17" s="263">
        <f t="shared" ca="1" si="71"/>
        <v>0</v>
      </c>
      <c r="AP17" s="263">
        <f t="shared" ca="1" si="71"/>
        <v>1</v>
      </c>
      <c r="AQ17" s="263">
        <f t="shared" ca="1" si="71"/>
        <v>1</v>
      </c>
      <c r="AR17" s="263">
        <f t="shared" ca="1" si="71"/>
        <v>1</v>
      </c>
      <c r="AS17" s="263">
        <f t="shared" ca="1" si="71"/>
        <v>7</v>
      </c>
      <c r="AT17" s="264">
        <f t="shared" ca="1" si="71"/>
        <v>-6</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2</v>
      </c>
      <c r="BG17" s="748">
        <f t="shared" ca="1" si="17"/>
        <v>1</v>
      </c>
      <c r="BH17" s="748">
        <f t="shared" ca="1" si="18"/>
        <v>0</v>
      </c>
      <c r="BI17" s="748">
        <f t="shared" ca="1" si="19"/>
        <v>1</v>
      </c>
      <c r="BJ17" s="748">
        <f t="shared" ca="1" si="20"/>
        <v>1</v>
      </c>
      <c r="BK17" s="748">
        <f t="shared" ca="1" si="21"/>
        <v>1</v>
      </c>
      <c r="BL17" s="748">
        <f t="shared" ca="1" si="27"/>
        <v>0</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8</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2</v>
      </c>
      <c r="BG18" s="748">
        <f t="shared" ca="1" si="17"/>
        <v>2</v>
      </c>
      <c r="BH18" s="748">
        <f t="shared" ca="1" si="18"/>
        <v>0</v>
      </c>
      <c r="BI18" s="748">
        <f t="shared" ca="1" si="19"/>
        <v>0</v>
      </c>
      <c r="BJ18" s="748">
        <f t="shared" ca="1" si="20"/>
        <v>6</v>
      </c>
      <c r="BK18" s="748">
        <f t="shared" ca="1" si="21"/>
        <v>1</v>
      </c>
      <c r="BL18" s="748">
        <f t="shared" ca="1" si="27"/>
        <v>5</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8</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3</v>
      </c>
      <c r="BF19" s="748">
        <f t="shared" ca="1" si="26"/>
        <v>2</v>
      </c>
      <c r="BG19" s="748">
        <f t="shared" ca="1" si="17"/>
        <v>1</v>
      </c>
      <c r="BH19" s="748">
        <f t="shared" ca="1" si="18"/>
        <v>0</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3</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0</v>
      </c>
      <c r="BW19" s="758">
        <f t="shared" ca="1" si="38"/>
        <v>0</v>
      </c>
      <c r="BX19" s="758">
        <f t="shared" ca="1" si="39"/>
        <v>0</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0</v>
      </c>
      <c r="CK19" s="758">
        <f t="shared" ca="1" si="46"/>
        <v>0</v>
      </c>
      <c r="CL19" s="758">
        <f t="shared" ca="1" si="47"/>
        <v>0</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8</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43"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2</v>
      </c>
      <c r="BG20" s="748">
        <f t="shared" ca="1" si="17"/>
        <v>1</v>
      </c>
      <c r="BH20" s="748">
        <f t="shared" ca="1" si="18"/>
        <v>0</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0</v>
      </c>
      <c r="BW20" s="758">
        <f t="shared" ca="1" si="38"/>
        <v>0</v>
      </c>
      <c r="BX20" s="758">
        <f t="shared" ca="1" si="39"/>
        <v>0</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0</v>
      </c>
      <c r="CK20" s="758">
        <f t="shared" ca="1" si="46"/>
        <v>0</v>
      </c>
      <c r="CL20" s="758">
        <f t="shared" ca="1" si="47"/>
        <v>0</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8</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43"/>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2</v>
      </c>
      <c r="BG21" s="748">
        <f t="shared" ca="1" si="17"/>
        <v>0</v>
      </c>
      <c r="BH21" s="748">
        <f t="shared" ca="1" si="18"/>
        <v>0</v>
      </c>
      <c r="BI21" s="748">
        <f t="shared" ca="1" si="19"/>
        <v>2</v>
      </c>
      <c r="BJ21" s="748">
        <f t="shared" ca="1" si="20"/>
        <v>0</v>
      </c>
      <c r="BK21" s="748">
        <f t="shared" ca="1" si="21"/>
        <v>3</v>
      </c>
      <c r="BL21" s="748">
        <f t="shared" ca="1" si="27"/>
        <v>-3</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8</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43"/>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4</v>
      </c>
      <c r="AN22" s="214">
        <f t="shared" ca="1" si="90"/>
        <v>2</v>
      </c>
      <c r="AO22" s="214">
        <f t="shared" ca="1" si="90"/>
        <v>1</v>
      </c>
      <c r="AP22" s="214">
        <f t="shared" ca="1" si="90"/>
        <v>1</v>
      </c>
      <c r="AQ22" s="214">
        <f t="shared" ca="1" si="90"/>
        <v>0</v>
      </c>
      <c r="AR22" s="214">
        <f t="shared" ca="1" si="90"/>
        <v>4</v>
      </c>
      <c r="AS22" s="214">
        <f t="shared" ca="1" si="90"/>
        <v>1</v>
      </c>
      <c r="AT22" s="215">
        <f t="shared" ca="1" si="90"/>
        <v>3</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2</v>
      </c>
      <c r="BG22" s="748">
        <f t="shared" ca="1" si="17"/>
        <v>2</v>
      </c>
      <c r="BH22" s="748">
        <f t="shared" ca="1" si="18"/>
        <v>0</v>
      </c>
      <c r="BI22" s="748">
        <f t="shared" ca="1" si="19"/>
        <v>0</v>
      </c>
      <c r="BJ22" s="748">
        <f t="shared" ca="1" si="20"/>
        <v>9</v>
      </c>
      <c r="BK22" s="748">
        <f t="shared" ca="1" si="21"/>
        <v>2</v>
      </c>
      <c r="BL22" s="748">
        <f t="shared" ca="1" si="27"/>
        <v>7</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v>
      </c>
      <c r="BU22" s="758" t="str">
        <f t="shared" ca="1" si="36"/>
        <v>-</v>
      </c>
      <c r="BV22" s="758" t="str">
        <f t="shared" ca="1" si="37"/>
        <v>-</v>
      </c>
      <c r="BW22" s="758" t="str">
        <f t="shared" ca="1" si="38"/>
        <v>-</v>
      </c>
      <c r="BX22" s="758" t="str">
        <f t="shared" ca="1" si="39"/>
        <v>-</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8</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43"/>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4</v>
      </c>
      <c r="AN23" s="224">
        <f t="shared" ca="1" si="90"/>
        <v>2</v>
      </c>
      <c r="AO23" s="224">
        <f t="shared" ca="1" si="90"/>
        <v>1</v>
      </c>
      <c r="AP23" s="224">
        <f t="shared" ca="1" si="90"/>
        <v>1</v>
      </c>
      <c r="AQ23" s="224">
        <f t="shared" ca="1" si="90"/>
        <v>0</v>
      </c>
      <c r="AR23" s="224">
        <f t="shared" ca="1" si="90"/>
        <v>2</v>
      </c>
      <c r="AS23" s="224">
        <f t="shared" ca="1" si="90"/>
        <v>1</v>
      </c>
      <c r="AT23" s="225">
        <f t="shared" ca="1" si="90"/>
        <v>1</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2</v>
      </c>
      <c r="BG23" s="748">
        <f t="shared" ca="1" si="17"/>
        <v>0</v>
      </c>
      <c r="BH23" s="748">
        <f t="shared" ca="1" si="18"/>
        <v>1</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1</v>
      </c>
      <c r="BW23" s="758">
        <f t="shared" ca="1" si="38"/>
        <v>0</v>
      </c>
      <c r="BX23" s="758">
        <f t="shared" ca="1" si="39"/>
        <v>1</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1</v>
      </c>
      <c r="CK23" s="758">
        <f t="shared" ca="1" si="46"/>
        <v>0</v>
      </c>
      <c r="CL23" s="758">
        <f t="shared" ca="1" si="47"/>
        <v>1</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8</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43"/>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2</v>
      </c>
      <c r="AO24" s="224">
        <f t="shared" ca="1" si="90"/>
        <v>1</v>
      </c>
      <c r="AP24" s="224">
        <f t="shared" ca="1" si="90"/>
        <v>0</v>
      </c>
      <c r="AQ24" s="224">
        <f t="shared" ca="1" si="90"/>
        <v>1</v>
      </c>
      <c r="AR24" s="224">
        <f t="shared" ca="1" si="90"/>
        <v>1</v>
      </c>
      <c r="AS24" s="224">
        <f t="shared" ca="1" si="90"/>
        <v>1</v>
      </c>
      <c r="AT24" s="225">
        <f t="shared" ca="1" si="90"/>
        <v>0</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2</v>
      </c>
      <c r="BG24" s="748">
        <f t="shared" ca="1" si="17"/>
        <v>1</v>
      </c>
      <c r="BH24" s="748">
        <f t="shared" ca="1" si="18"/>
        <v>0</v>
      </c>
      <c r="BI24" s="748">
        <f t="shared" ca="1" si="19"/>
        <v>1</v>
      </c>
      <c r="BJ24" s="748">
        <f t="shared" ca="1" si="20"/>
        <v>2</v>
      </c>
      <c r="BK24" s="748">
        <f t="shared" ca="1" si="21"/>
        <v>2</v>
      </c>
      <c r="BL24" s="748">
        <f t="shared" ca="1" si="27"/>
        <v>0</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2</v>
      </c>
      <c r="BT24" s="757" t="str">
        <f ca="1">IF(COUNTIFS($BS$6:$BS$53,BS24,$BC$6:$BC$53,INDEX(T_Equipos[Grupo],MATCH(BD24,T_Equipos[NombreEquipo],0)))=1,"-","P."&amp;BS24&amp;" ("&amp;COUNTIFS($BS$6:$BS$53,BS24,$BC$6:$BC$53,INDEX(T_Equipos[Grupo],MATCH(BD24,T_Equipos[NombreEquipo],0)))&amp;")")</f>
        <v>-</v>
      </c>
      <c r="BU24" s="758" t="str">
        <f t="shared" ca="1" si="36"/>
        <v>-</v>
      </c>
      <c r="BV24" s="758" t="str">
        <f t="shared" ca="1" si="37"/>
        <v>-</v>
      </c>
      <c r="BW24" s="758" t="str">
        <f t="shared" ca="1" si="38"/>
        <v>-</v>
      </c>
      <c r="BX24" s="758" t="str">
        <f t="shared" ca="1" si="39"/>
        <v>-</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8</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44"/>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2</v>
      </c>
      <c r="AO25" s="238">
        <f t="shared" ca="1" si="90"/>
        <v>0</v>
      </c>
      <c r="AP25" s="238">
        <f t="shared" ca="1" si="90"/>
        <v>0</v>
      </c>
      <c r="AQ25" s="238">
        <f t="shared" ca="1" si="90"/>
        <v>2</v>
      </c>
      <c r="AR25" s="238">
        <f t="shared" ca="1" si="90"/>
        <v>0</v>
      </c>
      <c r="AS25" s="238">
        <f t="shared" ca="1" si="90"/>
        <v>4</v>
      </c>
      <c r="AT25" s="239">
        <f t="shared" ca="1" si="90"/>
        <v>-4</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1</v>
      </c>
      <c r="BF25" s="748">
        <f t="shared" ca="1" si="26"/>
        <v>2</v>
      </c>
      <c r="BG25" s="748">
        <f t="shared" ca="1" si="17"/>
        <v>0</v>
      </c>
      <c r="BH25" s="748">
        <f t="shared" ca="1" si="18"/>
        <v>1</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1</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1</v>
      </c>
      <c r="BW25" s="758">
        <f t="shared" ca="1" si="38"/>
        <v>0</v>
      </c>
      <c r="BX25" s="758">
        <f t="shared" ca="1" si="39"/>
        <v>1</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1</v>
      </c>
      <c r="CK25" s="758">
        <f t="shared" ca="1" si="46"/>
        <v>0</v>
      </c>
      <c r="CL25" s="758">
        <f t="shared" ca="1" si="47"/>
        <v>1</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8</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4</v>
      </c>
      <c r="BF26" s="748">
        <f t="shared" ca="1" si="26"/>
        <v>2</v>
      </c>
      <c r="BG26" s="748">
        <f t="shared" ca="1" si="17"/>
        <v>1</v>
      </c>
      <c r="BH26" s="748">
        <f t="shared" ca="1" si="18"/>
        <v>1</v>
      </c>
      <c r="BI26" s="748">
        <f t="shared" ca="1" si="19"/>
        <v>0</v>
      </c>
      <c r="BJ26" s="748">
        <f t="shared" ca="1" si="20"/>
        <v>7</v>
      </c>
      <c r="BK26" s="748">
        <f t="shared" ca="1" si="21"/>
        <v>3</v>
      </c>
      <c r="BL26" s="748">
        <f t="shared" ca="1" si="27"/>
        <v>4</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4</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(2)</v>
      </c>
      <c r="BU26" s="758">
        <f t="shared" ca="1" si="36"/>
        <v>0</v>
      </c>
      <c r="BV26" s="758">
        <f t="shared" ca="1" si="37"/>
        <v>1</v>
      </c>
      <c r="BW26" s="758">
        <f t="shared" ca="1" si="38"/>
        <v>0</v>
      </c>
      <c r="BX26" s="758">
        <f t="shared" ca="1" si="39"/>
        <v>1</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(2)</v>
      </c>
      <c r="CA26" s="758">
        <f t="shared" ca="1" si="40"/>
        <v>2</v>
      </c>
      <c r="CB26" s="758">
        <f t="shared" ca="1" si="41"/>
        <v>2</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(2)</v>
      </c>
      <c r="CF26" s="758">
        <f t="shared" ca="1" si="43"/>
        <v>2</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(2)</v>
      </c>
      <c r="CI26" s="758">
        <f t="shared" ca="1" si="44"/>
        <v>0</v>
      </c>
      <c r="CJ26" s="758">
        <f t="shared" ca="1" si="45"/>
        <v>1</v>
      </c>
      <c r="CK26" s="758">
        <f t="shared" ca="1" si="46"/>
        <v>0</v>
      </c>
      <c r="CL26" s="758">
        <f t="shared" ca="1" si="47"/>
        <v>1</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(2)</v>
      </c>
      <c r="CO26" s="758">
        <f t="shared" ca="1" si="48"/>
        <v>2</v>
      </c>
      <c r="CP26" s="758">
        <f t="shared" ca="1" si="49"/>
        <v>2</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(2)</v>
      </c>
      <c r="CT26" s="758">
        <f t="shared" ca="1" si="51"/>
        <v>2</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(2)</v>
      </c>
      <c r="CW26" s="757">
        <f t="shared" ca="1" si="30"/>
        <v>4</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(2)</v>
      </c>
      <c r="CZ26" s="757">
        <f t="shared" ca="1" si="31"/>
        <v>7</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8</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4</v>
      </c>
      <c r="BF27" s="748">
        <f t="shared" ca="1" si="26"/>
        <v>2</v>
      </c>
      <c r="BG27" s="748">
        <f t="shared" ca="1" si="17"/>
        <v>1</v>
      </c>
      <c r="BH27" s="748">
        <f t="shared" ca="1" si="18"/>
        <v>1</v>
      </c>
      <c r="BI27" s="748">
        <f t="shared" ca="1" si="19"/>
        <v>0</v>
      </c>
      <c r="BJ27" s="748">
        <f t="shared" ca="1" si="20"/>
        <v>6</v>
      </c>
      <c r="BK27" s="748">
        <f t="shared" ca="1" si="21"/>
        <v>2</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4</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(2)</v>
      </c>
      <c r="BU27" s="758">
        <f t="shared" ca="1" si="36"/>
        <v>0</v>
      </c>
      <c r="BV27" s="758">
        <f t="shared" ca="1" si="37"/>
        <v>1</v>
      </c>
      <c r="BW27" s="758">
        <f t="shared" ca="1" si="38"/>
        <v>0</v>
      </c>
      <c r="BX27" s="758">
        <f t="shared" ca="1" si="39"/>
        <v>1</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(2)</v>
      </c>
      <c r="CA27" s="758">
        <f t="shared" ca="1" si="40"/>
        <v>2</v>
      </c>
      <c r="CB27" s="758">
        <f t="shared" ca="1" si="41"/>
        <v>2</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(2)</v>
      </c>
      <c r="CF27" s="758">
        <f t="shared" ca="1" si="43"/>
        <v>2</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(2)</v>
      </c>
      <c r="CI27" s="758">
        <f t="shared" ca="1" si="44"/>
        <v>0</v>
      </c>
      <c r="CJ27" s="758">
        <f t="shared" ca="1" si="45"/>
        <v>1</v>
      </c>
      <c r="CK27" s="758">
        <f t="shared" ca="1" si="46"/>
        <v>0</v>
      </c>
      <c r="CL27" s="758">
        <f t="shared" ca="1" si="47"/>
        <v>1</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(2)</v>
      </c>
      <c r="CO27" s="758">
        <f t="shared" ca="1" si="48"/>
        <v>2</v>
      </c>
      <c r="CP27" s="758">
        <f t="shared" ca="1" si="49"/>
        <v>2</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(2)</v>
      </c>
      <c r="CT27" s="758">
        <f t="shared" ca="1" si="51"/>
        <v>2</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(2)</v>
      </c>
      <c r="CW27" s="757">
        <f t="shared" ca="1" si="30"/>
        <v>4</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(2)</v>
      </c>
      <c r="CZ27" s="757">
        <f t="shared" ca="1" si="31"/>
        <v>6</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8</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45"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2</v>
      </c>
      <c r="BG28" s="748">
        <f t="shared" ca="1" si="17"/>
        <v>1</v>
      </c>
      <c r="BH28" s="748">
        <f t="shared" ca="1" si="18"/>
        <v>0</v>
      </c>
      <c r="BI28" s="748">
        <f t="shared" ca="1" si="19"/>
        <v>1</v>
      </c>
      <c r="BJ28" s="748">
        <f t="shared" ca="1" si="20"/>
        <v>6</v>
      </c>
      <c r="BK28" s="748">
        <f t="shared" ca="1" si="21"/>
        <v>6</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8</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45"/>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2</v>
      </c>
      <c r="BG29" s="748">
        <f t="shared" ca="1" si="17"/>
        <v>0</v>
      </c>
      <c r="BH29" s="748">
        <f t="shared" ca="1" si="18"/>
        <v>0</v>
      </c>
      <c r="BI29" s="748">
        <f t="shared" ca="1" si="19"/>
        <v>2</v>
      </c>
      <c r="BJ29" s="748">
        <f t="shared" ca="1" si="20"/>
        <v>1</v>
      </c>
      <c r="BK29" s="748">
        <f t="shared" ca="1" si="21"/>
        <v>9</v>
      </c>
      <c r="BL29" s="748">
        <f t="shared" ca="1" si="27"/>
        <v>-8</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8</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45"/>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2</v>
      </c>
      <c r="AO30" s="214">
        <f t="shared" ca="1" si="111"/>
        <v>2</v>
      </c>
      <c r="AP30" s="214">
        <f t="shared" ca="1" si="111"/>
        <v>0</v>
      </c>
      <c r="AQ30" s="214">
        <f t="shared" ca="1" si="111"/>
        <v>0</v>
      </c>
      <c r="AR30" s="214">
        <f t="shared" ca="1" si="111"/>
        <v>6</v>
      </c>
      <c r="AS30" s="214">
        <f t="shared" ca="1" si="111"/>
        <v>1</v>
      </c>
      <c r="AT30" s="215">
        <f t="shared" ca="1" si="111"/>
        <v>5</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2</v>
      </c>
      <c r="BF30" s="748">
        <f t="shared" ca="1" si="26"/>
        <v>2</v>
      </c>
      <c r="BG30" s="748">
        <f t="shared" ca="1" si="17"/>
        <v>0</v>
      </c>
      <c r="BH30" s="748">
        <f t="shared" ca="1" si="18"/>
        <v>2</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2</v>
      </c>
      <c r="BS30" s="757">
        <f ca="1">BP30+COUNTIFS($BQ$6:$BQ$53,BQ30,$BR$6:BR$53,"&gt;"&amp;BR30,$BC$6:$BC$53,INDEX(T_Equipos[Grupo],MATCH(BD30,T_Equipos[NombreEquipo],0)))</f>
        <v>2</v>
      </c>
      <c r="BT30" s="757" t="str">
        <f ca="1">IF(COUNTIFS($BS$6:$BS$53,BS30,$BC$6:$BC$53,INDEX(T_Equipos[Grupo],MATCH(BD30,T_Equipos[NombreEquipo],0)))=1,"-","P."&amp;BS30&amp;" ("&amp;COUNTIFS($BS$6:$BS$53,BS30,$BC$6:$BC$53,INDEX(T_Equipos[Grupo],MATCH(BD30,T_Equipos[NombreEquipo],0)))&amp;")")</f>
        <v>P.2 (2)</v>
      </c>
      <c r="BU30" s="758">
        <f t="shared" ca="1" si="36"/>
        <v>0</v>
      </c>
      <c r="BV30" s="758">
        <f t="shared" ca="1" si="37"/>
        <v>1</v>
      </c>
      <c r="BW30" s="758">
        <f t="shared" ca="1" si="38"/>
        <v>0</v>
      </c>
      <c r="BX30" s="758">
        <f t="shared" ca="1" si="39"/>
        <v>1</v>
      </c>
      <c r="BY30" s="758">
        <f ca="1">BS30+COUNTIFS($BT$6:$BT$53,BT30,$BX$6:BX$53,"&gt;"&amp;BX30,$BC$6:$BC$53,INDEX(T_Equipos[Grupo],MATCH(BD30,T_Equipos[NombreEquipo],0)))</f>
        <v>2</v>
      </c>
      <c r="BZ30" s="757" t="str">
        <f ca="1">IF(COUNTIFS($BY$6:$BY$53,BY30,$BC$6:$BC$53,INDEX(T_Equipos[Grupo],MATCH(BD30,T_Equipos[NombreEquipo],0)))=1,"-","P."&amp;BY30&amp;" ("&amp;COUNTIFS($BY$6:$BY$53,BY30,$BC$6:$BC$53,INDEX(T_Equipos[Grupo],MATCH(BD30,T_Equipos[NombreEquipo],0)))&amp;")")</f>
        <v>P.2 (2)</v>
      </c>
      <c r="CA30" s="758">
        <f t="shared" ca="1" si="40"/>
        <v>0</v>
      </c>
      <c r="CB30" s="758">
        <f t="shared" ca="1" si="41"/>
        <v>0</v>
      </c>
      <c r="CC30" s="758">
        <f t="shared" ca="1" si="42"/>
        <v>0</v>
      </c>
      <c r="CD30" s="758">
        <f ca="1">BY30+COUNTIFS($BZ$6:$BZ$53,BZ30,$CC$6:CC$53,"&gt;"&amp;CC30,$BC$6:$BC$53,INDEX(T_Equipos[Grupo],MATCH(BD30,T_Equipos[NombreEquipo],0)))</f>
        <v>2</v>
      </c>
      <c r="CE30" s="757" t="str">
        <f ca="1">IF(COUNTIFS($CD$6:$CD$53,CD30,$BC$6:$BC$53,INDEX(T_Equipos[Grupo],MATCH(BD30,T_Equipos[NombreEquipo],0)))=1,"-","P."&amp;CD30&amp;" ("&amp;COUNTIFS($CD$6:$CD$53,CD30,$BC$6:$BC$53,INDEX(T_Equipos[Grupo],MATCH(BD30,T_Equipos[NombreEquipo],0)))&amp;")")</f>
        <v>P.2 (2)</v>
      </c>
      <c r="CF30" s="758">
        <f t="shared" ca="1" si="43"/>
        <v>0</v>
      </c>
      <c r="CG30" s="758">
        <f ca="1">CD30+COUNTIFS($CE$6:$CE$53,CE30,$CF$6:CF$53,"&gt;"&amp;CF30,$BC$6:$BC$53,INDEX(T_Equipos[Grupo],MATCH(BD30,T_Equipos[NombreEquipo],0)))</f>
        <v>2</v>
      </c>
      <c r="CH30" s="757" t="str">
        <f ca="1">IF(COUNTIFS($CG$6:$CG$53,CG30,$BC$6:$BC$53,INDEX(T_Equipos[Grupo],MATCH(BD30,T_Equipos[NombreEquipo],0)))=1,"-","P."&amp;CG30&amp;" ("&amp;COUNTIFS($CG$6:$CG$53,CG30,$BC$6:$BC$53,INDEX(T_Equipos[Grupo],MATCH(BD30,T_Equipos[NombreEquipo],0)))&amp;")")</f>
        <v>P.2 (2)</v>
      </c>
      <c r="CI30" s="758">
        <f t="shared" ca="1" si="44"/>
        <v>0</v>
      </c>
      <c r="CJ30" s="758">
        <f t="shared" ca="1" si="45"/>
        <v>1</v>
      </c>
      <c r="CK30" s="758">
        <f t="shared" ca="1" si="46"/>
        <v>0</v>
      </c>
      <c r="CL30" s="758">
        <f t="shared" ca="1" si="47"/>
        <v>1</v>
      </c>
      <c r="CM30" s="758">
        <f ca="1">CG30+COUNTIFS($CH$6:$CH$53,CH30,$CL$6:CL$53,"&gt;"&amp;CL30,$BC$6:$BC$53,INDEX(T_Equipos[Grupo],MATCH(BD30,T_Equipos[NombreEquipo],0)))</f>
        <v>2</v>
      </c>
      <c r="CN30" s="757" t="str">
        <f ca="1">IF(COUNTIFS($CM$6:$CM$53,CM30,$BC$6:$BC$53,INDEX(T_Equipos[Grupo],MATCH(BD30,T_Equipos[NombreEquipo],0)))=1,"-","P."&amp;CM30&amp;" ("&amp;COUNTIFS($CM$6:$CM$53,CM30,$BC$6:$BC$53,INDEX(T_Equipos[Grupo],MATCH(BD30,T_Equipos[NombreEquipo],0)))&amp;")")</f>
        <v>P.2 (2)</v>
      </c>
      <c r="CO30" s="758">
        <f t="shared" ca="1" si="48"/>
        <v>0</v>
      </c>
      <c r="CP30" s="758">
        <f t="shared" ca="1" si="49"/>
        <v>0</v>
      </c>
      <c r="CQ30" s="758">
        <f t="shared" ca="1" si="50"/>
        <v>0</v>
      </c>
      <c r="CR30" s="758">
        <f ca="1">CM30+COUNTIFS($CN$6:$CN$53,CN30,$CQ$6:CQ$53,"&gt;"&amp;CQ30,$BC$6:$BC$53,INDEX(T_Equipos[Grupo],MATCH(BD30,T_Equipos[NombreEquipo],0)))</f>
        <v>2</v>
      </c>
      <c r="CS30" s="757" t="str">
        <f ca="1">IF(COUNTIFS($CR$6:$CR$53,CR30,$BC$6:$BC$53,INDEX(T_Equipos[Grupo],MATCH(BD30,T_Equipos[NombreEquipo],0)))=1,"-","P."&amp;CR30&amp;" ("&amp;COUNTIFS($CR$6:$CR$53,CR30,$BC$6:$BC$53,INDEX(T_Equipos[Grupo],MATCH(BD30,T_Equipos[NombreEquipo],0)))&amp;")")</f>
        <v>P.2 (2)</v>
      </c>
      <c r="CT30" s="758">
        <f t="shared" ca="1" si="51"/>
        <v>0</v>
      </c>
      <c r="CU30" s="758">
        <f ca="1">CR30+COUNTIFS($CS$6:$CS$53,CS30,$CT$6:CT$53,"&gt;"&amp;CT30,$BC$6:$BC$53,INDEX(T_Equipos[Grupo],MATCH(BD30,T_Equipos[NombreEquipo],0)))</f>
        <v>2</v>
      </c>
      <c r="CV30" s="757" t="str">
        <f ca="1">IF(COUNTIFS($CU$6:$CU$53,CU30,$BC$6:$BC$53,INDEX(T_Equipos[Grupo],MATCH(BD30,T_Equipos[NombreEquipo],0)))=1,"-","P."&amp;CU30&amp;" ("&amp;COUNTIFS($CU$6:$CU$53,CU30,$BC$6:$BC$53,INDEX(T_Equipos[Grupo],MATCH(BD30,T_Equipos[NombreEquipo],0)))&amp;")")</f>
        <v>P.2 (2)</v>
      </c>
      <c r="CW30" s="757">
        <f t="shared" ca="1" si="30"/>
        <v>0</v>
      </c>
      <c r="CX30" s="757">
        <f ca="1">CU30+COUNTIFS($CV$6:$CV$53,CV30,$CW$6:CW$53,"&gt;"&amp;CW30,$BC$6:$BC$53,INDEX(T_Equipos[Grupo],MATCH(BD30,T_Equipos[NombreEquipo],0)))</f>
        <v>2</v>
      </c>
      <c r="CY30" s="757" t="str">
        <f ca="1">IF(COUNTIFS($CX$6:$CX$53,CX30,$BC$6:$BC$53,INDEX(T_Equipos[Grupo],MATCH(BD30,T_Equipos[NombreEquipo],0)))=1,"-","P."&amp;CX30&amp;" ("&amp;COUNTIFS($CX$6:$CX$53,CX30,$BC$6:$BC$53,INDEX(T_Equipos[Grupo],MATCH(BD30,T_Equipos[NombreEquipo],0)))&amp;")")</f>
        <v>P.2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3</v>
      </c>
      <c r="DE30" s="756"/>
      <c r="DF30" s="756">
        <f t="shared" ca="1" si="52"/>
        <v>3</v>
      </c>
      <c r="DG30" s="756" t="str">
        <f ca="1">IF(DB30="-","-",COUNTIFS(DF$6:DF$53,"&lt;"&amp;DF30,$BC$6:$BC$53,INDEX(T_Equipos[Grupo],MATCH(BD30,T_Equipos[NombreEquipo],0))))</f>
        <v>-</v>
      </c>
      <c r="DH30" s="756">
        <f ca="1">DA30+COUNTIFS(DB$6:DB$53,DB30,DG$6:DG$53,"&lt;"&amp;DG30,$BC$6:$BC$53,INDEX(T_Equipos[Grupo],MATCH(BD30,T_Equipos[NombreEquipo],0)))</f>
        <v>3</v>
      </c>
      <c r="DI30" s="744"/>
      <c r="DJ30" s="744">
        <f t="shared" ca="1" si="53"/>
        <v>1</v>
      </c>
      <c r="DK30" s="744">
        <f t="shared" ca="1" si="24"/>
        <v>8</v>
      </c>
      <c r="DL30" s="744">
        <f t="shared" ca="1" si="33"/>
        <v>1</v>
      </c>
      <c r="DM30" s="738" t="str">
        <f t="shared" ca="1" si="34"/>
        <v>1.1</v>
      </c>
      <c r="DN30" s="744" cm="1">
        <f t="array" aca="1" ref="DN30" ca="1">OFFSET(Horarios!$P$3,DJ30-1,0,DL30,1)</f>
        <v>1</v>
      </c>
      <c r="DO30" s="744"/>
      <c r="DP30" s="744" t="s">
        <v>667</v>
      </c>
      <c r="DQ30" s="744" t="str">
        <f t="shared" ca="1" si="35"/>
        <v>Egipto</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45"/>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2</v>
      </c>
      <c r="AO31" s="224">
        <f t="shared" ca="1" si="111"/>
        <v>1</v>
      </c>
      <c r="AP31" s="224">
        <f t="shared" ca="1" si="111"/>
        <v>0</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4</v>
      </c>
      <c r="BF31" s="748">
        <f t="shared" ca="1" si="26"/>
        <v>2</v>
      </c>
      <c r="BG31" s="748">
        <f t="shared" ca="1" si="17"/>
        <v>1</v>
      </c>
      <c r="BH31" s="748">
        <f t="shared" ca="1" si="18"/>
        <v>1</v>
      </c>
      <c r="BI31" s="748">
        <f t="shared" ca="1" si="19"/>
        <v>0</v>
      </c>
      <c r="BJ31" s="748">
        <f t="shared" ca="1" si="20"/>
        <v>4</v>
      </c>
      <c r="BK31" s="748">
        <f t="shared" ca="1" si="21"/>
        <v>2</v>
      </c>
      <c r="BL31" s="748">
        <f t="shared" ca="1" si="27"/>
        <v>2</v>
      </c>
      <c r="BM31" s="748" t="str">
        <f t="shared" ca="1" si="22"/>
        <v>1G</v>
      </c>
      <c r="BN31" s="748" t="str">
        <f t="shared" ca="1" si="23"/>
        <v>1G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4</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v>
      </c>
      <c r="BU31" s="758" t="str">
        <f t="shared" ca="1" si="36"/>
        <v>-</v>
      </c>
      <c r="BV31" s="758" t="str">
        <f t="shared" ca="1" si="37"/>
        <v>-</v>
      </c>
      <c r="BW31" s="758" t="str">
        <f t="shared" ca="1" si="38"/>
        <v>-</v>
      </c>
      <c r="BX31" s="758" t="str">
        <f t="shared" ca="1" si="39"/>
        <v>-</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v>
      </c>
      <c r="CA31" s="758" t="str">
        <f t="shared" ca="1" si="40"/>
        <v>-</v>
      </c>
      <c r="CB31" s="758" t="str">
        <f t="shared" ca="1" si="41"/>
        <v>-</v>
      </c>
      <c r="CC31" s="758" t="str">
        <f t="shared" ca="1" si="42"/>
        <v>-</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v>
      </c>
      <c r="CF31" s="758" t="str">
        <f t="shared" ca="1" si="43"/>
        <v>-</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v>
      </c>
      <c r="CI31" s="758" t="str">
        <f t="shared" ca="1" si="44"/>
        <v>-</v>
      </c>
      <c r="CJ31" s="758" t="str">
        <f t="shared" ca="1" si="45"/>
        <v>-</v>
      </c>
      <c r="CK31" s="758" t="str">
        <f t="shared" ca="1" si="46"/>
        <v>-</v>
      </c>
      <c r="CL31" s="758" t="str">
        <f t="shared" ca="1" si="47"/>
        <v>-</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v>
      </c>
      <c r="CO31" s="758" t="str">
        <f t="shared" ca="1" si="48"/>
        <v>-</v>
      </c>
      <c r="CP31" s="758" t="str">
        <f t="shared" ca="1" si="49"/>
        <v>-</v>
      </c>
      <c r="CQ31" s="758" t="str">
        <f t="shared" ca="1" si="50"/>
        <v>-</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v>
      </c>
      <c r="CT31" s="758" t="str">
        <f t="shared" ca="1" si="51"/>
        <v>-</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v>
      </c>
      <c r="CW31" s="757" t="str">
        <f t="shared" ca="1" si="30"/>
        <v>-</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1</v>
      </c>
      <c r="DE31" s="756"/>
      <c r="DF31" s="756">
        <f t="shared" ca="1" si="52"/>
        <v>1</v>
      </c>
      <c r="DG31" s="756" t="str">
        <f ca="1">IF(DB31="-","-",COUNTIFS(DF$6:DF$53,"&lt;"&amp;DF31,$BC$6:$BC$53,INDEX(T_Equipos[Grupo],MATCH(BD31,T_Equipos[NombreEquipo],0))))</f>
        <v>-</v>
      </c>
      <c r="DH31" s="756">
        <f ca="1">DA31+COUNTIFS(DB$6:DB$53,DB31,DG$6:DG$53,"&lt;"&amp;DG31,$BC$6:$BC$53,INDEX(T_Equipos[Grupo],MATCH(BD31,T_Equipos[NombreEquipo],0)))</f>
        <v>1</v>
      </c>
      <c r="DI31" s="744"/>
      <c r="DJ31" s="744">
        <f t="shared" ca="1" si="53"/>
        <v>2</v>
      </c>
      <c r="DK31" s="744">
        <f t="shared" ca="1" si="24"/>
        <v>8</v>
      </c>
      <c r="DL31" s="744">
        <f t="shared" ca="1" si="33"/>
        <v>1</v>
      </c>
      <c r="DM31" s="738" t="str">
        <f t="shared" ca="1" si="34"/>
        <v>2.1</v>
      </c>
      <c r="DN31" s="744" cm="1">
        <f t="array" aca="1" ref="DN31" ca="1">OFFSET(Horarios!$P$3,DJ31-1,0,DL31,1)</f>
        <v>2</v>
      </c>
      <c r="DO31" s="744"/>
      <c r="DP31" s="744" t="s">
        <v>668</v>
      </c>
      <c r="DQ31" s="744" t="str">
        <f t="shared" ca="1" si="35"/>
        <v>Irán</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45"/>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4">
        <f t="array" aca="1" ref="AK32" ca="1">Ver_flag_visit</f>
        <v>#VALUE!</v>
      </c>
      <c r="AL32" s="222" t="str">
        <f ca="1">IFERROR(INDEX($BD$6:$BD$53,MATCH(AI32,$BN$6:$BN$53,0)),"")</f>
        <v>Paraguay</v>
      </c>
      <c r="AM32" s="223">
        <f t="shared" ca="1" si="111"/>
        <v>3</v>
      </c>
      <c r="AN32" s="224">
        <f t="shared" ca="1" si="111"/>
        <v>2</v>
      </c>
      <c r="AO32" s="224">
        <f t="shared" ca="1" si="111"/>
        <v>1</v>
      </c>
      <c r="AP32" s="224">
        <f t="shared" ca="1" si="111"/>
        <v>0</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2</v>
      </c>
      <c r="BF32" s="748">
        <f t="shared" ca="1" si="26"/>
        <v>2</v>
      </c>
      <c r="BG32" s="748">
        <f t="shared" ca="1" si="17"/>
        <v>0</v>
      </c>
      <c r="BH32" s="748">
        <f t="shared" ca="1" si="18"/>
        <v>2</v>
      </c>
      <c r="BI32" s="748">
        <f t="shared" ca="1" si="19"/>
        <v>0</v>
      </c>
      <c r="BJ32" s="748">
        <f t="shared" ca="1" si="20"/>
        <v>2</v>
      </c>
      <c r="BK32" s="748">
        <f t="shared" ca="1" si="21"/>
        <v>2</v>
      </c>
      <c r="BL32" s="748">
        <f t="shared" ca="1" si="27"/>
        <v>0</v>
      </c>
      <c r="BM32" s="748" t="str">
        <f t="shared" ca="1" si="22"/>
        <v>2G</v>
      </c>
      <c r="BN32" s="748" t="str">
        <f t="shared" ca="1" si="23"/>
        <v>2G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2</v>
      </c>
      <c r="BS32" s="757">
        <f ca="1">BP32+COUNTIFS($BQ$6:$BQ$53,BQ32,$BR$6:BR$53,"&gt;"&amp;BR32,$BC$6:$BC$53,INDEX(T_Equipos[Grupo],MATCH(BD32,T_Equipos[NombreEquipo],0)))</f>
        <v>2</v>
      </c>
      <c r="BT32" s="757" t="str">
        <f ca="1">IF(COUNTIFS($BS$6:$BS$53,BS32,$BC$6:$BC$53,INDEX(T_Equipos[Grupo],MATCH(BD32,T_Equipos[NombreEquipo],0)))=1,"-","P."&amp;BS32&amp;" ("&amp;COUNTIFS($BS$6:$BS$53,BS32,$BC$6:$BC$53,INDEX(T_Equipos[Grupo],MATCH(BD32,T_Equipos[NombreEquipo],0)))&amp;")")</f>
        <v>P.2 (2)</v>
      </c>
      <c r="BU32" s="758">
        <f t="shared" ca="1" si="36"/>
        <v>0</v>
      </c>
      <c r="BV32" s="758">
        <f t="shared" ca="1" si="37"/>
        <v>1</v>
      </c>
      <c r="BW32" s="758">
        <f t="shared" ca="1" si="38"/>
        <v>0</v>
      </c>
      <c r="BX32" s="758">
        <f t="shared" ca="1" si="39"/>
        <v>1</v>
      </c>
      <c r="BY32" s="758">
        <f ca="1">BS32+COUNTIFS($BT$6:$BT$53,BT32,$BX$6:BX$53,"&gt;"&amp;BX32,$BC$6:$BC$53,INDEX(T_Equipos[Grupo],MATCH(BD32,T_Equipos[NombreEquipo],0)))</f>
        <v>2</v>
      </c>
      <c r="BZ32" s="757" t="str">
        <f ca="1">IF(COUNTIFS($BY$6:$BY$53,BY32,$BC$6:$BC$53,INDEX(T_Equipos[Grupo],MATCH(BD32,T_Equipos[NombreEquipo],0)))=1,"-","P."&amp;BY32&amp;" ("&amp;COUNTIFS($BY$6:$BY$53,BY32,$BC$6:$BC$53,INDEX(T_Equipos[Grupo],MATCH(BD32,T_Equipos[NombreEquipo],0)))&amp;")")</f>
        <v>P.2 (2)</v>
      </c>
      <c r="CA32" s="758">
        <f t="shared" ca="1" si="40"/>
        <v>0</v>
      </c>
      <c r="CB32" s="758">
        <f t="shared" ca="1" si="41"/>
        <v>0</v>
      </c>
      <c r="CC32" s="758">
        <f t="shared" ca="1" si="42"/>
        <v>0</v>
      </c>
      <c r="CD32" s="758">
        <f ca="1">BY32+COUNTIFS($BZ$6:$BZ$53,BZ32,$CC$6:CC$53,"&gt;"&amp;CC32,$BC$6:$BC$53,INDEX(T_Equipos[Grupo],MATCH(BD32,T_Equipos[NombreEquipo],0)))</f>
        <v>2</v>
      </c>
      <c r="CE32" s="757" t="str">
        <f ca="1">IF(COUNTIFS($CD$6:$CD$53,CD32,$BC$6:$BC$53,INDEX(T_Equipos[Grupo],MATCH(BD32,T_Equipos[NombreEquipo],0)))=1,"-","P."&amp;CD32&amp;" ("&amp;COUNTIFS($CD$6:$CD$53,CD32,$BC$6:$BC$53,INDEX(T_Equipos[Grupo],MATCH(BD32,T_Equipos[NombreEquipo],0)))&amp;")")</f>
        <v>P.2 (2)</v>
      </c>
      <c r="CF32" s="758">
        <f t="shared" ca="1" si="43"/>
        <v>0</v>
      </c>
      <c r="CG32" s="758">
        <f ca="1">CD32+COUNTIFS($CE$6:$CE$53,CE32,$CF$6:CF$53,"&gt;"&amp;CF32,$BC$6:$BC$53,INDEX(T_Equipos[Grupo],MATCH(BD32,T_Equipos[NombreEquipo],0)))</f>
        <v>2</v>
      </c>
      <c r="CH32" s="757" t="str">
        <f ca="1">IF(COUNTIFS($CG$6:$CG$53,CG32,$BC$6:$BC$53,INDEX(T_Equipos[Grupo],MATCH(BD32,T_Equipos[NombreEquipo],0)))=1,"-","P."&amp;CG32&amp;" ("&amp;COUNTIFS($CG$6:$CG$53,CG32,$BC$6:$BC$53,INDEX(T_Equipos[Grupo],MATCH(BD32,T_Equipos[NombreEquipo],0)))&amp;")")</f>
        <v>P.2 (2)</v>
      </c>
      <c r="CI32" s="758">
        <f t="shared" ca="1" si="44"/>
        <v>0</v>
      </c>
      <c r="CJ32" s="758">
        <f t="shared" ca="1" si="45"/>
        <v>1</v>
      </c>
      <c r="CK32" s="758">
        <f t="shared" ca="1" si="46"/>
        <v>0</v>
      </c>
      <c r="CL32" s="758">
        <f t="shared" ca="1" si="47"/>
        <v>1</v>
      </c>
      <c r="CM32" s="758">
        <f ca="1">CG32+COUNTIFS($CH$6:$CH$53,CH32,$CL$6:CL$53,"&gt;"&amp;CL32,$BC$6:$BC$53,INDEX(T_Equipos[Grupo],MATCH(BD32,T_Equipos[NombreEquipo],0)))</f>
        <v>2</v>
      </c>
      <c r="CN32" s="757" t="str">
        <f ca="1">IF(COUNTIFS($CM$6:$CM$53,CM32,$BC$6:$BC$53,INDEX(T_Equipos[Grupo],MATCH(BD32,T_Equipos[NombreEquipo],0)))=1,"-","P."&amp;CM32&amp;" ("&amp;COUNTIFS($CM$6:$CM$53,CM32,$BC$6:$BC$53,INDEX(T_Equipos[Grupo],MATCH(BD32,T_Equipos[NombreEquipo],0)))&amp;")")</f>
        <v>P.2 (2)</v>
      </c>
      <c r="CO32" s="758">
        <f t="shared" ca="1" si="48"/>
        <v>0</v>
      </c>
      <c r="CP32" s="758">
        <f t="shared" ca="1" si="49"/>
        <v>0</v>
      </c>
      <c r="CQ32" s="758">
        <f t="shared" ca="1" si="50"/>
        <v>0</v>
      </c>
      <c r="CR32" s="758">
        <f ca="1">CM32+COUNTIFS($CN$6:$CN$53,CN32,$CQ$6:CQ$53,"&gt;"&amp;CQ32,$BC$6:$BC$53,INDEX(T_Equipos[Grupo],MATCH(BD32,T_Equipos[NombreEquipo],0)))</f>
        <v>2</v>
      </c>
      <c r="CS32" s="757" t="str">
        <f ca="1">IF(COUNTIFS($CR$6:$CR$53,CR32,$BC$6:$BC$53,INDEX(T_Equipos[Grupo],MATCH(BD32,T_Equipos[NombreEquipo],0)))=1,"-","P."&amp;CR32&amp;" ("&amp;COUNTIFS($CR$6:$CR$53,CR32,$BC$6:$BC$53,INDEX(T_Equipos[Grupo],MATCH(BD32,T_Equipos[NombreEquipo],0)))&amp;")")</f>
        <v>P.2 (2)</v>
      </c>
      <c r="CT32" s="758">
        <f t="shared" ca="1" si="51"/>
        <v>0</v>
      </c>
      <c r="CU32" s="758">
        <f ca="1">CR32+COUNTIFS($CS$6:$CS$53,CS32,$CT$6:CT$53,"&gt;"&amp;CT32,$BC$6:$BC$53,INDEX(T_Equipos[Grupo],MATCH(BD32,T_Equipos[NombreEquipo],0)))</f>
        <v>2</v>
      </c>
      <c r="CV32" s="757" t="str">
        <f ca="1">IF(COUNTIFS($CU$6:$CU$53,CU32,$BC$6:$BC$53,INDEX(T_Equipos[Grupo],MATCH(BD32,T_Equipos[NombreEquipo],0)))=1,"-","P."&amp;CU32&amp;" ("&amp;COUNTIFS($CU$6:$CU$53,CU32,$BC$6:$BC$53,INDEX(T_Equipos[Grupo],MATCH(BD32,T_Equipos[NombreEquipo],0)))&amp;")")</f>
        <v>P.2 (2)</v>
      </c>
      <c r="CW32" s="757">
        <f t="shared" ca="1" si="30"/>
        <v>0</v>
      </c>
      <c r="CX32" s="757">
        <f ca="1">CU32+COUNTIFS($CV$6:$CV$53,CV32,$CW$6:CW$53,"&gt;"&amp;CW32,$BC$6:$BC$53,INDEX(T_Equipos[Grupo],MATCH(BD32,T_Equipos[NombreEquipo],0)))</f>
        <v>2</v>
      </c>
      <c r="CY32" s="757" t="str">
        <f ca="1">IF(COUNTIFS($CX$6:$CX$53,CX32,$BC$6:$BC$53,INDEX(T_Equipos[Grupo],MATCH(BD32,T_Equipos[NombreEquipo],0)))=1,"-","P."&amp;CX32&amp;" ("&amp;COUNTIFS($CX$6:$CX$53,CX32,$BC$6:$BC$53,INDEX(T_Equipos[Grupo],MATCH(BD32,T_Equipos[NombreEquipo],0)))&amp;")")</f>
        <v>P.2 (2)</v>
      </c>
      <c r="CZ32" s="757">
        <f t="shared" ca="1" si="31"/>
        <v>2</v>
      </c>
      <c r="DA32" s="758">
        <f ca="1">CX32+COUNTIFS($CY$6:$CY$53,CY32,$CZ$6:CZ$53,"&gt;"&amp;CZ32,$BC$6:$BC$53,INDEX(T_Equipos[Grupo],MATCH(BD32,T_Equipos[NombreEquipo],0)))</f>
        <v>2</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2</v>
      </c>
      <c r="DE32" s="756"/>
      <c r="DF32" s="756">
        <f t="shared" ca="1" si="52"/>
        <v>2</v>
      </c>
      <c r="DG32" s="756" t="str">
        <f ca="1">IF(DB32="-","-",COUNTIFS(DF$6:DF$53,"&lt;"&amp;DF32,$BC$6:$BC$53,INDEX(T_Equipos[Grupo],MATCH(BD32,T_Equipos[NombreEquipo],0))))</f>
        <v>-</v>
      </c>
      <c r="DH32" s="756">
        <f ca="1">DA32+COUNTIFS(DB$6:DB$53,DB32,DG$6:DG$53,"&lt;"&amp;DG32,$BC$6:$BC$53,INDEX(T_Equipos[Grupo],MATCH(BD32,T_Equipos[NombreEquipo],0)))</f>
        <v>2</v>
      </c>
      <c r="DI32" s="744"/>
      <c r="DJ32" s="744">
        <f t="shared" ca="1" si="53"/>
        <v>3</v>
      </c>
      <c r="DK32" s="744">
        <f t="shared" ca="1" si="24"/>
        <v>8</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46"/>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2</v>
      </c>
      <c r="AO33" s="238">
        <f t="shared" ca="1" si="111"/>
        <v>0</v>
      </c>
      <c r="AP33" s="238">
        <f t="shared" ca="1" si="111"/>
        <v>0</v>
      </c>
      <c r="AQ33" s="238">
        <f t="shared" ca="1" si="111"/>
        <v>2</v>
      </c>
      <c r="AR33" s="238">
        <f t="shared" ca="1" si="111"/>
        <v>0</v>
      </c>
      <c r="AS33" s="238">
        <f t="shared" ca="1" si="111"/>
        <v>3</v>
      </c>
      <c r="AT33" s="239">
        <f t="shared" ca="1" si="111"/>
        <v>-3</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2</v>
      </c>
      <c r="BG33" s="748">
        <f t="shared" ca="1" si="17"/>
        <v>0</v>
      </c>
      <c r="BH33" s="748">
        <f t="shared" ca="1" si="18"/>
        <v>1</v>
      </c>
      <c r="BI33" s="748">
        <f t="shared" ca="1" si="19"/>
        <v>1</v>
      </c>
      <c r="BJ33" s="748">
        <f t="shared" ca="1" si="20"/>
        <v>3</v>
      </c>
      <c r="BK33" s="748">
        <f t="shared" ca="1" si="21"/>
        <v>5</v>
      </c>
      <c r="BL33" s="748">
        <f t="shared" ca="1" si="27"/>
        <v>-2</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8</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4</v>
      </c>
      <c r="BF34" s="748">
        <f t="shared" ca="1" si="26"/>
        <v>2</v>
      </c>
      <c r="BG34" s="748">
        <f t="shared" ca="1" si="17"/>
        <v>1</v>
      </c>
      <c r="BH34" s="748">
        <f t="shared" ca="1" si="18"/>
        <v>1</v>
      </c>
      <c r="BI34" s="748">
        <f t="shared" ca="1" si="19"/>
        <v>0</v>
      </c>
      <c r="BJ34" s="748">
        <f t="shared" ca="1" si="20"/>
        <v>4</v>
      </c>
      <c r="BK34" s="748">
        <f t="shared" ca="1" si="21"/>
        <v>0</v>
      </c>
      <c r="BL34" s="748">
        <f t="shared" ca="1" si="27"/>
        <v>4</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4</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8</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2</v>
      </c>
      <c r="BF35" s="748">
        <f t="shared" ca="1" si="26"/>
        <v>2</v>
      </c>
      <c r="BG35" s="748">
        <f t="shared" ca="1" si="17"/>
        <v>0</v>
      </c>
      <c r="BH35" s="748">
        <f t="shared" ca="1" si="18"/>
        <v>2</v>
      </c>
      <c r="BI35" s="748">
        <f t="shared" ca="1" si="19"/>
        <v>0</v>
      </c>
      <c r="BJ35" s="748">
        <f t="shared" ca="1" si="20"/>
        <v>2</v>
      </c>
      <c r="BK35" s="748">
        <f t="shared" ca="1" si="21"/>
        <v>2</v>
      </c>
      <c r="BL35" s="748">
        <f t="shared" ca="1" si="27"/>
        <v>0</v>
      </c>
      <c r="BM35" s="748" t="str">
        <f t="shared" ca="1" si="22"/>
        <v>3H</v>
      </c>
      <c r="BN35" s="748" t="str">
        <f t="shared" ca="1" si="23"/>
        <v>3H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2</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P.2 (2)</v>
      </c>
      <c r="BU35" s="758">
        <f t="shared" ca="1" si="36"/>
        <v>0</v>
      </c>
      <c r="BV35" s="758">
        <f t="shared" ca="1" si="37"/>
        <v>1</v>
      </c>
      <c r="BW35" s="758">
        <f t="shared" ca="1" si="38"/>
        <v>0</v>
      </c>
      <c r="BX35" s="758">
        <f t="shared" ca="1" si="39"/>
        <v>1</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P.2 (2)</v>
      </c>
      <c r="CA35" s="758">
        <f t="shared" ca="1" si="40"/>
        <v>2</v>
      </c>
      <c r="CB35" s="758">
        <f t="shared" ca="1" si="41"/>
        <v>2</v>
      </c>
      <c r="CC35" s="758">
        <f t="shared" ca="1" si="42"/>
        <v>0</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P.2 (2)</v>
      </c>
      <c r="CF35" s="758">
        <f t="shared" ca="1" si="43"/>
        <v>2</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P.2 (2)</v>
      </c>
      <c r="CI35" s="758">
        <f t="shared" ca="1" si="44"/>
        <v>0</v>
      </c>
      <c r="CJ35" s="758">
        <f t="shared" ca="1" si="45"/>
        <v>1</v>
      </c>
      <c r="CK35" s="758">
        <f t="shared" ca="1" si="46"/>
        <v>0</v>
      </c>
      <c r="CL35" s="758">
        <f t="shared" ca="1" si="47"/>
        <v>1</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P.2 (2)</v>
      </c>
      <c r="CO35" s="758">
        <f t="shared" ca="1" si="48"/>
        <v>2</v>
      </c>
      <c r="CP35" s="758">
        <f t="shared" ca="1" si="49"/>
        <v>2</v>
      </c>
      <c r="CQ35" s="758">
        <f t="shared" ca="1" si="50"/>
        <v>0</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P.2 (2)</v>
      </c>
      <c r="CT35" s="758">
        <f t="shared" ca="1" si="51"/>
        <v>2</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P.2 (2)</v>
      </c>
      <c r="CW35" s="757">
        <f t="shared" ca="1" si="30"/>
        <v>0</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P.2 (2)</v>
      </c>
      <c r="CZ35" s="757">
        <f t="shared" ca="1" si="31"/>
        <v>2</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3</v>
      </c>
      <c r="DE35" s="756"/>
      <c r="DF35" s="756">
        <f t="shared" ca="1" si="52"/>
        <v>3</v>
      </c>
      <c r="DG35" s="756" t="str">
        <f ca="1">IF(DB35="-","-",COUNTIFS(DF$6:DF$53,"&lt;"&amp;DF35,$BC$6:$BC$53,INDEX(T_Equipos[Grupo],MATCH(BD35,T_Equipos[NombreEquipo],0))))</f>
        <v>-</v>
      </c>
      <c r="DH35" s="756">
        <f ca="1">DA35+COUNTIFS(DB$6:DB$53,DB35,DG$6:DG$53,"&lt;"&amp;DG35,$BC$6:$BC$53,INDEX(T_Equipos[Grupo],MATCH(BD35,T_Equipos[NombreEquipo],0)))</f>
        <v>3</v>
      </c>
      <c r="DI35" s="744"/>
      <c r="DJ35" s="744">
        <f t="shared" ca="1" si="53"/>
        <v>2</v>
      </c>
      <c r="DK35" s="744">
        <f t="shared" ca="1" si="24"/>
        <v>8</v>
      </c>
      <c r="DL35" s="744">
        <f t="shared" ca="1" si="33"/>
        <v>1</v>
      </c>
      <c r="DM35" s="738" t="str">
        <f t="shared" ca="1" si="34"/>
        <v>2.1</v>
      </c>
      <c r="DN35" s="744" cm="1">
        <f t="array" aca="1" ref="DN35" ca="1">OFFSET(Horarios!$P$3,DJ35-1,0,DL35,1)</f>
        <v>2</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v>
      </c>
      <c r="F36" s="744" t="str">
        <f t="shared" ref="F36:F41" ca="1" si="117">IF(D36="Pendiente","-",INDEX($BT$6:$BT$53,MATCH($AF36,$BD$6:$BD$53,0)))</f>
        <v>P.3 (2)</v>
      </c>
      <c r="G36" s="744"/>
      <c r="H36" s="744" t="str">
        <f t="shared" ref="H36:H41" ca="1" si="118">IF(D36="Pendiente","-",INDEX($BZ$6:$BZ$53,MATCH($AA36,$BD$6:$BD$53,0)))</f>
        <v>-</v>
      </c>
      <c r="I36" s="744" t="str">
        <f t="shared" ref="I36:I41" ca="1" si="119">IF(D36="Pendiente","-",INDEX($BZ$6:$BZ$53,MATCH($AF36,$BD$6:$BD$53,0)))</f>
        <v>P.3 (2)</v>
      </c>
      <c r="J36" s="744"/>
      <c r="K36" s="744" t="str">
        <f t="shared" ref="K36:K41" ca="1" si="120">IF(D36="Pendiente","-",INDEX($CE$6:$CE$53,MATCH($AA36,$BD$6:$BD$53,0)))</f>
        <v>-</v>
      </c>
      <c r="L36" s="744" t="str">
        <f t="shared" ref="L36:L41" ca="1" si="121">IF(D36="Pendiente","-",INDEX($CE$6:$CE$53,MATCH($AF36,$BD$6:$BD$53,0)))</f>
        <v>P.3 (2)</v>
      </c>
      <c r="M36" s="744"/>
      <c r="N36" s="744" t="str">
        <f t="shared" ref="N36:N41" ca="1" si="122">IF(D36="Pendiente","-",INDEX($CH$6:$CH$53,MATCH($AA36,$BD$6:$BD$53,0)))</f>
        <v>-</v>
      </c>
      <c r="O36" s="744" t="str">
        <f t="shared" ref="O36:O41" ca="1" si="123">IF(D36="Pendiente","-",INDEX($CH$6:$CH$53,MATCH($AF36,$BD$6:$BD$53,0)))</f>
        <v>P.3 (2)</v>
      </c>
      <c r="P36" s="744"/>
      <c r="Q36" s="744" t="str">
        <f t="shared" ref="Q36:Q41" ca="1" si="124">IF(D36="Pendiente","-",INDEX($CN$6:$CN$53,MATCH($AA36,$BD$6:$BD$53,0)))</f>
        <v>-</v>
      </c>
      <c r="R36" s="744" t="str">
        <f t="shared" ref="R36:R41" ca="1" si="125">IF(D36="Pendiente","-",INDEX($CN$6:$CN$53,MATCH($AF36,$BD$6:$BD$53,0)))</f>
        <v>P.3 (2)</v>
      </c>
      <c r="S36" s="744"/>
      <c r="T36" s="744" t="str">
        <f t="shared" ref="T36:T41" ca="1" si="126">IF(D36="Pendiente","-",INDEX($CS$6:$CS$53,MATCH($AA36,$BD$6:$BD$53,0)))</f>
        <v>-</v>
      </c>
      <c r="U36" s="744" t="str">
        <f t="shared" ref="U36:U41" ca="1" si="127">IF(D36="Pendiente","-",INDEX($CS$6:$CS$53,MATCH($AF36,$BD$6:$BD$53,0)))</f>
        <v>P.3 (2)</v>
      </c>
      <c r="V36" s="172"/>
      <c r="W36" s="847"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2</v>
      </c>
      <c r="BG36" s="748">
        <f t="shared" ca="1" si="17"/>
        <v>0</v>
      </c>
      <c r="BH36" s="748">
        <f t="shared" ca="1" si="18"/>
        <v>1</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4</v>
      </c>
      <c r="BT36" s="757" t="str">
        <f ca="1">IF(COUNTIFS($BS$6:$BS$53,BS36,$BC$6:$BC$53,INDEX(T_Equipos[Grupo],MATCH(BD36,T_Equipos[NombreEquipo],0)))=1,"-","P."&amp;BS36&amp;" ("&amp;COUNTIFS($BS$6:$BS$53,BS36,$BC$6:$BC$53,INDEX(T_Equipos[Grupo],MATCH(BD36,T_Equipos[NombreEquipo],0)))&amp;")")</f>
        <v>-</v>
      </c>
      <c r="BU36" s="758" t="str">
        <f t="shared" ca="1" si="36"/>
        <v>-</v>
      </c>
      <c r="BV36" s="758" t="str">
        <f t="shared" ca="1" si="37"/>
        <v>-</v>
      </c>
      <c r="BW36" s="758" t="str">
        <f t="shared" ca="1" si="38"/>
        <v>-</v>
      </c>
      <c r="BX36" s="758" t="str">
        <f t="shared" ca="1" si="39"/>
        <v>-</v>
      </c>
      <c r="BY36" s="758">
        <f ca="1">BS36+COUNTIFS($BT$6:$BT$53,BT36,$BX$6:BX$53,"&gt;"&amp;BX36,$BC$6:$BC$53,INDEX(T_Equipos[Grupo],MATCH(BD36,T_Equipos[NombreEquipo],0)))</f>
        <v>4</v>
      </c>
      <c r="BZ36" s="757" t="str">
        <f ca="1">IF(COUNTIFS($BY$6:$BY$53,BY36,$BC$6:$BC$53,INDEX(T_Equipos[Grupo],MATCH(BD36,T_Equipos[NombreEquipo],0)))=1,"-","P."&amp;BY36&amp;" ("&amp;COUNTIFS($BY$6:$BY$53,BY36,$BC$6:$BC$53,INDEX(T_Equipos[Grupo],MATCH(BD36,T_Equipos[NombreEquipo],0)))&amp;")")</f>
        <v>-</v>
      </c>
      <c r="CA36" s="758" t="str">
        <f t="shared" ca="1" si="40"/>
        <v>-</v>
      </c>
      <c r="CB36" s="758" t="str">
        <f t="shared" ca="1" si="41"/>
        <v>-</v>
      </c>
      <c r="CC36" s="758" t="str">
        <f t="shared" ca="1" si="42"/>
        <v>-</v>
      </c>
      <c r="CD36" s="758">
        <f ca="1">BY36+COUNTIFS($BZ$6:$BZ$53,BZ36,$CC$6:CC$53,"&gt;"&amp;CC36,$BC$6:$BC$53,INDEX(T_Equipos[Grupo],MATCH(BD36,T_Equipos[NombreEquipo],0)))</f>
        <v>4</v>
      </c>
      <c r="CE36" s="757" t="str">
        <f ca="1">IF(COUNTIFS($CD$6:$CD$53,CD36,$BC$6:$BC$53,INDEX(T_Equipos[Grupo],MATCH(BD36,T_Equipos[NombreEquipo],0)))=1,"-","P."&amp;CD36&amp;" ("&amp;COUNTIFS($CD$6:$CD$53,CD36,$BC$6:$BC$53,INDEX(T_Equipos[Grupo],MATCH(BD36,T_Equipos[NombreEquipo],0)))&amp;")")</f>
        <v>-</v>
      </c>
      <c r="CF36" s="758" t="str">
        <f t="shared" ca="1" si="43"/>
        <v>-</v>
      </c>
      <c r="CG36" s="758">
        <f ca="1">CD36+COUNTIFS($CE$6:$CE$53,CE36,$CF$6:CF$53,"&gt;"&amp;CF36,$BC$6:$BC$53,INDEX(T_Equipos[Grupo],MATCH(BD36,T_Equipos[NombreEquipo],0)))</f>
        <v>4</v>
      </c>
      <c r="CH36" s="757" t="str">
        <f ca="1">IF(COUNTIFS($CG$6:$CG$53,CG36,$BC$6:$BC$53,INDEX(T_Equipos[Grupo],MATCH(BD36,T_Equipos[NombreEquipo],0)))=1,"-","P."&amp;CG36&amp;" ("&amp;COUNTIFS($CG$6:$CG$53,CG36,$BC$6:$BC$53,INDEX(T_Equipos[Grupo],MATCH(BD36,T_Equipos[NombreEquipo],0)))&amp;")")</f>
        <v>-</v>
      </c>
      <c r="CI36" s="758" t="str">
        <f t="shared" ca="1" si="44"/>
        <v>-</v>
      </c>
      <c r="CJ36" s="758" t="str">
        <f t="shared" ca="1" si="45"/>
        <v>-</v>
      </c>
      <c r="CK36" s="758" t="str">
        <f t="shared" ca="1" si="46"/>
        <v>-</v>
      </c>
      <c r="CL36" s="758" t="str">
        <f t="shared" ca="1" si="47"/>
        <v>-</v>
      </c>
      <c r="CM36" s="758">
        <f ca="1">CG36+COUNTIFS($CH$6:$CH$53,CH36,$CL$6:CL$53,"&gt;"&amp;CL36,$BC$6:$BC$53,INDEX(T_Equipos[Grupo],MATCH(BD36,T_Equipos[NombreEquipo],0)))</f>
        <v>4</v>
      </c>
      <c r="CN36" s="757" t="str">
        <f ca="1">IF(COUNTIFS($CM$6:$CM$53,CM36,$BC$6:$BC$53,INDEX(T_Equipos[Grupo],MATCH(BD36,T_Equipos[NombreEquipo],0)))=1,"-","P."&amp;CM36&amp;" ("&amp;COUNTIFS($CM$6:$CM$53,CM36,$BC$6:$BC$53,INDEX(T_Equipos[Grupo],MATCH(BD36,T_Equipos[NombreEquipo],0)))&amp;")")</f>
        <v>-</v>
      </c>
      <c r="CO36" s="758" t="str">
        <f t="shared" ca="1" si="48"/>
        <v>-</v>
      </c>
      <c r="CP36" s="758" t="str">
        <f t="shared" ca="1" si="49"/>
        <v>-</v>
      </c>
      <c r="CQ36" s="758" t="str">
        <f t="shared" ca="1" si="50"/>
        <v>-</v>
      </c>
      <c r="CR36" s="758">
        <f ca="1">CM36+COUNTIFS($CN$6:$CN$53,CN36,$CQ$6:CQ$53,"&gt;"&amp;CQ36,$BC$6:$BC$53,INDEX(T_Equipos[Grupo],MATCH(BD36,T_Equipos[NombreEquipo],0)))</f>
        <v>4</v>
      </c>
      <c r="CS36" s="757" t="str">
        <f ca="1">IF(COUNTIFS($CR$6:$CR$53,CR36,$BC$6:$BC$53,INDEX(T_Equipos[Grupo],MATCH(BD36,T_Equipos[NombreEquipo],0)))=1,"-","P."&amp;CR36&amp;" ("&amp;COUNTIFS($CR$6:$CR$53,CR36,$BC$6:$BC$53,INDEX(T_Equipos[Grupo],MATCH(BD36,T_Equipos[NombreEquipo],0)))&amp;")")</f>
        <v>-</v>
      </c>
      <c r="CT36" s="758" t="str">
        <f t="shared" ca="1" si="51"/>
        <v>-</v>
      </c>
      <c r="CU36" s="758">
        <f ca="1">CR36+COUNTIFS($CS$6:$CS$53,CS36,$CT$6:CT$53,"&gt;"&amp;CT36,$BC$6:$BC$53,INDEX(T_Equipos[Grupo],MATCH(BD36,T_Equipos[NombreEquipo],0)))</f>
        <v>4</v>
      </c>
      <c r="CV36" s="757" t="str">
        <f ca="1">IF(COUNTIFS($CU$6:$CU$53,CU36,$BC$6:$BC$53,INDEX(T_Equipos[Grupo],MATCH(BD36,T_Equipos[NombreEquipo],0)))=1,"-","P."&amp;CU36&amp;" ("&amp;COUNTIFS($CU$6:$CU$53,CU36,$BC$6:$BC$53,INDEX(T_Equipos[Grupo],MATCH(BD36,T_Equipos[NombreEquipo],0)))&amp;")")</f>
        <v>-</v>
      </c>
      <c r="CW36" s="757" t="str">
        <f t="shared" ca="1" si="30"/>
        <v>-</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8</v>
      </c>
      <c r="DL36" s="744">
        <f t="shared" ca="1" si="33"/>
        <v>1</v>
      </c>
      <c r="DM36" s="738" t="str">
        <f t="shared" ca="1" si="34"/>
        <v>3.1</v>
      </c>
      <c r="DN36" s="744" cm="1">
        <f t="array" aca="1" ref="DN36" ca="1">OFFSET(Horarios!$P$3,DJ36-1,0,DL36,1)</f>
        <v>3</v>
      </c>
      <c r="DO36" s="744"/>
      <c r="DP36" s="744" t="s">
        <v>436</v>
      </c>
      <c r="DQ36" s="744" t="str">
        <f t="shared" ca="1" si="35"/>
        <v>Cabo Verde</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v>
      </c>
      <c r="F37" s="744" t="str">
        <f t="shared" ca="1" si="117"/>
        <v>P.3 (2)</v>
      </c>
      <c r="G37" s="744"/>
      <c r="H37" s="744" t="str">
        <f t="shared" ca="1" si="118"/>
        <v>-</v>
      </c>
      <c r="I37" s="744" t="str">
        <f t="shared" ca="1" si="119"/>
        <v>P.3 (2)</v>
      </c>
      <c r="J37" s="744"/>
      <c r="K37" s="744" t="str">
        <f t="shared" ca="1" si="120"/>
        <v>-</v>
      </c>
      <c r="L37" s="744" t="str">
        <f t="shared" ca="1" si="121"/>
        <v>P.3 (2)</v>
      </c>
      <c r="M37" s="744"/>
      <c r="N37" s="744" t="str">
        <f t="shared" ca="1" si="122"/>
        <v>-</v>
      </c>
      <c r="O37" s="744" t="str">
        <f t="shared" ca="1" si="123"/>
        <v>P.3 (2)</v>
      </c>
      <c r="P37" s="744"/>
      <c r="Q37" s="744" t="str">
        <f t="shared" ca="1" si="124"/>
        <v>-</v>
      </c>
      <c r="R37" s="744" t="str">
        <f t="shared" ca="1" si="125"/>
        <v>P.3 (2)</v>
      </c>
      <c r="S37" s="744"/>
      <c r="T37" s="744" t="str">
        <f t="shared" ca="1" si="126"/>
        <v>-</v>
      </c>
      <c r="U37" s="744" t="str">
        <f t="shared" ca="1" si="127"/>
        <v>P.3 (2)</v>
      </c>
      <c r="V37" s="172"/>
      <c r="W37" s="847"/>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2</v>
      </c>
      <c r="BG37" s="748">
        <f t="shared" ca="1" si="17"/>
        <v>0</v>
      </c>
      <c r="BH37" s="748">
        <f t="shared" ca="1" si="18"/>
        <v>2</v>
      </c>
      <c r="BI37" s="748">
        <f t="shared" ca="1" si="19"/>
        <v>0</v>
      </c>
      <c r="BJ37" s="748">
        <f t="shared" ca="1" si="20"/>
        <v>3</v>
      </c>
      <c r="BK37" s="748">
        <f t="shared" ca="1" si="21"/>
        <v>3</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2</v>
      </c>
      <c r="BT37" s="757" t="str">
        <f ca="1">IF(COUNTIFS($BS$6:$BS$53,BS37,$BC$6:$BC$53,INDEX(T_Equipos[Grupo],MATCH(BD37,T_Equipos[NombreEquipo],0)))=1,"-","P."&amp;BS37&amp;" ("&amp;COUNTIFS($BS$6:$BS$53,BS37,$BC$6:$BC$53,INDEX(T_Equipos[Grupo],MATCH(BD37,T_Equipos[NombreEquipo],0)))&amp;")")</f>
        <v>P.2 (2)</v>
      </c>
      <c r="BU37" s="758">
        <f t="shared" ca="1" si="36"/>
        <v>0</v>
      </c>
      <c r="BV37" s="758">
        <f t="shared" ca="1" si="37"/>
        <v>1</v>
      </c>
      <c r="BW37" s="758">
        <f t="shared" ca="1" si="38"/>
        <v>0</v>
      </c>
      <c r="BX37" s="758">
        <f t="shared" ca="1" si="39"/>
        <v>1</v>
      </c>
      <c r="BY37" s="758">
        <f ca="1">BS37+COUNTIFS($BT$6:$BT$53,BT37,$BX$6:BX$53,"&gt;"&amp;BX37,$BC$6:$BC$53,INDEX(T_Equipos[Grupo],MATCH(BD37,T_Equipos[NombreEquipo],0)))</f>
        <v>2</v>
      </c>
      <c r="BZ37" s="757" t="str">
        <f ca="1">IF(COUNTIFS($BY$6:$BY$53,BY37,$BC$6:$BC$53,INDEX(T_Equipos[Grupo],MATCH(BD37,T_Equipos[NombreEquipo],0)))=1,"-","P."&amp;BY37&amp;" ("&amp;COUNTIFS($BY$6:$BY$53,BY37,$BC$6:$BC$53,INDEX(T_Equipos[Grupo],MATCH(BD37,T_Equipos[NombreEquipo],0)))&amp;")")</f>
        <v>P.2 (2)</v>
      </c>
      <c r="CA37" s="758">
        <f t="shared" ca="1" si="40"/>
        <v>2</v>
      </c>
      <c r="CB37" s="758">
        <f t="shared" ca="1" si="41"/>
        <v>2</v>
      </c>
      <c r="CC37" s="758">
        <f t="shared" ca="1" si="42"/>
        <v>0</v>
      </c>
      <c r="CD37" s="758">
        <f ca="1">BY37+COUNTIFS($BZ$6:$BZ$53,BZ37,$CC$6:CC$53,"&gt;"&amp;CC37,$BC$6:$BC$53,INDEX(T_Equipos[Grupo],MATCH(BD37,T_Equipos[NombreEquipo],0)))</f>
        <v>2</v>
      </c>
      <c r="CE37" s="757" t="str">
        <f ca="1">IF(COUNTIFS($CD$6:$CD$53,CD37,$BC$6:$BC$53,INDEX(T_Equipos[Grupo],MATCH(BD37,T_Equipos[NombreEquipo],0)))=1,"-","P."&amp;CD37&amp;" ("&amp;COUNTIFS($CD$6:$CD$53,CD37,$BC$6:$BC$53,INDEX(T_Equipos[Grupo],MATCH(BD37,T_Equipos[NombreEquipo],0)))&amp;")")</f>
        <v>P.2 (2)</v>
      </c>
      <c r="CF37" s="758">
        <f t="shared" ca="1" si="43"/>
        <v>2</v>
      </c>
      <c r="CG37" s="758">
        <f ca="1">CD37+COUNTIFS($CE$6:$CE$53,CE37,$CF$6:CF$53,"&gt;"&amp;CF37,$BC$6:$BC$53,INDEX(T_Equipos[Grupo],MATCH(BD37,T_Equipos[NombreEquipo],0)))</f>
        <v>2</v>
      </c>
      <c r="CH37" s="757" t="str">
        <f ca="1">IF(COUNTIFS($CG$6:$CG$53,CG37,$BC$6:$BC$53,INDEX(T_Equipos[Grupo],MATCH(BD37,T_Equipos[NombreEquipo],0)))=1,"-","P."&amp;CG37&amp;" ("&amp;COUNTIFS($CG$6:$CG$53,CG37,$BC$6:$BC$53,INDEX(T_Equipos[Grupo],MATCH(BD37,T_Equipos[NombreEquipo],0)))&amp;")")</f>
        <v>P.2 (2)</v>
      </c>
      <c r="CI37" s="758">
        <f t="shared" ca="1" si="44"/>
        <v>0</v>
      </c>
      <c r="CJ37" s="758">
        <f t="shared" ca="1" si="45"/>
        <v>1</v>
      </c>
      <c r="CK37" s="758">
        <f t="shared" ca="1" si="46"/>
        <v>0</v>
      </c>
      <c r="CL37" s="758">
        <f t="shared" ca="1" si="47"/>
        <v>1</v>
      </c>
      <c r="CM37" s="758">
        <f ca="1">CG37+COUNTIFS($CH$6:$CH$53,CH37,$CL$6:CL$53,"&gt;"&amp;CL37,$BC$6:$BC$53,INDEX(T_Equipos[Grupo],MATCH(BD37,T_Equipos[NombreEquipo],0)))</f>
        <v>2</v>
      </c>
      <c r="CN37" s="757" t="str">
        <f ca="1">IF(COUNTIFS($CM$6:$CM$53,CM37,$BC$6:$BC$53,INDEX(T_Equipos[Grupo],MATCH(BD37,T_Equipos[NombreEquipo],0)))=1,"-","P."&amp;CM37&amp;" ("&amp;COUNTIFS($CM$6:$CM$53,CM37,$BC$6:$BC$53,INDEX(T_Equipos[Grupo],MATCH(BD37,T_Equipos[NombreEquipo],0)))&amp;")")</f>
        <v>P.2 (2)</v>
      </c>
      <c r="CO37" s="758">
        <f t="shared" ca="1" si="48"/>
        <v>2</v>
      </c>
      <c r="CP37" s="758">
        <f t="shared" ca="1" si="49"/>
        <v>2</v>
      </c>
      <c r="CQ37" s="758">
        <f t="shared" ca="1" si="50"/>
        <v>0</v>
      </c>
      <c r="CR37" s="758">
        <f ca="1">CM37+COUNTIFS($CN$6:$CN$53,CN37,$CQ$6:CQ$53,"&gt;"&amp;CQ37,$BC$6:$BC$53,INDEX(T_Equipos[Grupo],MATCH(BD37,T_Equipos[NombreEquipo],0)))</f>
        <v>2</v>
      </c>
      <c r="CS37" s="757" t="str">
        <f ca="1">IF(COUNTIFS($CR$6:$CR$53,CR37,$BC$6:$BC$53,INDEX(T_Equipos[Grupo],MATCH(BD37,T_Equipos[NombreEquipo],0)))=1,"-","P."&amp;CR37&amp;" ("&amp;COUNTIFS($CR$6:$CR$53,CR37,$BC$6:$BC$53,INDEX(T_Equipos[Grupo],MATCH(BD37,T_Equipos[NombreEquipo],0)))&amp;")")</f>
        <v>P.2 (2)</v>
      </c>
      <c r="CT37" s="758">
        <f t="shared" ca="1" si="51"/>
        <v>2</v>
      </c>
      <c r="CU37" s="758">
        <f ca="1">CR37+COUNTIFS($CS$6:$CS$53,CS37,$CT$6:CT$53,"&gt;"&amp;CT37,$BC$6:$BC$53,INDEX(T_Equipos[Grupo],MATCH(BD37,T_Equipos[NombreEquipo],0)))</f>
        <v>2</v>
      </c>
      <c r="CV37" s="757" t="str">
        <f ca="1">IF(COUNTIFS($CU$6:$CU$53,CU37,$BC$6:$BC$53,INDEX(T_Equipos[Grupo],MATCH(BD37,T_Equipos[NombreEquipo],0)))=1,"-","P."&amp;CU37&amp;" ("&amp;COUNTIFS($CU$6:$CU$53,CU37,$BC$6:$BC$53,INDEX(T_Equipos[Grupo],MATCH(BD37,T_Equipos[NombreEquipo],0)))&amp;")")</f>
        <v>P.2 (2)</v>
      </c>
      <c r="CW37" s="757">
        <f t="shared" ca="1" si="30"/>
        <v>0</v>
      </c>
      <c r="CX37" s="757">
        <f ca="1">CU37+COUNTIFS($CV$6:$CV$53,CV37,$CW$6:CW$53,"&gt;"&amp;CW37,$BC$6:$BC$53,INDEX(T_Equipos[Grupo],MATCH(BD37,T_Equipos[NombreEquipo],0)))</f>
        <v>2</v>
      </c>
      <c r="CY37" s="757" t="str">
        <f ca="1">IF(COUNTIFS($CX$6:$CX$53,CX37,$BC$6:$BC$53,INDEX(T_Equipos[Grupo],MATCH(BD37,T_Equipos[NombreEquipo],0)))=1,"-","P."&amp;CX37&amp;" ("&amp;COUNTIFS($CX$6:$CX$53,CX37,$BC$6:$BC$53,INDEX(T_Equipos[Grupo],MATCH(BD37,T_Equipos[NombreEquipo],0)))&amp;")")</f>
        <v>P.2 (2)</v>
      </c>
      <c r="CZ37" s="757">
        <f t="shared" ca="1" si="31"/>
        <v>3</v>
      </c>
      <c r="DA37" s="758">
        <f ca="1">CX37+COUNTIFS($CY$6:$CY$53,CY37,$CZ$6:CZ$53,"&gt;"&amp;CZ37,$BC$6:$BC$53,INDEX(T_Equipos[Grupo],MATCH(BD37,T_Equipos[NombreEquipo],0)))</f>
        <v>2</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2</v>
      </c>
      <c r="DE37" s="756"/>
      <c r="DF37" s="756">
        <f t="shared" ca="1" si="52"/>
        <v>2</v>
      </c>
      <c r="DG37" s="756" t="str">
        <f ca="1">IF(DB37="-","-",COUNTIFS(DF$6:DF$53,"&lt;"&amp;DF37,$BC$6:$BC$53,INDEX(T_Equipos[Grupo],MATCH(BD37,T_Equipos[NombreEquipo],0))))</f>
        <v>-</v>
      </c>
      <c r="DH37" s="756">
        <f ca="1">DA37+COUNTIFS(DB$6:DB$53,DB37,DG$6:DG$53,"&lt;"&amp;DG37,$BC$6:$BC$53,INDEX(T_Equipos[Grupo],MATCH(BD37,T_Equipos[NombreEquipo],0)))</f>
        <v>2</v>
      </c>
      <c r="DI37" s="744"/>
      <c r="DJ37" s="744">
        <f t="shared" ca="1" si="53"/>
        <v>4</v>
      </c>
      <c r="DK37" s="744">
        <f t="shared" ca="1" si="24"/>
        <v>8</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05" customHeight="1">
      <c r="A38" s="745" t="str">
        <f ca="1">+Equipos!B19</f>
        <v>Curazao</v>
      </c>
      <c r="B38" s="742"/>
      <c r="C38" s="746"/>
      <c r="D38" s="744" t="str">
        <f t="shared" si="115"/>
        <v>Local</v>
      </c>
      <c r="E38" s="744" t="str">
        <f t="shared" ca="1" si="116"/>
        <v>-</v>
      </c>
      <c r="F38" s="744" t="str">
        <f t="shared" ca="1" si="117"/>
        <v>-</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7"/>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2</v>
      </c>
      <c r="AO38" s="214">
        <f t="shared" ca="1" si="132"/>
        <v>2</v>
      </c>
      <c r="AP38" s="214">
        <f t="shared" ca="1" si="132"/>
        <v>0</v>
      </c>
      <c r="AQ38" s="214">
        <f t="shared" ca="1" si="132"/>
        <v>0</v>
      </c>
      <c r="AR38" s="214">
        <f t="shared" ca="1" si="132"/>
        <v>9</v>
      </c>
      <c r="AS38" s="214">
        <f t="shared" ca="1" si="132"/>
        <v>2</v>
      </c>
      <c r="AT38" s="215">
        <f t="shared" ca="1" si="132"/>
        <v>7</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6</v>
      </c>
      <c r="BF38" s="748">
        <f t="shared" ca="1" si="26"/>
        <v>2</v>
      </c>
      <c r="BG38" s="748">
        <f t="shared" ca="1" si="17"/>
        <v>2</v>
      </c>
      <c r="BH38" s="748">
        <f t="shared" ca="1" si="18"/>
        <v>0</v>
      </c>
      <c r="BI38" s="748">
        <f t="shared" ca="1" si="19"/>
        <v>0</v>
      </c>
      <c r="BJ38" s="748">
        <f t="shared" ca="1" si="20"/>
        <v>6</v>
      </c>
      <c r="BK38" s="748">
        <f t="shared" ca="1" si="21"/>
        <v>1</v>
      </c>
      <c r="BL38" s="748">
        <f t="shared" ca="1" si="27"/>
        <v>5</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6</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5</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8</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Empate</v>
      </c>
      <c r="E39" s="744" t="str">
        <f t="shared" ca="1" si="116"/>
        <v>P.3 (2)</v>
      </c>
      <c r="F39" s="744" t="str">
        <f t="shared" ca="1" si="117"/>
        <v>P.3 (2)</v>
      </c>
      <c r="G39" s="744"/>
      <c r="H39" s="744" t="str">
        <f t="shared" ca="1" si="118"/>
        <v>P.3 (2)</v>
      </c>
      <c r="I39" s="744" t="str">
        <f t="shared" ca="1" si="119"/>
        <v>P.3 (2)</v>
      </c>
      <c r="J39" s="744"/>
      <c r="K39" s="744" t="str">
        <f t="shared" ca="1" si="120"/>
        <v>P.3 (2)</v>
      </c>
      <c r="L39" s="744" t="str">
        <f t="shared" ca="1" si="121"/>
        <v>P.3 (2)</v>
      </c>
      <c r="M39" s="744"/>
      <c r="N39" s="744" t="str">
        <f t="shared" ca="1" si="122"/>
        <v>P.3 (2)</v>
      </c>
      <c r="O39" s="744" t="str">
        <f t="shared" ca="1" si="123"/>
        <v>P.3 (2)</v>
      </c>
      <c r="P39" s="744"/>
      <c r="Q39" s="744" t="str">
        <f t="shared" ca="1" si="124"/>
        <v>P.3 (2)</v>
      </c>
      <c r="R39" s="744" t="str">
        <f t="shared" ca="1" si="125"/>
        <v>P.3 (2)</v>
      </c>
      <c r="S39" s="744"/>
      <c r="T39" s="744" t="str">
        <f t="shared" ca="1" si="126"/>
        <v>P.3 (2)</v>
      </c>
      <c r="U39" s="744" t="str">
        <f t="shared" ca="1" si="127"/>
        <v>P.3 (2)</v>
      </c>
      <c r="V39" s="172"/>
      <c r="W39" s="847"/>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2</v>
      </c>
      <c r="AO39" s="224">
        <f t="shared" ca="1" si="132"/>
        <v>1</v>
      </c>
      <c r="AP39" s="224">
        <f t="shared" ca="1" si="132"/>
        <v>0</v>
      </c>
      <c r="AQ39" s="224">
        <f t="shared" ca="1" si="132"/>
        <v>1</v>
      </c>
      <c r="AR39" s="224">
        <f t="shared" ca="1" si="132"/>
        <v>2</v>
      </c>
      <c r="AS39" s="224">
        <f t="shared" ca="1" si="132"/>
        <v>2</v>
      </c>
      <c r="AT39" s="225">
        <f t="shared" ca="1" si="132"/>
        <v>0</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2</v>
      </c>
      <c r="BG39" s="748">
        <f t="shared" ca="1" si="17"/>
        <v>0</v>
      </c>
      <c r="BH39" s="748">
        <f t="shared" ca="1" si="18"/>
        <v>0</v>
      </c>
      <c r="BI39" s="748">
        <f t="shared" ca="1" si="19"/>
        <v>2</v>
      </c>
      <c r="BJ39" s="748">
        <f t="shared" ca="1" si="20"/>
        <v>3</v>
      </c>
      <c r="BK39" s="748">
        <f t="shared" ca="1" si="21"/>
        <v>6</v>
      </c>
      <c r="BL39" s="748">
        <f t="shared" ca="1" si="27"/>
        <v>-3</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-3</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8</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47"/>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1</v>
      </c>
      <c r="AN40" s="224">
        <f t="shared" ca="1" si="132"/>
        <v>2</v>
      </c>
      <c r="AO40" s="224">
        <f t="shared" ca="1" si="132"/>
        <v>0</v>
      </c>
      <c r="AP40" s="224">
        <f t="shared" ca="1" si="132"/>
        <v>1</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2</v>
      </c>
      <c r="BG40" s="748">
        <f t="shared" ca="1" si="17"/>
        <v>0</v>
      </c>
      <c r="BH40" s="748">
        <f t="shared" ca="1" si="18"/>
        <v>0</v>
      </c>
      <c r="BI40" s="748">
        <f t="shared" ca="1" si="19"/>
        <v>2</v>
      </c>
      <c r="BJ40" s="748">
        <f t="shared" ca="1" si="20"/>
        <v>1</v>
      </c>
      <c r="BK40" s="748">
        <f t="shared" ca="1" si="21"/>
        <v>7</v>
      </c>
      <c r="BL40" s="748">
        <f t="shared" ca="1" si="27"/>
        <v>-6</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-6</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8</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48"/>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2</v>
      </c>
      <c r="AO41" s="238">
        <f t="shared" ca="1" si="132"/>
        <v>0</v>
      </c>
      <c r="AP41" s="238">
        <f t="shared" ca="1" si="132"/>
        <v>1</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2</v>
      </c>
      <c r="BG41" s="748">
        <f t="shared" ca="1" si="17"/>
        <v>2</v>
      </c>
      <c r="BH41" s="748">
        <f t="shared" ca="1" si="18"/>
        <v>0</v>
      </c>
      <c r="BI41" s="748">
        <f t="shared" ca="1" si="19"/>
        <v>0</v>
      </c>
      <c r="BJ41" s="748">
        <f t="shared" ca="1" si="20"/>
        <v>7</v>
      </c>
      <c r="BK41" s="748">
        <f t="shared" ca="1" si="21"/>
        <v>3</v>
      </c>
      <c r="BL41" s="748">
        <f t="shared" ca="1" si="27"/>
        <v>4</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4</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8</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6</v>
      </c>
      <c r="BF42" s="748">
        <f t="shared" ca="1" si="26"/>
        <v>2</v>
      </c>
      <c r="BG42" s="748">
        <f t="shared" ca="1" si="17"/>
        <v>2</v>
      </c>
      <c r="BH42" s="748">
        <f t="shared" ca="1" si="18"/>
        <v>0</v>
      </c>
      <c r="BI42" s="748">
        <f t="shared" ca="1" si="19"/>
        <v>0</v>
      </c>
      <c r="BJ42" s="748">
        <f t="shared" ca="1" si="20"/>
        <v>5</v>
      </c>
      <c r="BK42" s="748">
        <f t="shared" ca="1" si="21"/>
        <v>0</v>
      </c>
      <c r="BL42" s="748">
        <f t="shared" ca="1" si="27"/>
        <v>5</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6</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8</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3</v>
      </c>
      <c r="BF43" s="748">
        <f t="shared" ca="1" si="26"/>
        <v>2</v>
      </c>
      <c r="BG43" s="748">
        <f t="shared" ca="1" si="17"/>
        <v>1</v>
      </c>
      <c r="BH43" s="748">
        <f t="shared" ca="1" si="18"/>
        <v>0</v>
      </c>
      <c r="BI43" s="748">
        <f t="shared" ca="1" si="19"/>
        <v>1</v>
      </c>
      <c r="BJ43" s="748">
        <f t="shared" ca="1" si="20"/>
        <v>2</v>
      </c>
      <c r="BK43" s="748">
        <f t="shared" ca="1" si="21"/>
        <v>4</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3</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0</v>
      </c>
      <c r="BW43" s="758">
        <f t="shared" ca="1" si="38"/>
        <v>0</v>
      </c>
      <c r="BX43" s="758">
        <f t="shared" ca="1" si="39"/>
        <v>0</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0</v>
      </c>
      <c r="CB43" s="758">
        <f t="shared" ca="1" si="41"/>
        <v>0</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0</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0</v>
      </c>
      <c r="CK43" s="758">
        <f t="shared" ca="1" si="46"/>
        <v>0</v>
      </c>
      <c r="CL43" s="758">
        <f t="shared" ca="1" si="47"/>
        <v>0</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0</v>
      </c>
      <c r="CP43" s="758">
        <f t="shared" ca="1" si="49"/>
        <v>0</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0</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8</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P.1 (2)</v>
      </c>
      <c r="F44" s="744" t="str">
        <f t="shared" ref="F44:F49" ca="1" si="138">IF(D44="Pendiente","-",INDEX($BT$6:$BT$53,MATCH($AF44,$BD$6:$BD$53,0)))</f>
        <v>P.1 (2)</v>
      </c>
      <c r="G44" s="744"/>
      <c r="H44" s="744" t="str">
        <f t="shared" ref="H44:H49" ca="1" si="139">IF(D44="Pendiente","-",INDEX($BZ$6:$BZ$53,MATCH($AA44,$BD$6:$BD$53,0)))</f>
        <v>P.1 (2)</v>
      </c>
      <c r="I44" s="744" t="str">
        <f t="shared" ref="I44:I49" ca="1" si="140">IF(D44="Pendiente","-",INDEX($BZ$6:$BZ$53,MATCH($AF44,$BD$6:$BD$53,0)))</f>
        <v>P.1 (2)</v>
      </c>
      <c r="J44" s="744"/>
      <c r="K44" s="744" t="str">
        <f t="shared" ref="K44:K49" ca="1" si="141">IF(D44="Pendiente","-",INDEX($CE$6:$CE$53,MATCH($AA44,$BD$6:$BD$53,0)))</f>
        <v>P.1 (2)</v>
      </c>
      <c r="L44" s="744" t="str">
        <f t="shared" ref="L44:L49" ca="1" si="142">IF(D44="Pendiente","-",INDEX($CE$6:$CE$53,MATCH($AF44,$BD$6:$BD$53,0)))</f>
        <v>P.1 (2)</v>
      </c>
      <c r="M44" s="744"/>
      <c r="N44" s="744" t="str">
        <f t="shared" ref="N44:N49" ca="1" si="143">IF(D44="Pendiente","-",INDEX($CH$6:$CH$53,MATCH($AA44,$BD$6:$BD$53,0)))</f>
        <v>P.1 (2)</v>
      </c>
      <c r="O44" s="744" t="str">
        <f t="shared" ref="O44:O49" ca="1" si="144">IF(D44="Pendiente","-",INDEX($CH$6:$CH$53,MATCH($AF44,$BD$6:$BD$53,0)))</f>
        <v>P.1 (2)</v>
      </c>
      <c r="P44" s="744"/>
      <c r="Q44" s="744" t="str">
        <f t="shared" ref="Q44:Q49" ca="1" si="145">IF(D44="Pendiente","-",INDEX($CN$6:$CN$53,MATCH($AA44,$BD$6:$BD$53,0)))</f>
        <v>P.1 (2)</v>
      </c>
      <c r="R44" s="744" t="str">
        <f t="shared" ref="R44:R49" ca="1" si="146">IF(D44="Pendiente","-",INDEX($CN$6:$CN$53,MATCH($AF44,$BD$6:$BD$53,0)))</f>
        <v>P.1 (2)</v>
      </c>
      <c r="S44" s="744"/>
      <c r="T44" s="744" t="str">
        <f t="shared" ref="T44:T49" ca="1" si="147">IF(D44="Pendiente","-",INDEX($CS$6:$CS$53,MATCH($AA44,$BD$6:$BD$53,0)))</f>
        <v>P.1 (2)</v>
      </c>
      <c r="U44" s="744" t="str">
        <f t="shared" ref="U44:U49" ca="1" si="148">IF(D44="Pendiente","-",INDEX($CS$6:$CS$53,MATCH($AF44,$BD$6:$BD$53,0)))</f>
        <v>P.1 (2)</v>
      </c>
      <c r="V44" s="172"/>
      <c r="W44" s="810"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2</v>
      </c>
      <c r="BG44" s="748">
        <f t="shared" ca="1" si="17"/>
        <v>1</v>
      </c>
      <c r="BH44" s="748">
        <f t="shared" ca="1" si="18"/>
        <v>0</v>
      </c>
      <c r="BI44" s="748">
        <f t="shared" ca="1" si="19"/>
        <v>1</v>
      </c>
      <c r="BJ44" s="748">
        <f t="shared" ca="1" si="20"/>
        <v>3</v>
      </c>
      <c r="BK44" s="748">
        <f t="shared" ca="1" si="21"/>
        <v>3</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0</v>
      </c>
      <c r="BW44" s="758">
        <f t="shared" ca="1" si="38"/>
        <v>0</v>
      </c>
      <c r="BX44" s="758">
        <f t="shared" ca="1" si="39"/>
        <v>0</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0</v>
      </c>
      <c r="CB44" s="758">
        <f t="shared" ca="1" si="41"/>
        <v>0</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0</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0</v>
      </c>
      <c r="CK44" s="758">
        <f t="shared" ca="1" si="46"/>
        <v>0</v>
      </c>
      <c r="CL44" s="758">
        <f t="shared" ca="1" si="47"/>
        <v>0</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0</v>
      </c>
      <c r="CP44" s="758">
        <f t="shared" ca="1" si="49"/>
        <v>0</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0</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8</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10"/>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2</v>
      </c>
      <c r="BG45" s="748">
        <f t="shared" ca="1" si="17"/>
        <v>0</v>
      </c>
      <c r="BH45" s="748">
        <f t="shared" ca="1" si="18"/>
        <v>0</v>
      </c>
      <c r="BI45" s="748">
        <f t="shared" ca="1" si="19"/>
        <v>2</v>
      </c>
      <c r="BJ45" s="748">
        <f t="shared" ca="1" si="20"/>
        <v>2</v>
      </c>
      <c r="BK45" s="748">
        <f t="shared" ca="1" si="21"/>
        <v>5</v>
      </c>
      <c r="BL45" s="748">
        <f t="shared" ca="1" si="27"/>
        <v>-3</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8</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Local</v>
      </c>
      <c r="E46" s="744" t="str">
        <f t="shared" ca="1" si="137"/>
        <v>P.1 (2)</v>
      </c>
      <c r="F46" s="744" t="str">
        <f t="shared" ca="1" si="138"/>
        <v>-</v>
      </c>
      <c r="G46" s="744"/>
      <c r="H46" s="744" t="str">
        <f t="shared" ca="1" si="139"/>
        <v>P.1 (2)</v>
      </c>
      <c r="I46" s="744" t="str">
        <f t="shared" ca="1" si="140"/>
        <v>-</v>
      </c>
      <c r="J46" s="744"/>
      <c r="K46" s="744" t="str">
        <f t="shared" ca="1" si="141"/>
        <v>P.1 (2)</v>
      </c>
      <c r="L46" s="744" t="str">
        <f t="shared" ca="1" si="142"/>
        <v>-</v>
      </c>
      <c r="M46" s="744"/>
      <c r="N46" s="744" t="str">
        <f t="shared" ca="1" si="143"/>
        <v>P.1 (2)</v>
      </c>
      <c r="O46" s="744" t="str">
        <f t="shared" ca="1" si="144"/>
        <v>-</v>
      </c>
      <c r="P46" s="744"/>
      <c r="Q46" s="744" t="str">
        <f t="shared" ca="1" si="145"/>
        <v>P.1 (2)</v>
      </c>
      <c r="R46" s="744" t="str">
        <f t="shared" ca="1" si="146"/>
        <v>-</v>
      </c>
      <c r="S46" s="744"/>
      <c r="T46" s="744" t="str">
        <f t="shared" ca="1" si="147"/>
        <v>P.1 (2)</v>
      </c>
      <c r="U46" s="744" t="str">
        <f t="shared" ca="1" si="148"/>
        <v>-</v>
      </c>
      <c r="V46" s="172"/>
      <c r="W46" s="810"/>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4</v>
      </c>
      <c r="AN46" s="214">
        <f t="shared" ca="1" si="153"/>
        <v>2</v>
      </c>
      <c r="AO46" s="214">
        <f t="shared" ca="1" si="153"/>
        <v>1</v>
      </c>
      <c r="AP46" s="214">
        <f t="shared" ca="1" si="153"/>
        <v>1</v>
      </c>
      <c r="AQ46" s="214">
        <f t="shared" ca="1" si="153"/>
        <v>0</v>
      </c>
      <c r="AR46" s="214">
        <f t="shared" ca="1" si="153"/>
        <v>7</v>
      </c>
      <c r="AS46" s="214">
        <f t="shared" ca="1" si="153"/>
        <v>3</v>
      </c>
      <c r="AT46" s="215">
        <f t="shared" ca="1" si="153"/>
        <v>4</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4</v>
      </c>
      <c r="BF46" s="748">
        <f t="shared" ca="1" si="26"/>
        <v>2</v>
      </c>
      <c r="BG46" s="748">
        <f t="shared" ca="1" si="17"/>
        <v>1</v>
      </c>
      <c r="BH46" s="748">
        <f t="shared" ca="1" si="18"/>
        <v>1</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4</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8</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05" customHeight="1">
      <c r="A47" s="745" t="str">
        <f ca="1">+Equipos!B24</f>
        <v>Suecia</v>
      </c>
      <c r="B47" s="742"/>
      <c r="C47" s="744"/>
      <c r="D47" s="744" t="str">
        <f t="shared" si="136"/>
        <v>Visitante</v>
      </c>
      <c r="E47" s="744" t="str">
        <f t="shared" ca="1" si="137"/>
        <v>-</v>
      </c>
      <c r="F47" s="744" t="str">
        <f t="shared" ca="1" si="138"/>
        <v>P.1 (2)</v>
      </c>
      <c r="G47" s="744"/>
      <c r="H47" s="744" t="str">
        <f t="shared" ca="1" si="139"/>
        <v>-</v>
      </c>
      <c r="I47" s="744" t="str">
        <f t="shared" ca="1" si="140"/>
        <v>P.1 (2)</v>
      </c>
      <c r="J47" s="744"/>
      <c r="K47" s="744" t="str">
        <f t="shared" ca="1" si="141"/>
        <v>-</v>
      </c>
      <c r="L47" s="744" t="str">
        <f t="shared" ca="1" si="142"/>
        <v>P.1 (2)</v>
      </c>
      <c r="M47" s="744"/>
      <c r="N47" s="744" t="str">
        <f t="shared" ca="1" si="143"/>
        <v>-</v>
      </c>
      <c r="O47" s="744" t="str">
        <f t="shared" ca="1" si="144"/>
        <v>P.1 (2)</v>
      </c>
      <c r="P47" s="744"/>
      <c r="Q47" s="744" t="str">
        <f t="shared" ca="1" si="145"/>
        <v>-</v>
      </c>
      <c r="R47" s="744" t="str">
        <f t="shared" ca="1" si="146"/>
        <v>P.1 (2)</v>
      </c>
      <c r="S47" s="744"/>
      <c r="T47" s="744" t="str">
        <f t="shared" ca="1" si="147"/>
        <v>-</v>
      </c>
      <c r="U47" s="744" t="str">
        <f t="shared" ca="1" si="148"/>
        <v>P.1 (2)</v>
      </c>
      <c r="V47" s="172"/>
      <c r="W47" s="810"/>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4</v>
      </c>
      <c r="AN47" s="224">
        <f t="shared" ca="1" si="153"/>
        <v>2</v>
      </c>
      <c r="AO47" s="224">
        <f t="shared" ca="1" si="153"/>
        <v>1</v>
      </c>
      <c r="AP47" s="224">
        <f t="shared" ca="1" si="153"/>
        <v>1</v>
      </c>
      <c r="AQ47" s="224">
        <f t="shared" ca="1" si="153"/>
        <v>0</v>
      </c>
      <c r="AR47" s="224">
        <f t="shared" ca="1" si="153"/>
        <v>6</v>
      </c>
      <c r="AS47" s="224">
        <f t="shared" ca="1" si="153"/>
        <v>2</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2</v>
      </c>
      <c r="BG47" s="748">
        <f t="shared" ca="1" si="17"/>
        <v>0</v>
      </c>
      <c r="BH47" s="748">
        <f t="shared" ca="1" si="18"/>
        <v>1</v>
      </c>
      <c r="BI47" s="748">
        <f t="shared" ca="1" si="19"/>
        <v>1</v>
      </c>
      <c r="BJ47" s="748">
        <f t="shared" ca="1" si="20"/>
        <v>1</v>
      </c>
      <c r="BK47" s="748">
        <f t="shared" ca="1" si="21"/>
        <v>2</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8</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10"/>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3</v>
      </c>
      <c r="AN48" s="224">
        <f t="shared" ca="1" si="153"/>
        <v>2</v>
      </c>
      <c r="AO48" s="224">
        <f t="shared" ca="1" si="153"/>
        <v>1</v>
      </c>
      <c r="AP48" s="224">
        <f t="shared" ca="1" si="153"/>
        <v>0</v>
      </c>
      <c r="AQ48" s="224">
        <f t="shared" ca="1" si="153"/>
        <v>1</v>
      </c>
      <c r="AR48" s="224">
        <f t="shared" ca="1" si="153"/>
        <v>6</v>
      </c>
      <c r="AS48" s="224">
        <f t="shared" ca="1" si="153"/>
        <v>6</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2</v>
      </c>
      <c r="BG48" s="748">
        <f t="shared" ca="1" si="17"/>
        <v>0</v>
      </c>
      <c r="BH48" s="748">
        <f t="shared" ca="1" si="18"/>
        <v>0</v>
      </c>
      <c r="BI48" s="748">
        <f t="shared" ca="1" si="19"/>
        <v>2</v>
      </c>
      <c r="BJ48" s="748">
        <f t="shared" ca="1" si="20"/>
        <v>1</v>
      </c>
      <c r="BK48" s="748">
        <f t="shared" ca="1" si="21"/>
        <v>8</v>
      </c>
      <c r="BL48" s="748">
        <f t="shared" ca="1" si="27"/>
        <v>-7</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8</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11"/>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2</v>
      </c>
      <c r="AO49" s="238">
        <f t="shared" ca="1" si="153"/>
        <v>0</v>
      </c>
      <c r="AP49" s="238">
        <f t="shared" ca="1" si="153"/>
        <v>0</v>
      </c>
      <c r="AQ49" s="238">
        <f t="shared" ca="1" si="153"/>
        <v>2</v>
      </c>
      <c r="AR49" s="238">
        <f t="shared" ca="1" si="153"/>
        <v>1</v>
      </c>
      <c r="AS49" s="238">
        <f t="shared" ca="1" si="153"/>
        <v>9</v>
      </c>
      <c r="AT49" s="239">
        <f t="shared" ca="1" si="153"/>
        <v>-8</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6</v>
      </c>
      <c r="BF49" s="748">
        <f t="shared" ca="1" si="26"/>
        <v>2</v>
      </c>
      <c r="BG49" s="748">
        <f t="shared" ca="1" si="17"/>
        <v>2</v>
      </c>
      <c r="BH49" s="748">
        <f t="shared" ca="1" si="18"/>
        <v>0</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6</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8</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4</v>
      </c>
      <c r="BF50" s="748">
        <f t="shared" ca="1" si="26"/>
        <v>2</v>
      </c>
      <c r="BG50" s="748">
        <f t="shared" ca="1" si="17"/>
        <v>1</v>
      </c>
      <c r="BH50" s="748">
        <f t="shared" ca="1" si="18"/>
        <v>1</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4</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1</v>
      </c>
      <c r="BW50" s="758">
        <f t="shared" ca="1" si="38"/>
        <v>0</v>
      </c>
      <c r="BX50" s="758">
        <f t="shared" ca="1" si="39"/>
        <v>1</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1</v>
      </c>
      <c r="CK50" s="758">
        <f t="shared" ca="1" si="46"/>
        <v>0</v>
      </c>
      <c r="CL50" s="758">
        <f t="shared" ca="1" si="47"/>
        <v>1</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8</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3</v>
      </c>
      <c r="BF51" s="748">
        <f t="shared" ca="1" si="26"/>
        <v>2</v>
      </c>
      <c r="BG51" s="748">
        <f t="shared" ca="1" si="17"/>
        <v>1</v>
      </c>
      <c r="BH51" s="748">
        <f t="shared" ca="1" si="18"/>
        <v>0</v>
      </c>
      <c r="BI51" s="748">
        <f t="shared" ca="1" si="19"/>
        <v>1</v>
      </c>
      <c r="BJ51" s="748">
        <f t="shared" ca="1" si="20"/>
        <v>3</v>
      </c>
      <c r="BK51" s="748">
        <f t="shared" ca="1" si="21"/>
        <v>4</v>
      </c>
      <c r="BL51" s="748">
        <f t="shared" ca="1" si="27"/>
        <v>-1</v>
      </c>
      <c r="BM51" s="748" t="str">
        <f t="shared" ca="1" si="22"/>
        <v>3L</v>
      </c>
      <c r="BN51" s="748" t="str">
        <f t="shared" ca="1" si="23"/>
        <v>3L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3</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3</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3</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3</v>
      </c>
      <c r="DE51" s="756"/>
      <c r="DF51" s="756">
        <f t="shared" ca="1" si="52"/>
        <v>3</v>
      </c>
      <c r="DG51" s="756" t="str">
        <f ca="1">IF(DB51="-","-",COUNTIFS(DF$6:DF$53,"&lt;"&amp;DF51,$BC$6:$BC$53,INDEX(T_Equipos[Grupo],MATCH(BD51,T_Equipos[NombreEquipo],0))))</f>
        <v>-</v>
      </c>
      <c r="DH51" s="756">
        <f ca="1">DA51+COUNTIFS(DB$6:DB$53,DB51,DG$6:DG$53,"&lt;"&amp;DG51,$BC$6:$BC$53,INDEX(T_Equipos[Grupo],MATCH(BD51,T_Equipos[NombreEquipo],0)))</f>
        <v>3</v>
      </c>
      <c r="DI51" s="744"/>
      <c r="DJ51" s="744">
        <f t="shared" ca="1" si="53"/>
        <v>2</v>
      </c>
      <c r="DK51" s="744">
        <f t="shared" ca="1" si="24"/>
        <v>8</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P.2 (2)</v>
      </c>
      <c r="F52" s="744" t="str">
        <f t="shared" ref="F52:F57" ca="1" si="157">IF(D52="Pendiente","-",INDEX($BT$6:$BT$53,MATCH($AF52,$BD$6:$BD$53,0)))</f>
        <v>-</v>
      </c>
      <c r="G52" s="744"/>
      <c r="H52" s="744" t="str">
        <f t="shared" ref="H52:H57" ca="1" si="158">IF(D52="Pendiente","-",INDEX($BZ$6:$BZ$53,MATCH($AA52,$BD$6:$BD$53,0)))</f>
        <v>P.2 (2)</v>
      </c>
      <c r="I52" s="744" t="str">
        <f t="shared" ref="I52:I57" ca="1" si="159">IF(D52="Pendiente","-",INDEX($BZ$6:$BZ$53,MATCH($AF52,$BD$6:$BD$53,0)))</f>
        <v>-</v>
      </c>
      <c r="J52" s="744"/>
      <c r="K52" s="744" t="str">
        <f t="shared" ref="K52:K57" ca="1" si="160">IF(D52="Pendiente","-",INDEX($CE$6:$CE$53,MATCH($AA52,$BD$6:$BD$53,0)))</f>
        <v>P.2 (2)</v>
      </c>
      <c r="L52" s="744" t="str">
        <f t="shared" ref="L52:L57" ca="1" si="161">IF(D52="Pendiente","-",INDEX($CE$6:$CE$53,MATCH($AF52,$BD$6:$BD$53,0)))</f>
        <v>-</v>
      </c>
      <c r="M52" s="744"/>
      <c r="N52" s="744" t="str">
        <f t="shared" ref="N52:N57" ca="1" si="162">IF(D52="Pendiente","-",INDEX($CH$6:$CH$53,MATCH($AA52,$BD$6:$BD$53,0)))</f>
        <v>P.2 (2)</v>
      </c>
      <c r="O52" s="744" t="str">
        <f t="shared" ref="O52:O57" ca="1" si="163">IF(D52="Pendiente","-",INDEX($CH$6:$CH$53,MATCH($AF52,$BD$6:$BD$53,0)))</f>
        <v>-</v>
      </c>
      <c r="P52" s="744"/>
      <c r="Q52" s="744" t="str">
        <f t="shared" ref="Q52:Q57" ca="1" si="164">IF(D52="Pendiente","-",INDEX($CN$6:$CN$53,MATCH($AA52,$BD$6:$BD$53,0)))</f>
        <v>P.2 (2)</v>
      </c>
      <c r="R52" s="744" t="str">
        <f t="shared" ref="R52:R57" ca="1" si="165">IF(D52="Pendiente","-",INDEX($CN$6:$CN$53,MATCH($AF52,$BD$6:$BD$53,0)))</f>
        <v>-</v>
      </c>
      <c r="S52" s="744"/>
      <c r="T52" s="744" t="str">
        <f t="shared" ref="T52:T57" ca="1" si="166">IF(D52="Pendiente","-",INDEX($CS$6:$CS$53,MATCH($AA52,$BD$6:$BD$53,0)))</f>
        <v>P.2 (2)</v>
      </c>
      <c r="U52" s="744" t="str">
        <f t="shared" ref="U52:U57" ca="1" si="167">IF(D52="Pendiente","-",INDEX($CS$6:$CS$53,MATCH($AF52,$BD$6:$BD$53,0)))</f>
        <v>-</v>
      </c>
      <c r="V52" s="172"/>
      <c r="W52" s="830"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2</v>
      </c>
      <c r="BG52" s="748">
        <f t="shared" ca="1" si="17"/>
        <v>1</v>
      </c>
      <c r="BH52" s="748">
        <f t="shared" ca="1" si="18"/>
        <v>1</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1</v>
      </c>
      <c r="BW52" s="758">
        <f t="shared" ca="1" si="38"/>
        <v>0</v>
      </c>
      <c r="BX52" s="758">
        <f t="shared" ca="1" si="39"/>
        <v>1</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1</v>
      </c>
      <c r="CK52" s="758">
        <f t="shared" ca="1" si="46"/>
        <v>0</v>
      </c>
      <c r="CL52" s="758">
        <f t="shared" ca="1" si="47"/>
        <v>1</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8</v>
      </c>
      <c r="DL52" s="744">
        <f t="shared" ca="1" si="33"/>
        <v>1</v>
      </c>
      <c r="DM52" s="738" t="str">
        <f t="shared" ca="1" si="34"/>
        <v>3.1</v>
      </c>
      <c r="DN52" s="744" cm="1">
        <f t="array" aca="1" ref="DN52" ca="1">OFFSET(Horarios!$P$3,DJ52-1,0,DL52,1)</f>
        <v>3</v>
      </c>
      <c r="DO52" s="744"/>
      <c r="DP52" s="744" t="s">
        <v>443</v>
      </c>
      <c r="DQ52" s="744" t="str">
        <f t="shared" ca="1" si="35"/>
        <v>Croacia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P.2 (2)</v>
      </c>
      <c r="F53" s="744" t="str">
        <f t="shared" ca="1" si="157"/>
        <v>-</v>
      </c>
      <c r="G53" s="744"/>
      <c r="H53" s="744" t="str">
        <f t="shared" ca="1" si="158"/>
        <v>P.2 (2)</v>
      </c>
      <c r="I53" s="744" t="str">
        <f t="shared" ca="1" si="159"/>
        <v>-</v>
      </c>
      <c r="J53" s="744"/>
      <c r="K53" s="744" t="str">
        <f t="shared" ca="1" si="160"/>
        <v>P.2 (2)</v>
      </c>
      <c r="L53" s="744" t="str">
        <f t="shared" ca="1" si="161"/>
        <v>-</v>
      </c>
      <c r="M53" s="744"/>
      <c r="N53" s="744" t="str">
        <f t="shared" ca="1" si="162"/>
        <v>P.2 (2)</v>
      </c>
      <c r="O53" s="744" t="str">
        <f t="shared" ca="1" si="163"/>
        <v>-</v>
      </c>
      <c r="P53" s="744"/>
      <c r="Q53" s="744" t="str">
        <f t="shared" ca="1" si="164"/>
        <v>P.2 (2)</v>
      </c>
      <c r="R53" s="744" t="str">
        <f t="shared" ca="1" si="165"/>
        <v>-</v>
      </c>
      <c r="S53" s="744"/>
      <c r="T53" s="744" t="str">
        <f t="shared" ca="1" si="166"/>
        <v>P.2 (2)</v>
      </c>
      <c r="U53" s="744" t="str">
        <f t="shared" ca="1" si="167"/>
        <v>-</v>
      </c>
      <c r="V53" s="172"/>
      <c r="W53" s="830"/>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2</v>
      </c>
      <c r="BG53" s="748">
        <f t="shared" ca="1" si="17"/>
        <v>0</v>
      </c>
      <c r="BH53" s="748">
        <f t="shared" ca="1" si="18"/>
        <v>0</v>
      </c>
      <c r="BI53" s="748">
        <f t="shared" ca="1" si="19"/>
        <v>2</v>
      </c>
      <c r="BJ53" s="748">
        <f t="shared" ca="1" si="20"/>
        <v>0</v>
      </c>
      <c r="BK53" s="748">
        <f t="shared" ca="1" si="21"/>
        <v>2</v>
      </c>
      <c r="BL53" s="748">
        <f t="shared" ca="1" si="27"/>
        <v>-2</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8</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P.2 (2)</v>
      </c>
      <c r="F54" s="744" t="str">
        <f t="shared" ca="1" si="157"/>
        <v>P.2 (2)</v>
      </c>
      <c r="G54" s="744"/>
      <c r="H54" s="744" t="str">
        <f t="shared" ca="1" si="158"/>
        <v>P.2 (2)</v>
      </c>
      <c r="I54" s="744" t="str">
        <f t="shared" ca="1" si="159"/>
        <v>P.2 (2)</v>
      </c>
      <c r="J54" s="744"/>
      <c r="K54" s="744" t="str">
        <f t="shared" ca="1" si="160"/>
        <v>P.2 (2)</v>
      </c>
      <c r="L54" s="744" t="str">
        <f t="shared" ca="1" si="161"/>
        <v>P.2 (2)</v>
      </c>
      <c r="M54" s="744"/>
      <c r="N54" s="744" t="str">
        <f t="shared" ca="1" si="162"/>
        <v>P.2 (2)</v>
      </c>
      <c r="O54" s="744" t="str">
        <f t="shared" ca="1" si="163"/>
        <v>P.2 (2)</v>
      </c>
      <c r="P54" s="744"/>
      <c r="Q54" s="744" t="str">
        <f t="shared" ca="1" si="164"/>
        <v>P.2 (2)</v>
      </c>
      <c r="R54" s="744" t="str">
        <f t="shared" ca="1" si="165"/>
        <v>P.2 (2)</v>
      </c>
      <c r="S54" s="744"/>
      <c r="T54" s="744" t="str">
        <f t="shared" ca="1" si="166"/>
        <v>P.2 (2)</v>
      </c>
      <c r="U54" s="744" t="str">
        <f t="shared" ca="1" si="167"/>
        <v>P.2 (2)</v>
      </c>
      <c r="V54" s="172"/>
      <c r="W54" s="830"/>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6">
        <f t="array" aca="1" ref="AK54" ca="1">Ver_flag_visit</f>
        <v>#VALUE!</v>
      </c>
      <c r="AL54" s="212" t="str">
        <f ca="1">IFERROR(INDEX($BD$6:$BD$53,MATCH(AI54,$BN$6:$BN$53,0)),"")</f>
        <v>Egipto</v>
      </c>
      <c r="AM54" s="213">
        <f t="shared" ref="AM54:AT57" ca="1" si="172">INDEX($BE$6:$BN$53,MATCH($AL54,$BD$6:$BD$53,0),MATCH(AM$5,$BE$5:$BN$5,0))</f>
        <v>4</v>
      </c>
      <c r="AN54" s="214">
        <f t="shared" ca="1" si="172"/>
        <v>2</v>
      </c>
      <c r="AO54" s="214">
        <f t="shared" ca="1" si="172"/>
        <v>1</v>
      </c>
      <c r="AP54" s="214">
        <f t="shared" ca="1" si="172"/>
        <v>1</v>
      </c>
      <c r="AQ54" s="214">
        <f t="shared" ca="1" si="172"/>
        <v>0</v>
      </c>
      <c r="AR54" s="214">
        <f t="shared" ca="1" si="172"/>
        <v>4</v>
      </c>
      <c r="AS54" s="214">
        <f t="shared" ca="1" si="172"/>
        <v>2</v>
      </c>
      <c r="AT54" s="215">
        <f t="shared" ca="1" si="172"/>
        <v>2</v>
      </c>
      <c r="AU54" s="420">
        <f ca="1">INDEX($DL$6:$DL$53,MATCH(AI54,$DP$6:$DP$53,0))</f>
        <v>1</v>
      </c>
      <c r="AV54" s="217" t="str">
        <f ca="1">INDEX($BD$6:$BD$53,MATCH(AI54,$BM$6:$BM$53,0))</f>
        <v>Egipto</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v>
      </c>
      <c r="G55" s="744"/>
      <c r="H55" s="744" t="str">
        <f t="shared" ca="1" si="158"/>
        <v>-</v>
      </c>
      <c r="I55" s="744" t="str">
        <f t="shared" ca="1" si="159"/>
        <v>-</v>
      </c>
      <c r="J55" s="744"/>
      <c r="K55" s="744" t="str">
        <f t="shared" ca="1" si="160"/>
        <v>-</v>
      </c>
      <c r="L55" s="744" t="str">
        <f t="shared" ca="1" si="161"/>
        <v>-</v>
      </c>
      <c r="M55" s="744"/>
      <c r="N55" s="744" t="str">
        <f t="shared" ca="1" si="162"/>
        <v>-</v>
      </c>
      <c r="O55" s="744" t="str">
        <f t="shared" ca="1" si="163"/>
        <v>-</v>
      </c>
      <c r="P55" s="744"/>
      <c r="Q55" s="744" t="str">
        <f t="shared" ca="1" si="164"/>
        <v>-</v>
      </c>
      <c r="R55" s="744" t="str">
        <f t="shared" ca="1" si="165"/>
        <v>-</v>
      </c>
      <c r="S55" s="744"/>
      <c r="T55" s="744" t="str">
        <f t="shared" ca="1" si="166"/>
        <v>-</v>
      </c>
      <c r="U55" s="744" t="str">
        <f t="shared" ca="1" si="167"/>
        <v>-</v>
      </c>
      <c r="V55" s="172"/>
      <c r="W55" s="830"/>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7">
        <f t="array" aca="1" ref="AK55" ca="1">Ver_flag_visit</f>
        <v>#VALUE!</v>
      </c>
      <c r="AL55" s="222" t="str">
        <f ca="1">IFERROR(INDEX($BD$6:$BD$53,MATCH(AI55,$BN$6:$BN$53,0)),"")</f>
        <v>Irán</v>
      </c>
      <c r="AM55" s="223">
        <f t="shared" ca="1" si="172"/>
        <v>2</v>
      </c>
      <c r="AN55" s="224">
        <f t="shared" ca="1" si="172"/>
        <v>2</v>
      </c>
      <c r="AO55" s="224">
        <f t="shared" ca="1" si="172"/>
        <v>0</v>
      </c>
      <c r="AP55" s="224">
        <f t="shared" ca="1" si="172"/>
        <v>2</v>
      </c>
      <c r="AQ55" s="224">
        <f t="shared" ca="1" si="172"/>
        <v>0</v>
      </c>
      <c r="AR55" s="224">
        <f t="shared" ca="1" si="172"/>
        <v>2</v>
      </c>
      <c r="AS55" s="224">
        <f t="shared" ca="1" si="172"/>
        <v>2</v>
      </c>
      <c r="AT55" s="225">
        <f t="shared" ca="1" si="172"/>
        <v>0</v>
      </c>
      <c r="AU55" s="420">
        <f ca="1">INDEX($DL$6:$DL$53,MATCH(AI55,$DP$6:$DP$53,0))</f>
        <v>1</v>
      </c>
      <c r="AV55" s="217" t="str">
        <f ca="1">INDEX($BD$6:$BD$53,MATCH(AI55,$BM$6:$BM$53,0))</f>
        <v>Irán</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30"/>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2</v>
      </c>
      <c r="AN56" s="224">
        <f t="shared" ca="1" si="172"/>
        <v>2</v>
      </c>
      <c r="AO56" s="224">
        <f t="shared" ca="1" si="172"/>
        <v>0</v>
      </c>
      <c r="AP56" s="224">
        <f t="shared" ca="1" si="172"/>
        <v>2</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31"/>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2</v>
      </c>
      <c r="AO57" s="238">
        <f t="shared" ca="1" si="172"/>
        <v>0</v>
      </c>
      <c r="AP57" s="238">
        <f t="shared" ca="1" si="172"/>
        <v>1</v>
      </c>
      <c r="AQ57" s="238">
        <f t="shared" ca="1" si="172"/>
        <v>1</v>
      </c>
      <c r="AR57" s="238">
        <f t="shared" ca="1" si="172"/>
        <v>3</v>
      </c>
      <c r="AS57" s="238">
        <f t="shared" ca="1" si="172"/>
        <v>5</v>
      </c>
      <c r="AT57" s="239">
        <f t="shared" ca="1" si="172"/>
        <v>-2</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1</v>
      </c>
      <c r="BF58" s="748">
        <f ca="1">+BG58+BH58+BI58</f>
        <v>2</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1</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8</v>
      </c>
      <c r="BN58" s="748">
        <f ca="1">CF58</f>
        <v>8</v>
      </c>
      <c r="BO58" s="738" t="str">
        <f>"4"&amp;BC58</f>
        <v>4A</v>
      </c>
      <c r="BP58" s="738"/>
      <c r="BQ58" s="738"/>
      <c r="BR58" s="748">
        <f t="shared" ref="BR58:BR69" ca="1" si="179">+BE58</f>
        <v>1</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8</v>
      </c>
      <c r="BW58" s="748" t="str">
        <f t="shared" ref="BW58:BW69" ca="1" si="182">IF(COUNTIF(BV$58:BV$69,BV58)=1,"-","Pos. "&amp;BV58&amp;" ("&amp;COUNTIF(BV$58:BV$69,BV58)&amp;")")</f>
        <v>Pos. 8 (3)</v>
      </c>
      <c r="BX58" s="748">
        <f t="shared" ref="BX58:BX69" ca="1" si="183">IF(BW58="-","-",BJ58)</f>
        <v>2</v>
      </c>
      <c r="BY58" s="748">
        <f t="shared" ref="BY58:BY69" ca="1" si="184">BV58+COUNTIFS(BW$58:BW$69,BW58,BX$58:BX$69,"&gt;"&amp;BX58)</f>
        <v>8</v>
      </c>
      <c r="BZ58" s="748" t="str">
        <f t="shared" ref="BZ58:BZ69" ca="1" si="185">IF(COUNTIF(BY$58:BY$69,BY58)=1,"-","Pos. "&amp;BY58&amp;" ("&amp;COUNTIF(BY$58:BY$69,BY58)&amp;")")</f>
        <v>-</v>
      </c>
      <c r="CA58" s="748" t="str">
        <f ca="1">IF(BZ58="-","-",COUNTIF($BD$58:$BD$69,"&gt;"&amp;BD58))</f>
        <v>-</v>
      </c>
      <c r="CB58" s="748">
        <f ca="1">BY58+COUNTIFS(BZ$58:BZ$69,BZ58,CA$58:CA$69,"&gt;"&amp;CA58)</f>
        <v>8</v>
      </c>
      <c r="CC58" s="748"/>
      <c r="CD58" s="748">
        <f ca="1">IF(OR(INDEX($AW$102:$AW$113,MATCH($BD58,$AV$102:$AV$113,0))="",BZ58="-"),CB58,INDEX($AW$102:$AW$113,MATCH($BD58,$AV$102:$AV$113,0))+CB58/1000)</f>
        <v>8</v>
      </c>
      <c r="CE58" s="748" t="str">
        <f ca="1">IF(BZ58="-","-",COUNTIF(CD$58:CD$69,"&lt;"&amp;CD58))</f>
        <v>-</v>
      </c>
      <c r="CF58" s="748">
        <f ca="1">BY58+COUNTIFS(BZ$58:BZ$69,BZ58,CE$58:CE$69,"&lt;"&amp;CE58)</f>
        <v>8</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Suecia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2</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2</v>
      </c>
      <c r="BK59" s="748">
        <f t="shared" ca="1" si="178"/>
        <v>5</v>
      </c>
      <c r="BL59" s="748">
        <f t="shared" ref="BL59:BL69" ca="1" si="193">BJ59-BK59</f>
        <v>-3</v>
      </c>
      <c r="BM59" s="748">
        <f t="shared" ref="BM59:BM69" ca="1" si="194">CB59</f>
        <v>11</v>
      </c>
      <c r="BN59" s="748">
        <f t="shared" ref="BN59:BN69" ca="1" si="195">CF59</f>
        <v>11</v>
      </c>
      <c r="BO59" s="738" t="str">
        <f t="shared" ref="BO59:BO69" si="196">"4"&amp;BC59</f>
        <v>4B</v>
      </c>
      <c r="BP59" s="738"/>
      <c r="BQ59" s="738"/>
      <c r="BR59" s="748">
        <f t="shared" ca="1" si="179"/>
        <v>1</v>
      </c>
      <c r="BS59" s="748">
        <f t="shared" ref="BS59:BS69" ca="1" si="197">COUNTIFS(BR$58:BR$69,"&gt;"&amp;BR59)+1</f>
        <v>8</v>
      </c>
      <c r="BT59" s="748" t="str">
        <f t="shared" ref="BT59:BT69" ca="1" si="198">IF(COUNTIF(BS$58:BS$69,BS59)=1,"-","Pos. "&amp;BS59&amp;" ("&amp;COUNTIF(BS$58:BS$69,BS59)&amp;")")</f>
        <v>Pos. 8 (4)</v>
      </c>
      <c r="BU59" s="748">
        <f t="shared" ca="1" si="180"/>
        <v>-3</v>
      </c>
      <c r="BV59" s="748">
        <f t="shared" ca="1" si="181"/>
        <v>11</v>
      </c>
      <c r="BW59" s="748" t="str">
        <f t="shared" ca="1" si="182"/>
        <v>-</v>
      </c>
      <c r="BX59" s="748" t="str">
        <f t="shared" ca="1" si="183"/>
        <v>-</v>
      </c>
      <c r="BY59" s="748">
        <f t="shared" ca="1" si="184"/>
        <v>11</v>
      </c>
      <c r="BZ59" s="748" t="str">
        <f t="shared" ca="1" si="185"/>
        <v>-</v>
      </c>
      <c r="CA59" s="748" t="str">
        <f t="shared" ref="CA59:CA69" ca="1" si="199">IF(BZ59="-","-",COUNTIF($BD$58:$BD$69,"&gt;"&amp;BD59))</f>
        <v>-</v>
      </c>
      <c r="CB59" s="748">
        <f t="shared" ref="CB59:CB68" ca="1" si="200">BY59+COUNTIFS(BZ$58:BZ$69,BZ59,CA$58:CA$69,"&gt;"&amp;CA59)</f>
        <v>11</v>
      </c>
      <c r="CC59" s="748"/>
      <c r="CD59" s="748">
        <f t="shared" ref="CD59:CD69" ca="1" si="201">IF(OR(INDEX($AW$102:$AW$113,MATCH($BD59,$AV$102:$AV$113,0))="",BZ59="-"),CB59,INDEX($AW$102:$AW$113,MATCH($BD59,$AV$102:$AV$113,0))+CB59/1000)</f>
        <v>11</v>
      </c>
      <c r="CE59" s="748" t="str">
        <f t="shared" ref="CE59:CE69" ca="1" si="202">IF(BZ59="-","-",COUNTIF(CD$58:CD$69,"&lt;"&amp;CD59))</f>
        <v>-</v>
      </c>
      <c r="CF59" s="748">
        <f t="shared" ref="CF59:CF69" ca="1" si="203">BY59+COUNTIFS(BZ$58:BZ$69,BZ59,CE$58:CE$69,"&lt;"&amp;CE59)</f>
        <v>11</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Escocia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P.2 (2)</v>
      </c>
      <c r="G60" s="744"/>
      <c r="H60" s="744" t="str">
        <f t="shared" ref="H60:H65" ca="1" si="209">IF(D60="Pendiente","-",INDEX($BZ$6:$BZ$53,MATCH($AA60,$BD$6:$BD$53,0)))</f>
        <v>-</v>
      </c>
      <c r="I60" s="744" t="str">
        <f t="shared" ref="I60:I65" ca="1" si="210">IF(D60="Pendiente","-",INDEX($BZ$6:$BZ$53,MATCH($AF60,$BD$6:$BD$53,0)))</f>
        <v>P.2 (2)</v>
      </c>
      <c r="J60" s="744"/>
      <c r="K60" s="744" t="str">
        <f t="shared" ref="K60:K65" ca="1" si="211">IF(D60="Pendiente","-",INDEX($CE$6:$CE$53,MATCH($AA60,$BD$6:$BD$53,0)))</f>
        <v>-</v>
      </c>
      <c r="L60" s="744" t="str">
        <f t="shared" ref="L60:L65" ca="1" si="212">IF(D60="Pendiente","-",INDEX($CE$6:$CE$53,MATCH($AF60,$BD$6:$BD$53,0)))</f>
        <v>P.2 (2)</v>
      </c>
      <c r="M60" s="744"/>
      <c r="N60" s="744" t="str">
        <f t="shared" ref="N60:N65" ca="1" si="213">IF(D60="Pendiente","-",INDEX($CH$6:$CH$53,MATCH($AA60,$BD$6:$BD$53,0)))</f>
        <v>-</v>
      </c>
      <c r="O60" s="744" t="str">
        <f t="shared" ref="O60:O65" ca="1" si="214">IF(D60="Pendiente","-",INDEX($CH$6:$CH$53,MATCH($AF60,$BD$6:$BD$53,0)))</f>
        <v>P.2 (2)</v>
      </c>
      <c r="P60" s="744"/>
      <c r="Q60" s="744" t="str">
        <f t="shared" ref="Q60:Q65" ca="1" si="215">IF(D60="Pendiente","-",INDEX($CN$6:$CN$53,MATCH($AA60,$BD$6:$BD$53,0)))</f>
        <v>-</v>
      </c>
      <c r="R60" s="744" t="str">
        <f t="shared" ref="R60:R65" ca="1" si="216">IF(D60="Pendiente","-",INDEX($CN$6:$CN$53,MATCH($AF60,$BD$6:$BD$53,0)))</f>
        <v>P.2 (2)</v>
      </c>
      <c r="S60" s="744"/>
      <c r="T60" s="744" t="str">
        <f t="shared" ref="T60:T65" ca="1" si="217">IF(D60="Pendiente","-",INDEX($CS$6:$CS$53,MATCH($AA60,$BD$6:$BD$53,0)))</f>
        <v>-</v>
      </c>
      <c r="U60" s="744" t="str">
        <f t="shared" ref="U60:U65" ca="1" si="218">IF(D60="Pendiente","-",INDEX($CS$6:$CS$53,MATCH($AF60,$BD$6:$BD$53,0)))</f>
        <v>P.2 (2)</v>
      </c>
      <c r="V60" s="172"/>
      <c r="W60" s="812"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2</v>
      </c>
      <c r="BG60" s="748">
        <f t="shared" ca="1" si="191"/>
        <v>1</v>
      </c>
      <c r="BH60" s="748">
        <f t="shared" ca="1" si="192"/>
        <v>0</v>
      </c>
      <c r="BI60" s="748">
        <f t="shared" ca="1" si="176"/>
        <v>1</v>
      </c>
      <c r="BJ60" s="748">
        <f t="shared" ca="1" si="177"/>
        <v>1</v>
      </c>
      <c r="BK60" s="748">
        <f t="shared" ca="1" si="178"/>
        <v>1</v>
      </c>
      <c r="BL60" s="748">
        <f t="shared" ca="1" si="193"/>
        <v>0</v>
      </c>
      <c r="BM60" s="748">
        <f t="shared" ca="1" si="194"/>
        <v>2</v>
      </c>
      <c r="BN60" s="748">
        <f t="shared" ca="1" si="195"/>
        <v>2</v>
      </c>
      <c r="BO60" s="738" t="str">
        <f t="shared" si="196"/>
        <v>4C</v>
      </c>
      <c r="BP60" s="738"/>
      <c r="BQ60" s="738"/>
      <c r="BR60" s="748">
        <f t="shared" ca="1" si="179"/>
        <v>3</v>
      </c>
      <c r="BS60" s="748">
        <f t="shared" ca="1" si="197"/>
        <v>1</v>
      </c>
      <c r="BT60" s="748" t="str">
        <f t="shared" ca="1" si="198"/>
        <v>Pos. 1 (5)</v>
      </c>
      <c r="BU60" s="748">
        <f t="shared" ca="1" si="180"/>
        <v>0</v>
      </c>
      <c r="BV60" s="748">
        <f t="shared" ca="1" si="181"/>
        <v>1</v>
      </c>
      <c r="BW60" s="748" t="str">
        <f t="shared" ca="1" si="182"/>
        <v>Pos. 1 (2)</v>
      </c>
      <c r="BX60" s="748">
        <f t="shared" ca="1" si="183"/>
        <v>1</v>
      </c>
      <c r="BY60" s="748">
        <f t="shared" ca="1" si="184"/>
        <v>2</v>
      </c>
      <c r="BZ60" s="748" t="str">
        <f t="shared" ca="1" si="185"/>
        <v>-</v>
      </c>
      <c r="CA60" s="748" t="str">
        <f t="shared" ca="1" si="199"/>
        <v>-</v>
      </c>
      <c r="CB60" s="748">
        <f t="shared" ca="1" si="200"/>
        <v>2</v>
      </c>
      <c r="CC60" s="748"/>
      <c r="CD60" s="748">
        <f t="shared" ca="1" si="201"/>
        <v>2</v>
      </c>
      <c r="CE60" s="748" t="str">
        <f t="shared" ca="1" si="202"/>
        <v>-</v>
      </c>
      <c r="CF60" s="748">
        <f t="shared" ca="1" si="203"/>
        <v>2</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Croacia</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v>
      </c>
      <c r="F61" s="744" t="str">
        <f t="shared" ca="1" si="208"/>
        <v>P.2 (2)</v>
      </c>
      <c r="G61" s="744"/>
      <c r="H61" s="744" t="str">
        <f t="shared" ca="1" si="209"/>
        <v>-</v>
      </c>
      <c r="I61" s="744" t="str">
        <f t="shared" ca="1" si="210"/>
        <v>P.2 (2)</v>
      </c>
      <c r="J61" s="744"/>
      <c r="K61" s="744" t="str">
        <f t="shared" ca="1" si="211"/>
        <v>-</v>
      </c>
      <c r="L61" s="744" t="str">
        <f t="shared" ca="1" si="212"/>
        <v>P.2 (2)</v>
      </c>
      <c r="M61" s="744"/>
      <c r="N61" s="744" t="str">
        <f t="shared" ca="1" si="213"/>
        <v>-</v>
      </c>
      <c r="O61" s="744" t="str">
        <f t="shared" ca="1" si="214"/>
        <v>P.2 (2)</v>
      </c>
      <c r="P61" s="744"/>
      <c r="Q61" s="744" t="str">
        <f t="shared" ca="1" si="215"/>
        <v>-</v>
      </c>
      <c r="R61" s="744" t="str">
        <f t="shared" ca="1" si="216"/>
        <v>P.2 (2)</v>
      </c>
      <c r="S61" s="744"/>
      <c r="T61" s="744" t="str">
        <f t="shared" ca="1" si="217"/>
        <v>-</v>
      </c>
      <c r="U61" s="744" t="str">
        <f t="shared" ca="1" si="218"/>
        <v>P.2 (2)</v>
      </c>
      <c r="V61" s="172"/>
      <c r="W61" s="812"/>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3</v>
      </c>
      <c r="BF61" s="748">
        <f t="shared" ca="1" si="190"/>
        <v>2</v>
      </c>
      <c r="BG61" s="748">
        <f t="shared" ca="1" si="191"/>
        <v>1</v>
      </c>
      <c r="BH61" s="748">
        <f t="shared" ca="1" si="192"/>
        <v>0</v>
      </c>
      <c r="BI61" s="748">
        <f t="shared" ca="1" si="176"/>
        <v>1</v>
      </c>
      <c r="BJ61" s="748">
        <f t="shared" ca="1" si="177"/>
        <v>2</v>
      </c>
      <c r="BK61" s="748">
        <f t="shared" ca="1" si="178"/>
        <v>4</v>
      </c>
      <c r="BL61" s="748">
        <f t="shared" ca="1" si="193"/>
        <v>-2</v>
      </c>
      <c r="BM61" s="748">
        <f t="shared" ca="1" si="194"/>
        <v>5</v>
      </c>
      <c r="BN61" s="748">
        <f t="shared" ca="1" si="195"/>
        <v>5</v>
      </c>
      <c r="BO61" s="738" t="str">
        <f t="shared" si="196"/>
        <v>4D</v>
      </c>
      <c r="BP61" s="738"/>
      <c r="BQ61" s="738"/>
      <c r="BR61" s="748">
        <f t="shared" ca="1" si="179"/>
        <v>3</v>
      </c>
      <c r="BS61" s="748">
        <f t="shared" ca="1" si="197"/>
        <v>1</v>
      </c>
      <c r="BT61" s="748" t="str">
        <f t="shared" ca="1" si="198"/>
        <v>Pos. 1 (5)</v>
      </c>
      <c r="BU61" s="748">
        <f t="shared" ca="1" si="180"/>
        <v>-2</v>
      </c>
      <c r="BV61" s="748">
        <f t="shared" ca="1" si="181"/>
        <v>4</v>
      </c>
      <c r="BW61" s="748" t="str">
        <f t="shared" ca="1" si="182"/>
        <v>Pos. 4 (2)</v>
      </c>
      <c r="BX61" s="748">
        <f t="shared" ca="1" si="183"/>
        <v>2</v>
      </c>
      <c r="BY61" s="748">
        <f t="shared" ca="1" si="184"/>
        <v>4</v>
      </c>
      <c r="BZ61" s="748" t="str">
        <f t="shared" ca="1" si="185"/>
        <v>Pos. 4 (2)</v>
      </c>
      <c r="CA61" s="748">
        <f t="shared" ca="1" si="199"/>
        <v>4</v>
      </c>
      <c r="CB61" s="748">
        <f t="shared" ca="1" si="200"/>
        <v>5</v>
      </c>
      <c r="CC61" s="748"/>
      <c r="CD61" s="748">
        <f t="shared" ca="1" si="201"/>
        <v>5</v>
      </c>
      <c r="CE61" s="748">
        <f t="shared" ca="1" si="202"/>
        <v>4</v>
      </c>
      <c r="CF61" s="748">
        <f t="shared" ca="1" si="203"/>
        <v>5</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4</v>
      </c>
      <c r="DK61" s="744"/>
      <c r="DL61" s="744">
        <f t="shared" ca="1" si="204"/>
        <v>1</v>
      </c>
      <c r="DM61" s="738" t="str">
        <f t="shared" ca="1" si="187"/>
        <v>4.1</v>
      </c>
      <c r="DN61" s="744" cm="1">
        <f t="array" aca="1" ref="DN61" ca="1">OFFSET(Horarios!$P$3,DJ61-1,0,DL61,1)</f>
        <v>4</v>
      </c>
      <c r="DO61" s="744"/>
      <c r="DP61" s="744">
        <v>4</v>
      </c>
      <c r="DQ61" s="744" t="str">
        <f t="shared" ca="1" si="205"/>
        <v>Argelia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v>
      </c>
      <c r="G62" s="744"/>
      <c r="H62" s="744" t="str">
        <f t="shared" ca="1" si="209"/>
        <v>-</v>
      </c>
      <c r="I62" s="744" t="str">
        <f t="shared" ca="1" si="210"/>
        <v>-</v>
      </c>
      <c r="J62" s="744"/>
      <c r="K62" s="744" t="str">
        <f t="shared" ca="1" si="211"/>
        <v>-</v>
      </c>
      <c r="L62" s="744" t="str">
        <f t="shared" ca="1" si="212"/>
        <v>-</v>
      </c>
      <c r="M62" s="744"/>
      <c r="N62" s="744" t="str">
        <f t="shared" ca="1" si="213"/>
        <v>-</v>
      </c>
      <c r="O62" s="744" t="str">
        <f t="shared" ca="1" si="214"/>
        <v>-</v>
      </c>
      <c r="P62" s="744"/>
      <c r="Q62" s="744" t="str">
        <f t="shared" ca="1" si="215"/>
        <v>-</v>
      </c>
      <c r="R62" s="744" t="str">
        <f t="shared" ca="1" si="216"/>
        <v>-</v>
      </c>
      <c r="S62" s="744"/>
      <c r="T62" s="744" t="str">
        <f t="shared" ca="1" si="217"/>
        <v>-</v>
      </c>
      <c r="U62" s="744" t="str">
        <f t="shared" ca="1" si="218"/>
        <v>-</v>
      </c>
      <c r="V62" s="172"/>
      <c r="W62" s="812"/>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1">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4</v>
      </c>
      <c r="AN62" s="214">
        <f t="shared" ca="1" si="223"/>
        <v>2</v>
      </c>
      <c r="AO62" s="214">
        <f t="shared" ca="1" si="223"/>
        <v>1</v>
      </c>
      <c r="AP62" s="214">
        <f t="shared" ca="1" si="223"/>
        <v>1</v>
      </c>
      <c r="AQ62" s="214">
        <f t="shared" ca="1" si="223"/>
        <v>0</v>
      </c>
      <c r="AR62" s="214">
        <f t="shared" ca="1" si="223"/>
        <v>4</v>
      </c>
      <c r="AS62" s="214">
        <f t="shared" ca="1" si="223"/>
        <v>0</v>
      </c>
      <c r="AT62" s="215">
        <f t="shared" ca="1" si="223"/>
        <v>4</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1</v>
      </c>
      <c r="BF62" s="748">
        <f t="shared" ca="1" si="190"/>
        <v>2</v>
      </c>
      <c r="BG62" s="748">
        <f t="shared" ca="1" si="191"/>
        <v>0</v>
      </c>
      <c r="BH62" s="748">
        <f t="shared" ca="1" si="192"/>
        <v>1</v>
      </c>
      <c r="BI62" s="748">
        <f t="shared" ca="1" si="176"/>
        <v>1</v>
      </c>
      <c r="BJ62" s="748">
        <f t="shared" ca="1" si="177"/>
        <v>0</v>
      </c>
      <c r="BK62" s="748">
        <f t="shared" ca="1" si="178"/>
        <v>1</v>
      </c>
      <c r="BL62" s="748">
        <f t="shared" ca="1" si="193"/>
        <v>-1</v>
      </c>
      <c r="BM62" s="748">
        <f t="shared" ca="1" si="194"/>
        <v>10</v>
      </c>
      <c r="BN62" s="748">
        <f t="shared" ca="1" si="195"/>
        <v>10</v>
      </c>
      <c r="BO62" s="738" t="str">
        <f t="shared" si="196"/>
        <v>4E</v>
      </c>
      <c r="BP62" s="738"/>
      <c r="BQ62" s="738"/>
      <c r="BR62" s="748">
        <f t="shared" ca="1" si="179"/>
        <v>1</v>
      </c>
      <c r="BS62" s="748">
        <f t="shared" ca="1" si="197"/>
        <v>8</v>
      </c>
      <c r="BT62" s="748" t="str">
        <f t="shared" ca="1" si="198"/>
        <v>Pos. 8 (4)</v>
      </c>
      <c r="BU62" s="748">
        <f t="shared" ca="1" si="180"/>
        <v>-1</v>
      </c>
      <c r="BV62" s="748">
        <f t="shared" ca="1" si="181"/>
        <v>8</v>
      </c>
      <c r="BW62" s="748" t="str">
        <f t="shared" ca="1" si="182"/>
        <v>Pos. 8 (3)</v>
      </c>
      <c r="BX62" s="748">
        <f t="shared" ca="1" si="183"/>
        <v>0</v>
      </c>
      <c r="BY62" s="748">
        <f t="shared" ca="1" si="184"/>
        <v>10</v>
      </c>
      <c r="BZ62" s="748" t="str">
        <f t="shared" ca="1" si="185"/>
        <v>-</v>
      </c>
      <c r="CA62" s="748" t="str">
        <f t="shared" ca="1" si="199"/>
        <v>-</v>
      </c>
      <c r="CB62" s="748">
        <f t="shared" ca="1" si="200"/>
        <v>10</v>
      </c>
      <c r="CC62" s="748"/>
      <c r="CD62" s="748">
        <f t="shared" ca="1" si="201"/>
        <v>10</v>
      </c>
      <c r="CE62" s="748" t="str">
        <f t="shared" ca="1" si="202"/>
        <v>-</v>
      </c>
      <c r="CF62" s="748">
        <f t="shared" ca="1" si="203"/>
        <v>10</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4</v>
      </c>
      <c r="DK62" s="744"/>
      <c r="DL62" s="744">
        <f t="shared" ca="1" si="204"/>
        <v>1</v>
      </c>
      <c r="DM62" s="738" t="str">
        <f t="shared" ca="1" si="187"/>
        <v>4.1</v>
      </c>
      <c r="DN62" s="744" cm="1">
        <f t="array" aca="1" ref="DN62" ca="1">OFFSET(Horarios!$P$3,DJ62-1,0,DL62,1)</f>
        <v>4</v>
      </c>
      <c r="DO62" s="744"/>
      <c r="DP62" s="744">
        <v>5</v>
      </c>
      <c r="DQ62" s="744" t="str">
        <f t="shared" ca="1" si="205"/>
        <v>Paraguay</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P.2 (2)</v>
      </c>
      <c r="F63" s="744" t="str">
        <f t="shared" ca="1" si="208"/>
        <v>P.2 (2)</v>
      </c>
      <c r="G63" s="744"/>
      <c r="H63" s="744" t="str">
        <f t="shared" ca="1" si="209"/>
        <v>P.2 (2)</v>
      </c>
      <c r="I63" s="744" t="str">
        <f t="shared" ca="1" si="210"/>
        <v>P.2 (2)</v>
      </c>
      <c r="J63" s="744"/>
      <c r="K63" s="744" t="str">
        <f t="shared" ca="1" si="211"/>
        <v>P.2 (2)</v>
      </c>
      <c r="L63" s="744" t="str">
        <f t="shared" ca="1" si="212"/>
        <v>P.2 (2)</v>
      </c>
      <c r="M63" s="744"/>
      <c r="N63" s="744" t="str">
        <f t="shared" ca="1" si="213"/>
        <v>P.2 (2)</v>
      </c>
      <c r="O63" s="744" t="str">
        <f t="shared" ca="1" si="214"/>
        <v>P.2 (2)</v>
      </c>
      <c r="P63" s="744"/>
      <c r="Q63" s="744" t="str">
        <f t="shared" ca="1" si="215"/>
        <v>P.2 (2)</v>
      </c>
      <c r="R63" s="744" t="str">
        <f t="shared" ca="1" si="216"/>
        <v>P.2 (2)</v>
      </c>
      <c r="S63" s="744"/>
      <c r="T63" s="744" t="str">
        <f t="shared" ca="1" si="217"/>
        <v>P.2 (2)</v>
      </c>
      <c r="U63" s="744" t="str">
        <f t="shared" ca="1" si="218"/>
        <v>P.2 (2)</v>
      </c>
      <c r="V63" s="172"/>
      <c r="W63" s="812"/>
      <c r="X63" s="189">
        <f ca="1">Horarios!C63</f>
        <v>46195</v>
      </c>
      <c r="Y63" s="190">
        <f ca="1">Horarios!C63</f>
        <v>46195</v>
      </c>
      <c r="Z63" s="191" t="str">
        <f>$Z$6</f>
        <v>J2</v>
      </c>
      <c r="AA63" s="192" t="str">
        <f ca="1">A64</f>
        <v>Uruguay</v>
      </c>
      <c r="AB63" s="478" t="e" cm="1" vm="32">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2</v>
      </c>
      <c r="AN63" s="224">
        <f t="shared" ca="1" si="223"/>
        <v>2</v>
      </c>
      <c r="AO63" s="224">
        <f t="shared" ca="1" si="223"/>
        <v>0</v>
      </c>
      <c r="AP63" s="224">
        <f t="shared" ca="1" si="223"/>
        <v>2</v>
      </c>
      <c r="AQ63" s="224">
        <f t="shared" ca="1" si="223"/>
        <v>0</v>
      </c>
      <c r="AR63" s="224">
        <f t="shared" ca="1" si="223"/>
        <v>3</v>
      </c>
      <c r="AS63" s="224">
        <f t="shared" ca="1" si="223"/>
        <v>3</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Suecia</v>
      </c>
      <c r="BE63" s="748">
        <f t="shared" ca="1" si="189"/>
        <v>3</v>
      </c>
      <c r="BF63" s="748">
        <f t="shared" ca="1" si="190"/>
        <v>2</v>
      </c>
      <c r="BG63" s="748">
        <f t="shared" ca="1" si="191"/>
        <v>1</v>
      </c>
      <c r="BH63" s="748">
        <f t="shared" ca="1" si="192"/>
        <v>0</v>
      </c>
      <c r="BI63" s="748">
        <f t="shared" ca="1" si="176"/>
        <v>1</v>
      </c>
      <c r="BJ63" s="748">
        <f t="shared" ca="1" si="177"/>
        <v>6</v>
      </c>
      <c r="BK63" s="748">
        <f t="shared" ca="1" si="178"/>
        <v>6</v>
      </c>
      <c r="BL63" s="748">
        <f t="shared" ca="1" si="193"/>
        <v>0</v>
      </c>
      <c r="BM63" s="748">
        <f t="shared" ca="1" si="194"/>
        <v>1</v>
      </c>
      <c r="BN63" s="748">
        <f t="shared" ca="1" si="195"/>
        <v>1</v>
      </c>
      <c r="BO63" s="738" t="str">
        <f t="shared" si="196"/>
        <v>4F</v>
      </c>
      <c r="BP63" s="738"/>
      <c r="BQ63" s="738"/>
      <c r="BR63" s="748">
        <f t="shared" ca="1" si="179"/>
        <v>3</v>
      </c>
      <c r="BS63" s="748">
        <f t="shared" ca="1" si="197"/>
        <v>1</v>
      </c>
      <c r="BT63" s="748" t="str">
        <f t="shared" ca="1" si="198"/>
        <v>Pos. 1 (5)</v>
      </c>
      <c r="BU63" s="748">
        <f t="shared" ca="1" si="180"/>
        <v>0</v>
      </c>
      <c r="BV63" s="748">
        <f t="shared" ca="1" si="181"/>
        <v>1</v>
      </c>
      <c r="BW63" s="748" t="str">
        <f t="shared" ca="1" si="182"/>
        <v>Pos. 1 (2)</v>
      </c>
      <c r="BX63" s="748">
        <f t="shared" ca="1" si="183"/>
        <v>6</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Cabo Verde</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12"/>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0">
        <f t="array" aca="1" ref="AK64" ca="1">Ver_flag_visit</f>
        <v>#VALUE!</v>
      </c>
      <c r="AL64" s="222" t="str">
        <f ca="1">IFERROR(INDEX($BD$6:$BD$53,MATCH(AI64,$BN$6:$BN$53,0)),"")</f>
        <v>Cabo Verde</v>
      </c>
      <c r="AM64" s="223">
        <f t="shared" ca="1" si="223"/>
        <v>2</v>
      </c>
      <c r="AN64" s="224">
        <f t="shared" ca="1" si="223"/>
        <v>2</v>
      </c>
      <c r="AO64" s="224">
        <f t="shared" ca="1" si="223"/>
        <v>0</v>
      </c>
      <c r="AP64" s="224">
        <f t="shared" ca="1" si="223"/>
        <v>2</v>
      </c>
      <c r="AQ64" s="224">
        <f t="shared" ca="1" si="223"/>
        <v>0</v>
      </c>
      <c r="AR64" s="224">
        <f t="shared" ca="1" si="223"/>
        <v>2</v>
      </c>
      <c r="AS64" s="224">
        <f t="shared" ca="1" si="223"/>
        <v>2</v>
      </c>
      <c r="AT64" s="225">
        <f t="shared" ca="1" si="223"/>
        <v>0</v>
      </c>
      <c r="AU64" s="420">
        <f ca="1">INDEX($DL$6:$DL$53,MATCH(AI64,$DP$6:$DP$53,0))</f>
        <v>1</v>
      </c>
      <c r="AV64" s="217" t="str">
        <f ca="1">INDEX($BD$6:$BD$53,MATCH(AI64,$BM$6:$BM$53,0))</f>
        <v>Cabo Verde</v>
      </c>
      <c r="AW64" s="427"/>
      <c r="AX64" s="218"/>
      <c r="AY64" s="219" t="str">
        <f ca="1">+A63</f>
        <v>Arabia Saudita</v>
      </c>
      <c r="AZ64" s="220"/>
      <c r="BA64" s="175"/>
      <c r="BB64" s="759" t="str">
        <f t="shared" si="188"/>
        <v>3G</v>
      </c>
      <c r="BC64" s="756" t="s">
        <v>6</v>
      </c>
      <c r="BD64" s="744" t="str">
        <f t="shared" ca="1" si="175"/>
        <v>Bélgica</v>
      </c>
      <c r="BE64" s="748">
        <f t="shared" ca="1" si="189"/>
        <v>2</v>
      </c>
      <c r="BF64" s="748">
        <f t="shared" ca="1" si="190"/>
        <v>2</v>
      </c>
      <c r="BG64" s="748">
        <f t="shared" ca="1" si="191"/>
        <v>0</v>
      </c>
      <c r="BH64" s="748">
        <f t="shared" ca="1" si="192"/>
        <v>2</v>
      </c>
      <c r="BI64" s="748">
        <f t="shared" ca="1" si="176"/>
        <v>0</v>
      </c>
      <c r="BJ64" s="748">
        <f t="shared" ca="1" si="177"/>
        <v>1</v>
      </c>
      <c r="BK64" s="748">
        <f t="shared" ca="1" si="178"/>
        <v>1</v>
      </c>
      <c r="BL64" s="748">
        <f t="shared" ca="1" si="193"/>
        <v>0</v>
      </c>
      <c r="BM64" s="748">
        <f t="shared" ca="1" si="194"/>
        <v>7</v>
      </c>
      <c r="BN64" s="748">
        <f t="shared" ca="1" si="195"/>
        <v>7</v>
      </c>
      <c r="BO64" s="738" t="str">
        <f t="shared" si="196"/>
        <v>4G</v>
      </c>
      <c r="BP64" s="738"/>
      <c r="BQ64" s="738"/>
      <c r="BR64" s="748">
        <f t="shared" ca="1" si="179"/>
        <v>2</v>
      </c>
      <c r="BS64" s="748">
        <f t="shared" ca="1" si="197"/>
        <v>6</v>
      </c>
      <c r="BT64" s="748" t="str">
        <f t="shared" ca="1" si="198"/>
        <v>Pos. 6 (2)</v>
      </c>
      <c r="BU64" s="748">
        <f t="shared" ca="1" si="180"/>
        <v>0</v>
      </c>
      <c r="BV64" s="748">
        <f t="shared" ca="1" si="181"/>
        <v>6</v>
      </c>
      <c r="BW64" s="748" t="str">
        <f t="shared" ca="1" si="182"/>
        <v>Pos. 6 (2)</v>
      </c>
      <c r="BX64" s="748">
        <f t="shared" ca="1" si="183"/>
        <v>1</v>
      </c>
      <c r="BY64" s="748">
        <f t="shared" ca="1" si="184"/>
        <v>7</v>
      </c>
      <c r="BZ64" s="748" t="str">
        <f t="shared" ca="1" si="185"/>
        <v>-</v>
      </c>
      <c r="CA64" s="748" t="str">
        <f t="shared" ca="1" si="199"/>
        <v>-</v>
      </c>
      <c r="CB64" s="748">
        <f t="shared" ca="1" si="200"/>
        <v>7</v>
      </c>
      <c r="CC64" s="748"/>
      <c r="CD64" s="748">
        <f t="shared" ca="1" si="201"/>
        <v>7</v>
      </c>
      <c r="CE64" s="748" t="str">
        <f t="shared" ca="1" si="202"/>
        <v>-</v>
      </c>
      <c r="CF64" s="748">
        <f t="shared" ca="1" si="203"/>
        <v>7</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Bélgica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13"/>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1">
        <f t="array" aca="1" ref="AK65" ca="1">Ver_flag_visit</f>
        <v>#VALUE!</v>
      </c>
      <c r="AL65" s="236" t="str">
        <f ca="1">IFERROR(INDEX($BD$6:$BD$53,MATCH(AI65,$BN$6:$BN$53,0)),"")</f>
        <v>Arabia Saudita</v>
      </c>
      <c r="AM65" s="237">
        <f t="shared" ca="1" si="223"/>
        <v>1</v>
      </c>
      <c r="AN65" s="238">
        <f t="shared" ca="1" si="223"/>
        <v>2</v>
      </c>
      <c r="AO65" s="238">
        <f t="shared" ca="1" si="223"/>
        <v>0</v>
      </c>
      <c r="AP65" s="238">
        <f t="shared" ca="1" si="223"/>
        <v>1</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Cabo Verde</v>
      </c>
      <c r="BE65" s="748">
        <f t="shared" ca="1" si="189"/>
        <v>2</v>
      </c>
      <c r="BF65" s="748">
        <f t="shared" ca="1" si="190"/>
        <v>2</v>
      </c>
      <c r="BG65" s="748">
        <f t="shared" ca="1" si="191"/>
        <v>0</v>
      </c>
      <c r="BH65" s="748">
        <f t="shared" ca="1" si="192"/>
        <v>2</v>
      </c>
      <c r="BI65" s="748">
        <f t="shared" ca="1" si="176"/>
        <v>0</v>
      </c>
      <c r="BJ65" s="748">
        <f t="shared" ca="1" si="177"/>
        <v>2</v>
      </c>
      <c r="BK65" s="748">
        <f t="shared" ca="1" si="178"/>
        <v>2</v>
      </c>
      <c r="BL65" s="748">
        <f t="shared" ca="1" si="193"/>
        <v>0</v>
      </c>
      <c r="BM65" s="748">
        <f t="shared" ca="1" si="194"/>
        <v>6</v>
      </c>
      <c r="BN65" s="748">
        <f t="shared" ca="1" si="195"/>
        <v>6</v>
      </c>
      <c r="BO65" s="738" t="str">
        <f t="shared" si="196"/>
        <v>4H</v>
      </c>
      <c r="BP65" s="738"/>
      <c r="BQ65" s="738"/>
      <c r="BR65" s="748">
        <f t="shared" ca="1" si="179"/>
        <v>2</v>
      </c>
      <c r="BS65" s="748">
        <f t="shared" ca="1" si="197"/>
        <v>6</v>
      </c>
      <c r="BT65" s="748" t="str">
        <f t="shared" ca="1" si="198"/>
        <v>Pos. 6 (2)</v>
      </c>
      <c r="BU65" s="748">
        <f t="shared" ca="1" si="180"/>
        <v>0</v>
      </c>
      <c r="BV65" s="748">
        <f t="shared" ca="1" si="181"/>
        <v>6</v>
      </c>
      <c r="BW65" s="748" t="str">
        <f t="shared" ca="1" si="182"/>
        <v>Pos. 6 (2)</v>
      </c>
      <c r="BX65" s="748">
        <f t="shared" ca="1" si="183"/>
        <v>2</v>
      </c>
      <c r="BY65" s="748">
        <f t="shared" ca="1" si="184"/>
        <v>6</v>
      </c>
      <c r="BZ65" s="748" t="str">
        <f t="shared" ca="1" si="185"/>
        <v>-</v>
      </c>
      <c r="CA65" s="748" t="str">
        <f t="shared" ca="1" si="199"/>
        <v>-</v>
      </c>
      <c r="CB65" s="748">
        <f t="shared" ca="1" si="200"/>
        <v>6</v>
      </c>
      <c r="CC65" s="748"/>
      <c r="CD65" s="748">
        <f t="shared" ca="1" si="201"/>
        <v>6</v>
      </c>
      <c r="CE65" s="748" t="str">
        <f t="shared" ca="1" si="202"/>
        <v>-</v>
      </c>
      <c r="CF65" s="748">
        <f t="shared" ca="1" si="203"/>
        <v>6</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República Checa</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2</v>
      </c>
      <c r="BG66" s="748">
        <f t="shared" ca="1" si="191"/>
        <v>0</v>
      </c>
      <c r="BH66" s="748">
        <f t="shared" ca="1" si="192"/>
        <v>0</v>
      </c>
      <c r="BI66" s="748">
        <f t="shared" ca="1" si="176"/>
        <v>2</v>
      </c>
      <c r="BJ66" s="748">
        <f t="shared" ca="1" si="177"/>
        <v>3</v>
      </c>
      <c r="BK66" s="748">
        <f t="shared" ca="1" si="178"/>
        <v>6</v>
      </c>
      <c r="BL66" s="748">
        <f t="shared" ca="1" si="193"/>
        <v>-3</v>
      </c>
      <c r="BM66" s="748">
        <f t="shared" ca="1" si="194"/>
        <v>12</v>
      </c>
      <c r="BN66" s="748">
        <f t="shared" ca="1" si="195"/>
        <v>12</v>
      </c>
      <c r="BO66" s="738" t="str">
        <f t="shared" si="196"/>
        <v>4I</v>
      </c>
      <c r="BP66" s="738"/>
      <c r="BQ66" s="738"/>
      <c r="BR66" s="748">
        <f t="shared" ca="1" si="179"/>
        <v>0</v>
      </c>
      <c r="BS66" s="748">
        <f t="shared" ca="1" si="197"/>
        <v>12</v>
      </c>
      <c r="BT66" s="748" t="str">
        <f t="shared" ca="1" si="198"/>
        <v>-</v>
      </c>
      <c r="BU66" s="748" t="str">
        <f t="shared" ca="1" si="180"/>
        <v>-</v>
      </c>
      <c r="BV66" s="748">
        <f t="shared" ca="1" si="181"/>
        <v>12</v>
      </c>
      <c r="BW66" s="748" t="str">
        <f t="shared" ca="1" si="182"/>
        <v>-</v>
      </c>
      <c r="BX66" s="748" t="str">
        <f t="shared" ca="1" si="183"/>
        <v>-</v>
      </c>
      <c r="BY66" s="748">
        <f t="shared" ca="1" si="184"/>
        <v>12</v>
      </c>
      <c r="BZ66" s="748" t="str">
        <f t="shared" ca="1" si="185"/>
        <v>-</v>
      </c>
      <c r="CA66" s="748" t="str">
        <f t="shared" ca="1" si="199"/>
        <v>-</v>
      </c>
      <c r="CB66" s="748">
        <f t="shared" ca="1" si="200"/>
        <v>12</v>
      </c>
      <c r="CC66" s="748"/>
      <c r="CD66" s="748">
        <f t="shared" ca="1" si="201"/>
        <v>12</v>
      </c>
      <c r="CE66" s="748" t="str">
        <f t="shared" ca="1" si="202"/>
        <v>-</v>
      </c>
      <c r="CF66" s="748">
        <f t="shared" ca="1" si="203"/>
        <v>12</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RD Congo</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3</v>
      </c>
      <c r="BF67" s="748">
        <f t="shared" ca="1" si="190"/>
        <v>2</v>
      </c>
      <c r="BG67" s="748">
        <f t="shared" ca="1" si="191"/>
        <v>1</v>
      </c>
      <c r="BH67" s="748">
        <f t="shared" ca="1" si="192"/>
        <v>0</v>
      </c>
      <c r="BI67" s="748">
        <f t="shared" ca="1" si="176"/>
        <v>1</v>
      </c>
      <c r="BJ67" s="748">
        <f t="shared" ca="1" si="177"/>
        <v>2</v>
      </c>
      <c r="BK67" s="748">
        <f t="shared" ca="1" si="178"/>
        <v>4</v>
      </c>
      <c r="BL67" s="748">
        <f t="shared" ca="1" si="193"/>
        <v>-2</v>
      </c>
      <c r="BM67" s="748">
        <f t="shared" ca="1" si="194"/>
        <v>4</v>
      </c>
      <c r="BN67" s="748">
        <f t="shared" ca="1" si="195"/>
        <v>4</v>
      </c>
      <c r="BO67" s="738" t="str">
        <f t="shared" si="196"/>
        <v>4J</v>
      </c>
      <c r="BP67" s="738"/>
      <c r="BQ67" s="738"/>
      <c r="BR67" s="748">
        <f t="shared" ca="1" si="179"/>
        <v>3</v>
      </c>
      <c r="BS67" s="748">
        <f t="shared" ca="1" si="197"/>
        <v>1</v>
      </c>
      <c r="BT67" s="748" t="str">
        <f t="shared" ca="1" si="198"/>
        <v>Pos. 1 (5)</v>
      </c>
      <c r="BU67" s="748">
        <f t="shared" ca="1" si="180"/>
        <v>-2</v>
      </c>
      <c r="BV67" s="748">
        <f t="shared" ca="1" si="181"/>
        <v>4</v>
      </c>
      <c r="BW67" s="748" t="str">
        <f t="shared" ca="1" si="182"/>
        <v>Pos. 4 (2)</v>
      </c>
      <c r="BX67" s="748">
        <f t="shared" ca="1" si="183"/>
        <v>2</v>
      </c>
      <c r="BY67" s="748">
        <f t="shared" ca="1" si="184"/>
        <v>4</v>
      </c>
      <c r="BZ67" s="748" t="str">
        <f t="shared" ca="1" si="185"/>
        <v>Pos. 4 (2)</v>
      </c>
      <c r="CA67" s="748">
        <f t="shared" ca="1" si="199"/>
        <v>11</v>
      </c>
      <c r="CB67" s="748">
        <f t="shared" ca="1" si="200"/>
        <v>4</v>
      </c>
      <c r="CC67" s="748"/>
      <c r="CD67" s="748">
        <f t="shared" ca="1" si="201"/>
        <v>4</v>
      </c>
      <c r="CE67" s="748">
        <f t="shared" ca="1" si="202"/>
        <v>3</v>
      </c>
      <c r="CF67" s="748">
        <f t="shared" ca="1" si="203"/>
        <v>4</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Ecuador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18"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2</v>
      </c>
      <c r="BG68" s="748">
        <f t="shared" ca="1" si="191"/>
        <v>0</v>
      </c>
      <c r="BH68" s="748">
        <f t="shared" ca="1" si="192"/>
        <v>1</v>
      </c>
      <c r="BI68" s="748">
        <f t="shared" ca="1" si="176"/>
        <v>1</v>
      </c>
      <c r="BJ68" s="748">
        <f t="shared" ca="1" si="177"/>
        <v>1</v>
      </c>
      <c r="BK68" s="748">
        <f t="shared" ca="1" si="178"/>
        <v>2</v>
      </c>
      <c r="BL68" s="748">
        <f t="shared" ca="1" si="193"/>
        <v>-1</v>
      </c>
      <c r="BM68" s="748">
        <f t="shared" ca="1" si="194"/>
        <v>9</v>
      </c>
      <c r="BN68" s="748">
        <f t="shared" ca="1" si="195"/>
        <v>9</v>
      </c>
      <c r="BO68" s="738" t="str">
        <f t="shared" si="196"/>
        <v>4K</v>
      </c>
      <c r="BP68" s="738"/>
      <c r="BQ68" s="738"/>
      <c r="BR68" s="748">
        <f t="shared" ca="1" si="179"/>
        <v>1</v>
      </c>
      <c r="BS68" s="748">
        <f t="shared" ca="1" si="197"/>
        <v>8</v>
      </c>
      <c r="BT68" s="748" t="str">
        <f t="shared" ca="1" si="198"/>
        <v>Pos. 8 (4)</v>
      </c>
      <c r="BU68" s="748">
        <f t="shared" ca="1" si="180"/>
        <v>-1</v>
      </c>
      <c r="BV68" s="748">
        <f t="shared" ca="1" si="181"/>
        <v>8</v>
      </c>
      <c r="BW68" s="748" t="str">
        <f t="shared" ca="1" si="182"/>
        <v>Pos. 8 (3)</v>
      </c>
      <c r="BX68" s="748">
        <f t="shared" ca="1" si="183"/>
        <v>1</v>
      </c>
      <c r="BY68" s="748">
        <f t="shared" ca="1" si="184"/>
        <v>9</v>
      </c>
      <c r="BZ68" s="748" t="str">
        <f t="shared" ca="1" si="185"/>
        <v>-</v>
      </c>
      <c r="CA68" s="748" t="str">
        <f t="shared" ca="1" si="199"/>
        <v>-</v>
      </c>
      <c r="CB68" s="748">
        <f t="shared" ca="1" si="200"/>
        <v>9</v>
      </c>
      <c r="CC68" s="748"/>
      <c r="CD68" s="748">
        <f t="shared" ca="1" si="201"/>
        <v>9</v>
      </c>
      <c r="CE68" s="748" t="str">
        <f t="shared" ca="1" si="202"/>
        <v>-</v>
      </c>
      <c r="CF68" s="748">
        <f t="shared" ca="1" si="203"/>
        <v>9</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Bosnia y Herzegovina</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18"/>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Croacia</v>
      </c>
      <c r="BE69" s="748">
        <f t="shared" ca="1" si="189"/>
        <v>3</v>
      </c>
      <c r="BF69" s="748">
        <f t="shared" ca="1" si="190"/>
        <v>2</v>
      </c>
      <c r="BG69" s="748">
        <f t="shared" ca="1" si="191"/>
        <v>1</v>
      </c>
      <c r="BH69" s="748">
        <f t="shared" ca="1" si="192"/>
        <v>0</v>
      </c>
      <c r="BI69" s="748">
        <f t="shared" ca="1" si="176"/>
        <v>1</v>
      </c>
      <c r="BJ69" s="748">
        <f t="shared" ca="1" si="177"/>
        <v>3</v>
      </c>
      <c r="BK69" s="748">
        <f t="shared" ca="1" si="178"/>
        <v>4</v>
      </c>
      <c r="BL69" s="748">
        <f t="shared" ca="1" si="193"/>
        <v>-1</v>
      </c>
      <c r="BM69" s="748">
        <f t="shared" ca="1" si="194"/>
        <v>3</v>
      </c>
      <c r="BN69" s="748">
        <f t="shared" ca="1" si="195"/>
        <v>3</v>
      </c>
      <c r="BO69" s="738" t="str">
        <f t="shared" si="196"/>
        <v>4L</v>
      </c>
      <c r="BP69" s="738"/>
      <c r="BQ69" s="738"/>
      <c r="BR69" s="748">
        <f t="shared" ca="1" si="179"/>
        <v>3</v>
      </c>
      <c r="BS69" s="748">
        <f t="shared" ca="1" si="197"/>
        <v>1</v>
      </c>
      <c r="BT69" s="748" t="str">
        <f t="shared" ca="1" si="198"/>
        <v>Pos. 1 (5)</v>
      </c>
      <c r="BU69" s="748">
        <f t="shared" ca="1" si="180"/>
        <v>-1</v>
      </c>
      <c r="BV69" s="748">
        <f t="shared" ca="1" si="181"/>
        <v>3</v>
      </c>
      <c r="BW69" s="748" t="str">
        <f t="shared" ca="1" si="182"/>
        <v>-</v>
      </c>
      <c r="BX69" s="748" t="str">
        <f t="shared" ca="1" si="183"/>
        <v>-</v>
      </c>
      <c r="BY69" s="748">
        <f t="shared" ca="1" si="184"/>
        <v>3</v>
      </c>
      <c r="BZ69" s="748" t="str">
        <f t="shared" ca="1" si="185"/>
        <v>-</v>
      </c>
      <c r="CA69" s="748" t="str">
        <f t="shared" ca="1" si="199"/>
        <v>-</v>
      </c>
      <c r="CB69" s="748">
        <f ca="1">BY69+COUNTIFS(BZ$58:BZ$69,BZ69,CA$58:CA$69,"&gt;"&amp;CA69)</f>
        <v>3</v>
      </c>
      <c r="CC69" s="748"/>
      <c r="CD69" s="748">
        <f t="shared" ca="1" si="201"/>
        <v>3</v>
      </c>
      <c r="CE69" s="748" t="str">
        <f t="shared" ca="1" si="202"/>
        <v>-</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Senegal</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Local</v>
      </c>
      <c r="E70" s="744" t="str">
        <f t="shared" ca="1" si="226"/>
        <v>P.1 (2)</v>
      </c>
      <c r="F70" s="744" t="str">
        <f t="shared" ca="1" si="227"/>
        <v>P.3 (2)</v>
      </c>
      <c r="G70" s="744"/>
      <c r="H70" s="744" t="str">
        <f t="shared" ca="1" si="228"/>
        <v>P.1 (2)</v>
      </c>
      <c r="I70" s="744" t="str">
        <f t="shared" ca="1" si="229"/>
        <v>P.3 (2)</v>
      </c>
      <c r="J70" s="744"/>
      <c r="K70" s="744" t="str">
        <f t="shared" ca="1" si="230"/>
        <v>P.1 (2)</v>
      </c>
      <c r="L70" s="744" t="str">
        <f t="shared" ca="1" si="231"/>
        <v>P.3 (2)</v>
      </c>
      <c r="M70" s="744"/>
      <c r="N70" s="744" t="str">
        <f t="shared" ca="1" si="232"/>
        <v>P.1 (2)</v>
      </c>
      <c r="O70" s="744" t="str">
        <f t="shared" ca="1" si="233"/>
        <v>P.3 (2)</v>
      </c>
      <c r="P70" s="744"/>
      <c r="Q70" s="744" t="str">
        <f t="shared" ca="1" si="234"/>
        <v>P.1 (2)</v>
      </c>
      <c r="R70" s="744" t="str">
        <f t="shared" ca="1" si="235"/>
        <v>P.3 (2)</v>
      </c>
      <c r="S70" s="744"/>
      <c r="T70" s="744" t="str">
        <f t="shared" ca="1" si="236"/>
        <v>P.1 (2)</v>
      </c>
      <c r="U70" s="744" t="str">
        <f t="shared" ca="1" si="237"/>
        <v>P.3 (2)</v>
      </c>
      <c r="V70" s="172"/>
      <c r="W70" s="818"/>
      <c r="X70" s="189">
        <f ca="1">Horarios!C70</f>
        <v>46195.958333333336</v>
      </c>
      <c r="Y70" s="190">
        <f ca="1">Horarios!C70</f>
        <v>46195.958333333336</v>
      </c>
      <c r="Z70" s="191" t="str">
        <f>$Z$6</f>
        <v>J2</v>
      </c>
      <c r="AA70" s="192" t="str">
        <f ca="1">A69</f>
        <v>Francia</v>
      </c>
      <c r="AB70" s="478" t="e" cm="1" vm="33">
        <f t="array" aca="1" ref="AB70" ca="1">Ver_flag_local</f>
        <v>#VALUE!</v>
      </c>
      <c r="AC70" s="193">
        <v>3</v>
      </c>
      <c r="AD70" s="194">
        <v>0</v>
      </c>
      <c r="AE70" s="483" t="e" cm="1" vm="35">
        <f t="array" aca="1" ref="AE70" ca="1">Ver_flag_visit</f>
        <v>#VALUE!</v>
      </c>
      <c r="AF70" s="195" t="str">
        <f ca="1">A71</f>
        <v>Irak</v>
      </c>
      <c r="AG70" s="413">
        <f t="shared" si="238"/>
        <v>1</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6</v>
      </c>
      <c r="AN70" s="214">
        <f t="shared" ca="1" si="243"/>
        <v>2</v>
      </c>
      <c r="AO70" s="214">
        <f t="shared" ca="1" si="243"/>
        <v>2</v>
      </c>
      <c r="AP70" s="214">
        <f t="shared" ca="1" si="243"/>
        <v>0</v>
      </c>
      <c r="AQ70" s="214">
        <f t="shared" ca="1" si="243"/>
        <v>0</v>
      </c>
      <c r="AR70" s="214">
        <f t="shared" ca="1" si="243"/>
        <v>6</v>
      </c>
      <c r="AS70" s="214">
        <f t="shared" ca="1" si="243"/>
        <v>1</v>
      </c>
      <c r="AT70" s="215">
        <f t="shared" ca="1" si="243"/>
        <v>5</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Local</v>
      </c>
      <c r="E71" s="744" t="str">
        <f t="shared" ca="1" si="226"/>
        <v>P.1 (2)</v>
      </c>
      <c r="F71" s="744" t="str">
        <f t="shared" ca="1" si="227"/>
        <v>P.3 (2)</v>
      </c>
      <c r="G71" s="744"/>
      <c r="H71" s="744" t="str">
        <f t="shared" ca="1" si="228"/>
        <v>P.1 (2)</v>
      </c>
      <c r="I71" s="744" t="str">
        <f t="shared" ca="1" si="229"/>
        <v>P.3 (2)</v>
      </c>
      <c r="J71" s="744"/>
      <c r="K71" s="744" t="str">
        <f t="shared" ca="1" si="230"/>
        <v>P.1 (2)</v>
      </c>
      <c r="L71" s="744" t="str">
        <f t="shared" ca="1" si="231"/>
        <v>P.3 (2)</v>
      </c>
      <c r="M71" s="744"/>
      <c r="N71" s="744" t="str">
        <f t="shared" ca="1" si="232"/>
        <v>P.1 (2)</v>
      </c>
      <c r="O71" s="744" t="str">
        <f t="shared" ca="1" si="233"/>
        <v>P.3 (2)</v>
      </c>
      <c r="P71" s="744"/>
      <c r="Q71" s="744" t="str">
        <f t="shared" ca="1" si="234"/>
        <v>P.1 (2)</v>
      </c>
      <c r="R71" s="744" t="str">
        <f t="shared" ca="1" si="235"/>
        <v>P.3 (2)</v>
      </c>
      <c r="S71" s="744"/>
      <c r="T71" s="744" t="str">
        <f t="shared" ca="1" si="236"/>
        <v>P.1 (2)</v>
      </c>
      <c r="U71" s="744" t="str">
        <f t="shared" ca="1" si="237"/>
        <v>P.3 (2)</v>
      </c>
      <c r="V71" s="172"/>
      <c r="W71" s="818"/>
      <c r="X71" s="189">
        <f ca="1">Horarios!C71</f>
        <v>46196.083333333336</v>
      </c>
      <c r="Y71" s="190">
        <f ca="1">Horarios!C71</f>
        <v>46196.083333333336</v>
      </c>
      <c r="Z71" s="191" t="str">
        <f>$Z$6</f>
        <v>J2</v>
      </c>
      <c r="AA71" s="192" t="str">
        <f ca="1">A72</f>
        <v>Noruega</v>
      </c>
      <c r="AB71" s="478" t="e" cm="1" vm="36">
        <f t="array" aca="1" ref="AB71" ca="1">Ver_flag_local</f>
        <v>#VALUE!</v>
      </c>
      <c r="AC71" s="193">
        <v>3</v>
      </c>
      <c r="AD71" s="194">
        <v>2</v>
      </c>
      <c r="AE71" s="483" t="e" cm="1" vm="34">
        <f t="array" aca="1" ref="AE71" ca="1">Ver_flag_visit</f>
        <v>#VALUE!</v>
      </c>
      <c r="AF71" s="195" t="str">
        <f ca="1">A70</f>
        <v>Senegal</v>
      </c>
      <c r="AG71" s="413">
        <f t="shared" si="238"/>
        <v>1</v>
      </c>
      <c r="AH71" s="196">
        <v>41</v>
      </c>
      <c r="AI71" s="19" t="str">
        <f t="shared" ref="AI71:AI73" si="244">AJ71&amp;$B$68</f>
        <v>2I</v>
      </c>
      <c r="AJ71" s="221">
        <v>2</v>
      </c>
      <c r="AK71" s="486" t="e" cm="1" vm="36">
        <f t="array" aca="1" ref="AK71" ca="1">Ver_flag_visit</f>
        <v>#VALUE!</v>
      </c>
      <c r="AL71" s="222" t="str">
        <f ca="1">IFERROR(INDEX($BD$6:$BD$53,MATCH(AI71,$BN$6:$BN$53,0)),"")</f>
        <v>Noruega</v>
      </c>
      <c r="AM71" s="223">
        <f t="shared" ca="1" si="243"/>
        <v>6</v>
      </c>
      <c r="AN71" s="224">
        <f t="shared" ca="1" si="243"/>
        <v>2</v>
      </c>
      <c r="AO71" s="224">
        <f t="shared" ca="1" si="243"/>
        <v>2</v>
      </c>
      <c r="AP71" s="224">
        <f t="shared" ca="1" si="243"/>
        <v>0</v>
      </c>
      <c r="AQ71" s="224">
        <f t="shared" ca="1" si="243"/>
        <v>0</v>
      </c>
      <c r="AR71" s="224">
        <f t="shared" ca="1" si="243"/>
        <v>7</v>
      </c>
      <c r="AS71" s="224">
        <f t="shared" ca="1" si="243"/>
        <v>3</v>
      </c>
      <c r="AT71" s="225">
        <f t="shared" ca="1" si="243"/>
        <v>4</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18"/>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2</v>
      </c>
      <c r="AO72" s="224">
        <f t="shared" ca="1" si="243"/>
        <v>0</v>
      </c>
      <c r="AP72" s="224">
        <f t="shared" ca="1" si="243"/>
        <v>0</v>
      </c>
      <c r="AQ72" s="224">
        <f t="shared" ca="1" si="243"/>
        <v>2</v>
      </c>
      <c r="AR72" s="224">
        <f t="shared" ca="1" si="243"/>
        <v>3</v>
      </c>
      <c r="AS72" s="224">
        <f t="shared" ca="1" si="243"/>
        <v>6</v>
      </c>
      <c r="AT72" s="225">
        <f t="shared" ca="1" si="243"/>
        <v>-3</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19"/>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2</v>
      </c>
      <c r="AO73" s="238">
        <f t="shared" ca="1" si="243"/>
        <v>0</v>
      </c>
      <c r="AP73" s="238">
        <f t="shared" ca="1" si="243"/>
        <v>0</v>
      </c>
      <c r="AQ73" s="238">
        <f t="shared" ca="1" si="243"/>
        <v>2</v>
      </c>
      <c r="AR73" s="238">
        <f t="shared" ca="1" si="243"/>
        <v>1</v>
      </c>
      <c r="AS73" s="238">
        <f t="shared" ca="1" si="243"/>
        <v>7</v>
      </c>
      <c r="AT73" s="239">
        <f t="shared" ca="1" si="243"/>
        <v>-6</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14"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14"/>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14"/>
      <c r="X78" s="189">
        <f ca="1">Horarios!C78</f>
        <v>46195.791666666664</v>
      </c>
      <c r="Y78" s="190">
        <f ca="1">Horarios!C78</f>
        <v>46195.791666666664</v>
      </c>
      <c r="Z78" s="191" t="str">
        <f>$Z$6</f>
        <v>J2</v>
      </c>
      <c r="AA78" s="192" t="str">
        <f ca="1">A77</f>
        <v>Argentina</v>
      </c>
      <c r="AB78" s="478" t="e" cm="1" vm="37">
        <f t="array" aca="1" ref="AB78" ca="1">Ver_flag_local</f>
        <v>#VALUE!</v>
      </c>
      <c r="AC78" s="193">
        <v>2</v>
      </c>
      <c r="AD78" s="194">
        <v>0</v>
      </c>
      <c r="AE78" s="483" t="e" cm="1" vm="39">
        <f t="array" aca="1" ref="AE78" ca="1">Ver_flag_visit</f>
        <v>#VALUE!</v>
      </c>
      <c r="AF78" s="195" t="str">
        <f ca="1">A79</f>
        <v>Austria</v>
      </c>
      <c r="AG78" s="413">
        <f t="shared" si="258"/>
        <v>1</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6</v>
      </c>
      <c r="AN78" s="214">
        <f t="shared" ca="1" si="262"/>
        <v>2</v>
      </c>
      <c r="AO78" s="214">
        <f t="shared" ca="1" si="262"/>
        <v>2</v>
      </c>
      <c r="AP78" s="214">
        <f t="shared" ca="1" si="262"/>
        <v>0</v>
      </c>
      <c r="AQ78" s="214">
        <f t="shared" ca="1" si="262"/>
        <v>0</v>
      </c>
      <c r="AR78" s="214">
        <f t="shared" ca="1" si="262"/>
        <v>5</v>
      </c>
      <c r="AS78" s="214">
        <f t="shared" ca="1" si="262"/>
        <v>0</v>
      </c>
      <c r="AT78" s="215">
        <f t="shared" ca="1" si="262"/>
        <v>5</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14"/>
      <c r="X79" s="189">
        <f ca="1">Horarios!C79</f>
        <v>46196.208333333336</v>
      </c>
      <c r="Y79" s="190">
        <f ca="1">Horarios!C79</f>
        <v>46196.208333333336</v>
      </c>
      <c r="Z79" s="191" t="str">
        <f>$Z$6</f>
        <v>J2</v>
      </c>
      <c r="AA79" s="192" t="str">
        <f ca="1">A80</f>
        <v>Jordania</v>
      </c>
      <c r="AB79" s="478" t="e" cm="1" vm="40">
        <f t="array" aca="1" ref="AB79" ca="1">Ver_flag_local</f>
        <v>#VALUE!</v>
      </c>
      <c r="AC79" s="193">
        <v>1</v>
      </c>
      <c r="AD79" s="194">
        <v>2</v>
      </c>
      <c r="AE79" s="483" t="e" cm="1" vm="38">
        <f t="array" aca="1" ref="AE79" ca="1">Ver_flag_visit</f>
        <v>#VALUE!</v>
      </c>
      <c r="AF79" s="195" t="str">
        <f ca="1">A78</f>
        <v>Argelia</v>
      </c>
      <c r="AG79" s="413">
        <f t="shared" si="258"/>
        <v>1</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2</v>
      </c>
      <c r="AO79" s="224">
        <f t="shared" ca="1" si="262"/>
        <v>1</v>
      </c>
      <c r="AP79" s="224">
        <f t="shared" ca="1" si="262"/>
        <v>0</v>
      </c>
      <c r="AQ79" s="224">
        <f t="shared" ca="1" si="262"/>
        <v>1</v>
      </c>
      <c r="AR79" s="224">
        <f t="shared" ca="1" si="262"/>
        <v>3</v>
      </c>
      <c r="AS79" s="224">
        <f t="shared" ca="1" si="262"/>
        <v>3</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14"/>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8">
        <f t="array" aca="1" ref="AK80" ca="1">Ver_flag_visit</f>
        <v>#VALUE!</v>
      </c>
      <c r="AL80" s="222" t="str">
        <f ca="1">IFERROR(INDEX($BD$6:$BD$53,MATCH(AI80,$BN$6:$BN$53,0)),"")</f>
        <v>Argelia</v>
      </c>
      <c r="AM80" s="223">
        <f t="shared" ca="1" si="262"/>
        <v>3</v>
      </c>
      <c r="AN80" s="224">
        <f t="shared" ca="1" si="262"/>
        <v>2</v>
      </c>
      <c r="AO80" s="224">
        <f t="shared" ca="1" si="262"/>
        <v>1</v>
      </c>
      <c r="AP80" s="224">
        <f t="shared" ca="1" si="262"/>
        <v>0</v>
      </c>
      <c r="AQ80" s="224">
        <f t="shared" ca="1" si="262"/>
        <v>1</v>
      </c>
      <c r="AR80" s="224">
        <f t="shared" ca="1" si="262"/>
        <v>2</v>
      </c>
      <c r="AS80" s="224">
        <f t="shared" ca="1" si="262"/>
        <v>4</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15"/>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2</v>
      </c>
      <c r="AO81" s="238">
        <f t="shared" ca="1" si="262"/>
        <v>0</v>
      </c>
      <c r="AP81" s="238">
        <f t="shared" ca="1" si="262"/>
        <v>0</v>
      </c>
      <c r="AQ81" s="238">
        <f t="shared" ca="1" si="262"/>
        <v>2</v>
      </c>
      <c r="AR81" s="238">
        <f t="shared" ca="1" si="262"/>
        <v>2</v>
      </c>
      <c r="AS81" s="238">
        <f t="shared" ca="1" si="262"/>
        <v>5</v>
      </c>
      <c r="AT81" s="239">
        <f t="shared" ca="1" si="262"/>
        <v>-3</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20"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20"/>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20"/>
      <c r="X86" s="189">
        <f ca="1">Horarios!C86</f>
        <v>46196.791666666664</v>
      </c>
      <c r="Y86" s="190">
        <f ca="1">Horarios!C86</f>
        <v>46196.791666666664</v>
      </c>
      <c r="Z86" s="191" t="str">
        <f>$Z$6</f>
        <v>J2</v>
      </c>
      <c r="AA86" s="192" t="str">
        <f ca="1">A85</f>
        <v>Portugal</v>
      </c>
      <c r="AB86" s="478" t="e" cm="1" vm="41">
        <f t="array" aca="1" ref="AB86" ca="1">Ver_flag_local</f>
        <v>#VALUE!</v>
      </c>
      <c r="AC86" s="193">
        <v>5</v>
      </c>
      <c r="AD86" s="194">
        <v>0</v>
      </c>
      <c r="AE86" s="483" t="e" cm="1" vm="43">
        <f t="array" aca="1" ref="AE86" ca="1">Ver_flag_visit</f>
        <v>#VALUE!</v>
      </c>
      <c r="AF86" s="195" t="str">
        <f ca="1">A87</f>
        <v>Uzbekistán</v>
      </c>
      <c r="AG86" s="413">
        <f t="shared" si="277"/>
        <v>1</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6</v>
      </c>
      <c r="AN86" s="214">
        <f t="shared" ca="1" si="281"/>
        <v>2</v>
      </c>
      <c r="AO86" s="214">
        <f t="shared" ca="1" si="281"/>
        <v>2</v>
      </c>
      <c r="AP86" s="214">
        <f t="shared" ca="1" si="281"/>
        <v>0</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20"/>
      <c r="X87" s="189">
        <f ca="1">Horarios!C87</f>
        <v>46197.166666666664</v>
      </c>
      <c r="Y87" s="190">
        <f ca="1">Horarios!C87</f>
        <v>46197.166666666664</v>
      </c>
      <c r="Z87" s="191" t="str">
        <f>$Z$6</f>
        <v>J2</v>
      </c>
      <c r="AA87" s="192" t="str">
        <f ca="1">A88</f>
        <v>Colombia</v>
      </c>
      <c r="AB87" s="478" t="e" cm="1" vm="44">
        <f t="array" aca="1" ref="AB87" ca="1">Ver_flag_local</f>
        <v>#VALUE!</v>
      </c>
      <c r="AC87" s="193">
        <v>1</v>
      </c>
      <c r="AD87" s="194">
        <v>0</v>
      </c>
      <c r="AE87" s="483" t="e" cm="1" vm="42">
        <f t="array" aca="1" ref="AE87" ca="1">Ver_flag_visit</f>
        <v>#VALUE!</v>
      </c>
      <c r="AF87" s="195" t="str">
        <f ca="1">A86</f>
        <v>RD Congo</v>
      </c>
      <c r="AG87" s="413">
        <f t="shared" si="277"/>
        <v>1</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4</v>
      </c>
      <c r="AN87" s="224">
        <f t="shared" ca="1" si="281"/>
        <v>2</v>
      </c>
      <c r="AO87" s="224">
        <f t="shared" ca="1" si="281"/>
        <v>1</v>
      </c>
      <c r="AP87" s="224">
        <f t="shared" ca="1" si="281"/>
        <v>1</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20"/>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2</v>
      </c>
      <c r="AO88" s="224">
        <f t="shared" ca="1" si="281"/>
        <v>0</v>
      </c>
      <c r="AP88" s="224">
        <f t="shared" ca="1" si="281"/>
        <v>1</v>
      </c>
      <c r="AQ88" s="224">
        <f t="shared" ca="1" si="281"/>
        <v>1</v>
      </c>
      <c r="AR88" s="224">
        <f t="shared" ca="1" si="281"/>
        <v>1</v>
      </c>
      <c r="AS88" s="224">
        <f t="shared" ca="1" si="281"/>
        <v>2</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21"/>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2</v>
      </c>
      <c r="AO89" s="238">
        <f t="shared" ca="1" si="281"/>
        <v>0</v>
      </c>
      <c r="AP89" s="238">
        <f t="shared" ca="1" si="281"/>
        <v>0</v>
      </c>
      <c r="AQ89" s="238">
        <f t="shared" ca="1" si="281"/>
        <v>2</v>
      </c>
      <c r="AR89" s="238">
        <f t="shared" ca="1" si="281"/>
        <v>1</v>
      </c>
      <c r="AS89" s="238">
        <f t="shared" ca="1" si="281"/>
        <v>8</v>
      </c>
      <c r="AT89" s="239">
        <f t="shared" ca="1" si="281"/>
        <v>-7</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v>
      </c>
      <c r="G92" s="744"/>
      <c r="H92" s="744" t="str">
        <f t="shared" ref="H92:H97" ca="1" si="286">IF(D92="Pendiente","-",INDEX($BZ$6:$BZ$53,MATCH($AA92,$BD$6:$BD$53,0)))</f>
        <v>P.1 (2)</v>
      </c>
      <c r="I92" s="744" t="str">
        <f t="shared" ref="I92:I97" ca="1" si="287">IF(D92="Pendiente","-",INDEX($BZ$6:$BZ$53,MATCH($AF92,$BD$6:$BD$53,0)))</f>
        <v>-</v>
      </c>
      <c r="J92" s="744"/>
      <c r="K92" s="744" t="str">
        <f t="shared" ref="K92:K97" ca="1" si="288">IF(D92="Pendiente","-",INDEX($CE$6:$CE$53,MATCH($AA92,$BD$6:$BD$53,0)))</f>
        <v>P.1 (2)</v>
      </c>
      <c r="L92" s="744" t="str">
        <f t="shared" ref="L92:L97" ca="1" si="289">IF(D92="Pendiente","-",INDEX($CE$6:$CE$53,MATCH($AF92,$BD$6:$BD$53,0)))</f>
        <v>-</v>
      </c>
      <c r="M92" s="744"/>
      <c r="N92" s="744" t="str">
        <f t="shared" ref="N92:N97" ca="1" si="290">IF(D92="Pendiente","-",INDEX($CH$6:$CH$53,MATCH($AA92,$BD$6:$BD$53,0)))</f>
        <v>P.1 (2)</v>
      </c>
      <c r="O92" s="744" t="str">
        <f t="shared" ref="O92:O97" ca="1" si="291">IF(D92="Pendiente","-",INDEX($CH$6:$CH$53,MATCH($AF92,$BD$6:$BD$53,0)))</f>
        <v>-</v>
      </c>
      <c r="P92" s="744"/>
      <c r="Q92" s="744" t="str">
        <f t="shared" ref="Q92:Q97" ca="1" si="292">IF(D92="Pendiente","-",INDEX($CN$6:$CN$53,MATCH($AA92,$BD$6:$BD$53,0)))</f>
        <v>P.1 (2)</v>
      </c>
      <c r="R92" s="744" t="str">
        <f t="shared" ref="R92:R97" ca="1" si="293">IF(D92="Pendiente","-",INDEX($CN$6:$CN$53,MATCH($AF92,$BD$6:$BD$53,0)))</f>
        <v>-</v>
      </c>
      <c r="S92" s="744"/>
      <c r="T92" s="744" t="str">
        <f t="shared" ref="T92:T97" ca="1" si="294">IF(D92="Pendiente","-",INDEX($CS$6:$CS$53,MATCH($AA92,$BD$6:$BD$53,0)))</f>
        <v>P.1 (2)</v>
      </c>
      <c r="U92" s="744" t="str">
        <f t="shared" ref="U92:U97" ca="1" si="295">IF(D92="Pendiente","-",INDEX($CS$6:$CS$53,MATCH($AF92,$BD$6:$BD$53,0)))</f>
        <v>-</v>
      </c>
      <c r="V92" s="172"/>
      <c r="W92" s="816"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Local</v>
      </c>
      <c r="E93" s="744" t="str">
        <f t="shared" ca="1" si="284"/>
        <v>P.1 (2)</v>
      </c>
      <c r="F93" s="744" t="str">
        <f t="shared" ca="1" si="285"/>
        <v>-</v>
      </c>
      <c r="G93" s="744"/>
      <c r="H93" s="744" t="str">
        <f t="shared" ca="1" si="286"/>
        <v>P.1 (2)</v>
      </c>
      <c r="I93" s="744" t="str">
        <f t="shared" ca="1" si="287"/>
        <v>-</v>
      </c>
      <c r="J93" s="744"/>
      <c r="K93" s="744" t="str">
        <f t="shared" ca="1" si="288"/>
        <v>P.1 (2)</v>
      </c>
      <c r="L93" s="744" t="str">
        <f t="shared" ca="1" si="289"/>
        <v>-</v>
      </c>
      <c r="M93" s="744"/>
      <c r="N93" s="744" t="str">
        <f t="shared" ca="1" si="290"/>
        <v>P.1 (2)</v>
      </c>
      <c r="O93" s="744" t="str">
        <f t="shared" ca="1" si="291"/>
        <v>-</v>
      </c>
      <c r="P93" s="744"/>
      <c r="Q93" s="744" t="str">
        <f t="shared" ca="1" si="292"/>
        <v>P.1 (2)</v>
      </c>
      <c r="R93" s="744" t="str">
        <f t="shared" ca="1" si="293"/>
        <v>-</v>
      </c>
      <c r="S93" s="744"/>
      <c r="T93" s="744" t="str">
        <f t="shared" ca="1" si="294"/>
        <v>P.1 (2)</v>
      </c>
      <c r="U93" s="744" t="str">
        <f t="shared" ca="1" si="295"/>
        <v>-</v>
      </c>
      <c r="V93" s="172"/>
      <c r="W93" s="816"/>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Empate</v>
      </c>
      <c r="E94" s="744" t="str">
        <f t="shared" ca="1" si="284"/>
        <v>P.1 (2)</v>
      </c>
      <c r="F94" s="744" t="str">
        <f t="shared" ca="1" si="285"/>
        <v>P.1 (2)</v>
      </c>
      <c r="G94" s="744"/>
      <c r="H94" s="744" t="str">
        <f t="shared" ca="1" si="286"/>
        <v>P.1 (2)</v>
      </c>
      <c r="I94" s="744" t="str">
        <f t="shared" ca="1" si="287"/>
        <v>P.1 (2)</v>
      </c>
      <c r="J94" s="744"/>
      <c r="K94" s="744" t="str">
        <f t="shared" ca="1" si="288"/>
        <v>P.1 (2)</v>
      </c>
      <c r="L94" s="744" t="str">
        <f t="shared" ca="1" si="289"/>
        <v>P.1 (2)</v>
      </c>
      <c r="M94" s="744"/>
      <c r="N94" s="744" t="str">
        <f t="shared" ca="1" si="290"/>
        <v>P.1 (2)</v>
      </c>
      <c r="O94" s="744" t="str">
        <f t="shared" ca="1" si="291"/>
        <v>P.1 (2)</v>
      </c>
      <c r="P94" s="744"/>
      <c r="Q94" s="744" t="str">
        <f t="shared" ca="1" si="292"/>
        <v>P.1 (2)</v>
      </c>
      <c r="R94" s="744" t="str">
        <f t="shared" ca="1" si="293"/>
        <v>P.1 (2)</v>
      </c>
      <c r="S94" s="744"/>
      <c r="T94" s="744" t="str">
        <f t="shared" ca="1" si="294"/>
        <v>P.1 (2)</v>
      </c>
      <c r="U94" s="744" t="str">
        <f t="shared" ca="1" si="295"/>
        <v>P.1 (2)</v>
      </c>
      <c r="V94" s="172"/>
      <c r="W94" s="816"/>
      <c r="X94" s="189">
        <f ca="1">Horarios!C94</f>
        <v>46196.916666666664</v>
      </c>
      <c r="Y94" s="190">
        <f ca="1">Horarios!C94</f>
        <v>46196.916666666664</v>
      </c>
      <c r="Z94" s="191" t="str">
        <f>$Z$6</f>
        <v>J2</v>
      </c>
      <c r="AA94" s="192" t="str">
        <f ca="1">A93</f>
        <v>Inglaterra</v>
      </c>
      <c r="AB94" s="478" t="e" cm="1" vm="45">
        <f t="array" aca="1" ref="AB94" ca="1">Ver_flag_local</f>
        <v>#VALUE!</v>
      </c>
      <c r="AC94" s="193">
        <v>0</v>
      </c>
      <c r="AD94" s="194">
        <v>0</v>
      </c>
      <c r="AE94" s="483" t="e" cm="1" vm="47">
        <f t="array" aca="1" ref="AE94" ca="1">Ver_flag_visit</f>
        <v>#VALUE!</v>
      </c>
      <c r="AF94" s="195" t="str">
        <f ca="1">A95</f>
        <v>Ghana</v>
      </c>
      <c r="AG94" s="413">
        <f t="shared" si="296"/>
        <v>1</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4</v>
      </c>
      <c r="AN94" s="214">
        <f t="shared" ca="1" si="300"/>
        <v>2</v>
      </c>
      <c r="AO94" s="214">
        <f t="shared" ca="1" si="300"/>
        <v>1</v>
      </c>
      <c r="AP94" s="214">
        <f t="shared" ca="1" si="300"/>
        <v>1</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6"/>
      <c r="X95" s="189">
        <f ca="1">Horarios!C95</f>
        <v>46197.041666666664</v>
      </c>
      <c r="Y95" s="190">
        <f ca="1">Horarios!C95</f>
        <v>46197.041666666664</v>
      </c>
      <c r="Z95" s="191" t="str">
        <f>$Z$6</f>
        <v>J2</v>
      </c>
      <c r="AA95" s="192" t="str">
        <f ca="1">A96</f>
        <v>Panamá</v>
      </c>
      <c r="AB95" s="478" t="e" cm="1" vm="48">
        <f t="array" aca="1" ref="AB95" ca="1">Ver_flag_local</f>
        <v>#VALUE!</v>
      </c>
      <c r="AC95" s="193">
        <v>0</v>
      </c>
      <c r="AD95" s="194">
        <v>1</v>
      </c>
      <c r="AE95" s="483" t="e" cm="1" vm="46">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4</v>
      </c>
      <c r="AN95" s="224">
        <f t="shared" ca="1" si="300"/>
        <v>2</v>
      </c>
      <c r="AO95" s="224">
        <f t="shared" ca="1" si="300"/>
        <v>1</v>
      </c>
      <c r="AP95" s="224">
        <f t="shared" ca="1" si="300"/>
        <v>1</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16"/>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6">
        <f t="array" aca="1" ref="AK96" ca="1">Ver_flag_visit</f>
        <v>#VALUE!</v>
      </c>
      <c r="AL96" s="222" t="str">
        <f ca="1">IFERROR(INDEX($BD$6:$BD$53,MATCH(AI96,$BN$6:$BN$53,0)),"")</f>
        <v>Croacia</v>
      </c>
      <c r="AM96" s="223">
        <f t="shared" ca="1" si="300"/>
        <v>3</v>
      </c>
      <c r="AN96" s="224">
        <f t="shared" ca="1" si="300"/>
        <v>2</v>
      </c>
      <c r="AO96" s="224">
        <f t="shared" ca="1" si="300"/>
        <v>1</v>
      </c>
      <c r="AP96" s="224">
        <f t="shared" ca="1" si="300"/>
        <v>0</v>
      </c>
      <c r="AQ96" s="224">
        <f t="shared" ca="1" si="300"/>
        <v>1</v>
      </c>
      <c r="AR96" s="224">
        <f t="shared" ca="1" si="300"/>
        <v>3</v>
      </c>
      <c r="AS96" s="224">
        <f t="shared" ca="1" si="300"/>
        <v>4</v>
      </c>
      <c r="AT96" s="225">
        <f t="shared" ca="1" si="300"/>
        <v>-1</v>
      </c>
      <c r="AU96" s="420">
        <f ca="1">INDEX($DL$6:$DL$53,MATCH(AI96,$DP$6:$DP$53,0))</f>
        <v>1</v>
      </c>
      <c r="AV96" s="217" t="str">
        <f ca="1">INDEX($BD$6:$BD$53,MATCH(AI96,$BM$6:$BM$53,0))</f>
        <v>Croacia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17"/>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2</v>
      </c>
      <c r="AO97" s="238">
        <f t="shared" ca="1" si="300"/>
        <v>0</v>
      </c>
      <c r="AP97" s="238">
        <f t="shared" ca="1" si="300"/>
        <v>0</v>
      </c>
      <c r="AQ97" s="238">
        <f t="shared" ca="1" si="300"/>
        <v>2</v>
      </c>
      <c r="AR97" s="238">
        <f t="shared" ca="1" si="300"/>
        <v>0</v>
      </c>
      <c r="AS97" s="238">
        <f t="shared" ca="1" si="300"/>
        <v>2</v>
      </c>
      <c r="AT97" s="239">
        <f t="shared" ca="1" si="300"/>
        <v>-2</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8</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22"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ACDFGHJL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8</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22"/>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e" cm="1" vm="23">
        <f t="array" aca="1" ref="AK102" ca="1">Ver_flag_visit</f>
        <v>#VALUE!</v>
      </c>
      <c r="AL102" s="283" t="str">
        <f t="shared" ref="AL102:AL113" ca="1" si="310">+IF($H$113&gt;=48,INDEX($BD$58:$BD$69,MATCH(AI102,$BN$58:$BN$69,0)),BB58)</f>
        <v>Suecia</v>
      </c>
      <c r="AM102" s="284">
        <f t="shared" ref="AM102:AT102" ca="1" si="311">+IF($H$113&gt;=48,INDEX($BE$58:$BN$69,MATCH($AL102,$BD$58:$BD$69,0),MATCH(AM$5,$BE$57:$BN$57,0)),$BB58)</f>
        <v>3</v>
      </c>
      <c r="AN102" s="285">
        <f t="shared" ca="1" si="311"/>
        <v>2</v>
      </c>
      <c r="AO102" s="285">
        <f t="shared" ca="1" si="311"/>
        <v>1</v>
      </c>
      <c r="AP102" s="285">
        <f t="shared" ca="1" si="311"/>
        <v>0</v>
      </c>
      <c r="AQ102" s="286">
        <f t="shared" ca="1" si="311"/>
        <v>1</v>
      </c>
      <c r="AR102" s="286">
        <f t="shared" ca="1" si="311"/>
        <v>6</v>
      </c>
      <c r="AS102" s="286">
        <f t="shared" ca="1" si="311"/>
        <v>6</v>
      </c>
      <c r="AT102" s="287">
        <f t="shared" ca="1" si="311"/>
        <v>0</v>
      </c>
      <c r="AU102" s="420" t="str">
        <f t="shared" ref="AU102:AU113" ca="1" si="312">IF($H$113=144,INDEX($DL$58:$DL$69,MATCH(AI102,$DP$58:$DP$69,0)),"")</f>
        <v/>
      </c>
      <c r="AV102" s="217" t="str">
        <f t="shared" ref="AV102:AV113" ca="1" si="313">INDEX($BD$58:$BD$69,MATCH(AI102,$BM$58:$BM$69,0))</f>
        <v>Suecia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8</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22"/>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e" cm="1" vm="12">
        <f t="array" aca="1" ref="AK103" ca="1">Ver_flag_visit</f>
        <v>#VALUE!</v>
      </c>
      <c r="AL103" s="289" t="str">
        <f t="shared" ca="1" si="310"/>
        <v>Escocia</v>
      </c>
      <c r="AM103" s="290">
        <f t="shared" ref="AM103:AT103" ca="1" si="314">+IF($H$113&gt;=48,INDEX($BE$58:$BN$69,MATCH($AL103,$BD$58:$BD$69,0),MATCH(AM$5,$BE$57:$BN$57,0)),$BB59)</f>
        <v>3</v>
      </c>
      <c r="AN103" s="291">
        <f t="shared" ca="1" si="314"/>
        <v>2</v>
      </c>
      <c r="AO103" s="291">
        <f t="shared" ca="1" si="314"/>
        <v>1</v>
      </c>
      <c r="AP103" s="291">
        <f t="shared" ca="1" si="314"/>
        <v>0</v>
      </c>
      <c r="AQ103" s="291">
        <f t="shared" ca="1" si="314"/>
        <v>1</v>
      </c>
      <c r="AR103" s="291">
        <f t="shared" ca="1" si="314"/>
        <v>1</v>
      </c>
      <c r="AS103" s="291">
        <f t="shared" ca="1" si="314"/>
        <v>1</v>
      </c>
      <c r="AT103" s="292">
        <f t="shared" ca="1" si="314"/>
        <v>0</v>
      </c>
      <c r="AU103" s="420" t="str">
        <f t="shared" ca="1" si="312"/>
        <v/>
      </c>
      <c r="AV103" s="217" t="str">
        <f t="shared" ca="1" si="313"/>
        <v>Escocia</v>
      </c>
      <c r="AW103" s="427"/>
      <c r="AX103" s="288"/>
      <c r="AY103" s="293"/>
      <c r="AZ103" s="294" t="str">
        <f t="shared" ref="AZ103:AZ110" ca="1" si="315">+IF(OR($H$113&gt;=48,$AJ$99=144),BF117&amp;" - "&amp;BG117,"")</f>
        <v>1A - 3C</v>
      </c>
      <c r="BA103" s="175"/>
      <c r="BB103" s="738"/>
      <c r="BC103" s="744"/>
      <c r="BD103" s="738"/>
      <c r="BE103" s="738"/>
      <c r="BF103" s="738" t="str">
        <f t="shared" ref="BF103:BF110" ca="1" si="316">IFERROR(INDEX($BC$6:$BC$53,MATCH(AL102,$BD$6:$BD$53,0)),"")</f>
        <v>F</v>
      </c>
      <c r="BG103" s="738">
        <f t="shared" ref="BG103:BG110" ca="1" si="317">COUNTIF($BF$103:$BF$110,"&lt;="&amp;BF103)</f>
        <v>4</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8</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22"/>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e" cm="1" vm="46">
        <f t="array" aca="1" ref="AK104" ca="1">Ver_flag_visit</f>
        <v>#VALUE!</v>
      </c>
      <c r="AL104" s="289" t="str">
        <f t="shared" ca="1" si="310"/>
        <v>Croacia</v>
      </c>
      <c r="AM104" s="290">
        <f t="shared" ref="AM104:AT104" ca="1" si="319">+IF($H$113&gt;=48,INDEX($BE$58:$BN$69,MATCH($AL104,$BD$58:$BD$69,0),MATCH(AM$5,$BE$57:$BN$57,0)),$BB60)</f>
        <v>3</v>
      </c>
      <c r="AN104" s="291">
        <f t="shared" ca="1" si="319"/>
        <v>2</v>
      </c>
      <c r="AO104" s="291">
        <f t="shared" ca="1" si="319"/>
        <v>1</v>
      </c>
      <c r="AP104" s="291">
        <f t="shared" ca="1" si="319"/>
        <v>0</v>
      </c>
      <c r="AQ104" s="291">
        <f t="shared" ca="1" si="319"/>
        <v>1</v>
      </c>
      <c r="AR104" s="291">
        <f t="shared" ca="1" si="319"/>
        <v>3</v>
      </c>
      <c r="AS104" s="291">
        <f t="shared" ca="1" si="319"/>
        <v>4</v>
      </c>
      <c r="AT104" s="292">
        <f t="shared" ca="1" si="319"/>
        <v>-1</v>
      </c>
      <c r="AU104" s="420" t="str">
        <f t="shared" ca="1" si="312"/>
        <v/>
      </c>
      <c r="AV104" s="217" t="str">
        <f t="shared" ca="1" si="313"/>
        <v>Croacia</v>
      </c>
      <c r="AW104" s="427"/>
      <c r="AX104" s="288"/>
      <c r="AY104" s="293"/>
      <c r="AZ104" s="294" t="str">
        <f t="shared" ca="1" si="315"/>
        <v>1B - 3G</v>
      </c>
      <c r="BA104" s="175"/>
      <c r="BB104" s="738"/>
      <c r="BC104" s="744"/>
      <c r="BD104" s="738"/>
      <c r="BE104" s="738"/>
      <c r="BF104" s="738" t="str">
        <f t="shared" ca="1" si="316"/>
        <v>C</v>
      </c>
      <c r="BG104" s="738">
        <f t="shared" ca="1" si="317"/>
        <v>2</v>
      </c>
      <c r="BH104" s="738"/>
      <c r="BI104" s="744">
        <v>2</v>
      </c>
      <c r="BJ104" s="738" t="str">
        <f t="shared" ca="1" si="318"/>
        <v>C</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8</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22"/>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e" cm="1" vm="38">
        <f t="array" aca="1" ref="AK105" ca="1">Ver_flag_visit</f>
        <v>#VALUE!</v>
      </c>
      <c r="AL105" s="289" t="str">
        <f t="shared" ca="1" si="310"/>
        <v>Argelia</v>
      </c>
      <c r="AM105" s="290">
        <f t="shared" ref="AM105:AT105" ca="1" si="320">+IF($H$113&gt;=48,INDEX($BE$58:$BN$69,MATCH($AL105,$BD$58:$BD$69,0),MATCH(AM$5,$BE$57:$BN$57,0)),$BB61)</f>
        <v>3</v>
      </c>
      <c r="AN105" s="291">
        <f t="shared" ca="1" si="320"/>
        <v>2</v>
      </c>
      <c r="AO105" s="291">
        <f t="shared" ca="1" si="320"/>
        <v>1</v>
      </c>
      <c r="AP105" s="291">
        <f t="shared" ca="1" si="320"/>
        <v>0</v>
      </c>
      <c r="AQ105" s="291">
        <f t="shared" ca="1" si="320"/>
        <v>1</v>
      </c>
      <c r="AR105" s="291">
        <f t="shared" ca="1" si="320"/>
        <v>2</v>
      </c>
      <c r="AS105" s="291">
        <f t="shared" ca="1" si="320"/>
        <v>4</v>
      </c>
      <c r="AT105" s="292">
        <f t="shared" ca="1" si="320"/>
        <v>-2</v>
      </c>
      <c r="AU105" s="420" t="str">
        <f t="shared" ca="1" si="312"/>
        <v/>
      </c>
      <c r="AV105" s="217" t="str">
        <f t="shared" ca="1" si="313"/>
        <v>Argelia</v>
      </c>
      <c r="AW105" s="427"/>
      <c r="AX105" s="288"/>
      <c r="AY105" s="293"/>
      <c r="AZ105" s="294" t="str">
        <f t="shared" ca="1" si="315"/>
        <v>1D - 3J</v>
      </c>
      <c r="BA105" s="175"/>
      <c r="BB105" s="738"/>
      <c r="BC105" s="744"/>
      <c r="BD105" s="738"/>
      <c r="BE105" s="738"/>
      <c r="BF105" s="738" t="str">
        <f t="shared" ca="1" si="316"/>
        <v>L</v>
      </c>
      <c r="BG105" s="738">
        <f t="shared" ca="1" si="317"/>
        <v>8</v>
      </c>
      <c r="BH105" s="738"/>
      <c r="BI105" s="744">
        <v>3</v>
      </c>
      <c r="BJ105" s="738" t="str">
        <f t="shared" ca="1" si="318"/>
        <v>D</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8</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22"/>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e" cm="1" vm="14">
        <f t="array" aca="1" ref="AK106" ca="1">Ver_flag_visit</f>
        <v>#VALUE!</v>
      </c>
      <c r="AL106" s="289" t="str">
        <f t="shared" ca="1" si="310"/>
        <v>Paraguay</v>
      </c>
      <c r="AM106" s="290">
        <f t="shared" ref="AM106:AT106" ca="1" si="321">+IF($H$113&gt;=48,INDEX($BE$58:$BN$69,MATCH($AL106,$BD$58:$BD$69,0),MATCH(AM$5,$BE$57:$BN$57,0)),$BB62)</f>
        <v>3</v>
      </c>
      <c r="AN106" s="291">
        <f t="shared" ca="1" si="321"/>
        <v>2</v>
      </c>
      <c r="AO106" s="291">
        <f t="shared" ca="1" si="321"/>
        <v>1</v>
      </c>
      <c r="AP106" s="291">
        <f t="shared" ca="1" si="321"/>
        <v>0</v>
      </c>
      <c r="AQ106" s="291">
        <f t="shared" ca="1" si="321"/>
        <v>1</v>
      </c>
      <c r="AR106" s="291">
        <f t="shared" ca="1" si="321"/>
        <v>2</v>
      </c>
      <c r="AS106" s="291">
        <f t="shared" ca="1" si="321"/>
        <v>4</v>
      </c>
      <c r="AT106" s="292">
        <f t="shared" ca="1" si="321"/>
        <v>-2</v>
      </c>
      <c r="AU106" s="420" t="str">
        <f t="shared" ca="1" si="312"/>
        <v/>
      </c>
      <c r="AV106" s="217" t="str">
        <f t="shared" ca="1" si="313"/>
        <v>Paraguay</v>
      </c>
      <c r="AW106" s="427"/>
      <c r="AX106" s="288"/>
      <c r="AY106" s="293"/>
      <c r="AZ106" s="294" t="str">
        <f t="shared" ca="1" si="315"/>
        <v>1E - 3D</v>
      </c>
      <c r="BA106" s="175"/>
      <c r="BB106" s="738"/>
      <c r="BC106" s="744"/>
      <c r="BD106" s="738"/>
      <c r="BE106" s="738"/>
      <c r="BF106" s="738" t="str">
        <f t="shared" ca="1" si="316"/>
        <v>J</v>
      </c>
      <c r="BG106" s="738">
        <f t="shared" ca="1" si="317"/>
        <v>7</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8</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22"/>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e" cm="1" vm="30">
        <f t="array" aca="1" ref="AK107" ca="1">Ver_flag_visit</f>
        <v>#VALUE!</v>
      </c>
      <c r="AL107" s="289" t="str">
        <f t="shared" ca="1" si="310"/>
        <v>Cabo Verde</v>
      </c>
      <c r="AM107" s="290">
        <f t="shared" ref="AM107:AT107" ca="1" si="322">+IF($H$113&gt;=48,INDEX($BE$58:$BN$69,MATCH($AL107,$BD$58:$BD$69,0),MATCH(AM$5,$BE$57:$BN$57,0)),$BB63)</f>
        <v>2</v>
      </c>
      <c r="AN107" s="291">
        <f t="shared" ca="1" si="322"/>
        <v>2</v>
      </c>
      <c r="AO107" s="291">
        <f t="shared" ca="1" si="322"/>
        <v>0</v>
      </c>
      <c r="AP107" s="291">
        <f t="shared" ca="1" si="322"/>
        <v>2</v>
      </c>
      <c r="AQ107" s="291">
        <f t="shared" ca="1" si="322"/>
        <v>0</v>
      </c>
      <c r="AR107" s="291">
        <f t="shared" ca="1" si="322"/>
        <v>2</v>
      </c>
      <c r="AS107" s="291">
        <f t="shared" ca="1" si="322"/>
        <v>2</v>
      </c>
      <c r="AT107" s="292">
        <f t="shared" ca="1" si="322"/>
        <v>0</v>
      </c>
      <c r="AU107" s="420" t="str">
        <f t="shared" ca="1" si="312"/>
        <v/>
      </c>
      <c r="AV107" s="217" t="str">
        <f ca="1">INDEX($BD$58:$BD$69,MATCH(AI107,$BM$58:$BM$69,0))</f>
        <v>Cabo Verde</v>
      </c>
      <c r="AW107" s="427"/>
      <c r="AX107" s="288"/>
      <c r="AY107" s="293"/>
      <c r="AZ107" s="294" t="str">
        <f t="shared" ca="1" si="315"/>
        <v>1G - 3A</v>
      </c>
      <c r="BA107" s="175"/>
      <c r="BB107" s="738"/>
      <c r="BC107" s="744"/>
      <c r="BD107" s="738"/>
      <c r="BE107" s="744"/>
      <c r="BF107" s="738" t="str">
        <f t="shared" ca="1" si="316"/>
        <v>D</v>
      </c>
      <c r="BG107" s="738">
        <f t="shared" ca="1" si="317"/>
        <v>3</v>
      </c>
      <c r="BH107" s="738"/>
      <c r="BI107" s="738">
        <v>5</v>
      </c>
      <c r="BJ107" s="738" t="str">
        <f t="shared" ca="1" si="318"/>
        <v>G</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8</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22"/>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e" cm="1" vm="25">
        <f t="array" aca="1" ref="AK108" ca="1">Ver_flag_visit</f>
        <v>#VALUE!</v>
      </c>
      <c r="AL108" s="289" t="str">
        <f t="shared" ca="1" si="310"/>
        <v>Bélgica</v>
      </c>
      <c r="AM108" s="290">
        <f t="shared" ref="AM108:AT108" ca="1" si="323">+IF($H$113&gt;=48,INDEX($BE$58:$BN$69,MATCH($AL108,$BD$58:$BD$69,0),MATCH(AM$5,$BE$57:$BN$57,0)),$BB64)</f>
        <v>2</v>
      </c>
      <c r="AN108" s="291">
        <f t="shared" ca="1" si="323"/>
        <v>2</v>
      </c>
      <c r="AO108" s="291">
        <f t="shared" ca="1" si="323"/>
        <v>0</v>
      </c>
      <c r="AP108" s="291">
        <f t="shared" ca="1" si="323"/>
        <v>2</v>
      </c>
      <c r="AQ108" s="291">
        <f t="shared" ca="1" si="323"/>
        <v>0</v>
      </c>
      <c r="AR108" s="291">
        <f t="shared" ca="1" si="323"/>
        <v>1</v>
      </c>
      <c r="AS108" s="291">
        <f t="shared" ca="1" si="323"/>
        <v>1</v>
      </c>
      <c r="AT108" s="292">
        <f t="shared" ca="1" si="323"/>
        <v>0</v>
      </c>
      <c r="AU108" s="420" t="str">
        <f t="shared" ca="1" si="312"/>
        <v/>
      </c>
      <c r="AV108" s="217" t="str">
        <f t="shared" ca="1" si="313"/>
        <v>Bélgica</v>
      </c>
      <c r="AW108" s="427"/>
      <c r="AX108" s="288"/>
      <c r="AY108" s="293"/>
      <c r="AZ108" s="294" t="str">
        <f t="shared" ca="1" si="315"/>
        <v>1I - 3F</v>
      </c>
      <c r="BA108" s="175"/>
      <c r="BB108" s="738"/>
      <c r="BC108" s="738"/>
      <c r="BD108" s="738"/>
      <c r="BE108" s="744"/>
      <c r="BF108" s="738" t="str">
        <f t="shared" ca="1" si="316"/>
        <v>H</v>
      </c>
      <c r="BG108" s="738">
        <f t="shared" ca="1" si="317"/>
        <v>6</v>
      </c>
      <c r="BH108" s="738"/>
      <c r="BI108" s="738">
        <v>6</v>
      </c>
      <c r="BJ108" s="738" t="str">
        <f t="shared" ca="1" si="318"/>
        <v>H</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8</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22"/>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e" cm="1" vm="4">
        <f t="array" aca="1" ref="AK109" ca="1">Ver_flag_visit</f>
        <v>#VALUE!</v>
      </c>
      <c r="AL109" s="289" t="str">
        <f t="shared" ca="1" si="310"/>
        <v>República Checa</v>
      </c>
      <c r="AM109" s="290">
        <f t="shared" ref="AM109:AT109" ca="1" si="324">+IF($H$113&gt;=48,INDEX($BE$58:$BN$69,MATCH($AL109,$BD$58:$BD$69,0),MATCH(AM$5,$BE$57:$BN$57,0)),$BB65)</f>
        <v>1</v>
      </c>
      <c r="AN109" s="291">
        <f t="shared" ca="1" si="324"/>
        <v>2</v>
      </c>
      <c r="AO109" s="291">
        <f t="shared" ca="1" si="324"/>
        <v>0</v>
      </c>
      <c r="AP109" s="291">
        <f t="shared" ca="1" si="324"/>
        <v>1</v>
      </c>
      <c r="AQ109" s="291">
        <f t="shared" ca="1" si="324"/>
        <v>1</v>
      </c>
      <c r="AR109" s="291">
        <f t="shared" ca="1" si="324"/>
        <v>2</v>
      </c>
      <c r="AS109" s="291">
        <f t="shared" ca="1" si="324"/>
        <v>3</v>
      </c>
      <c r="AT109" s="292">
        <f t="shared" ca="1" si="324"/>
        <v>-1</v>
      </c>
      <c r="AU109" s="420" t="str">
        <f t="shared" ca="1" si="312"/>
        <v/>
      </c>
      <c r="AV109" s="217" t="str">
        <f t="shared" ca="1" si="313"/>
        <v>República Checa</v>
      </c>
      <c r="AW109" s="427"/>
      <c r="AX109" s="288"/>
      <c r="AY109" s="293"/>
      <c r="AZ109" s="294" t="str">
        <f t="shared" ca="1" si="315"/>
        <v>1K - 3L</v>
      </c>
      <c r="BA109" s="175"/>
      <c r="BB109" s="738"/>
      <c r="BC109" s="738"/>
      <c r="BD109" s="738"/>
      <c r="BE109" s="744"/>
      <c r="BF109" s="738" t="str">
        <f t="shared" ca="1" si="316"/>
        <v>G</v>
      </c>
      <c r="BG109" s="738">
        <f t="shared" ca="1" si="317"/>
        <v>5</v>
      </c>
      <c r="BH109" s="738"/>
      <c r="BI109" s="738">
        <v>7</v>
      </c>
      <c r="BJ109" s="738" t="str">
        <f t="shared" ca="1" si="318"/>
        <v>J</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8</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22"/>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e" cm="1" vm="42">
        <f t="array" aca="1" ref="AK110" ca="1">Ver_flag_visit</f>
        <v>#VALUE!</v>
      </c>
      <c r="AL110" s="289" t="str">
        <f t="shared" ca="1" si="310"/>
        <v>RD Congo</v>
      </c>
      <c r="AM110" s="290">
        <f t="shared" ref="AM110:AT110" ca="1" si="325">+IF($H$113&gt;=48,INDEX($BE$58:$BN$69,MATCH($AL110,$BD$58:$BD$69,0),MATCH(AM$5,$BE$57:$BN$57,0)),$BB66)</f>
        <v>1</v>
      </c>
      <c r="AN110" s="291">
        <f t="shared" ca="1" si="325"/>
        <v>2</v>
      </c>
      <c r="AO110" s="291">
        <f t="shared" ca="1" si="325"/>
        <v>0</v>
      </c>
      <c r="AP110" s="291">
        <f t="shared" ca="1" si="325"/>
        <v>1</v>
      </c>
      <c r="AQ110" s="291">
        <f t="shared" ca="1" si="325"/>
        <v>1</v>
      </c>
      <c r="AR110" s="291">
        <f t="shared" ca="1" si="325"/>
        <v>1</v>
      </c>
      <c r="AS110" s="291">
        <f t="shared" ca="1" si="325"/>
        <v>2</v>
      </c>
      <c r="AT110" s="292">
        <f t="shared" ca="1" si="325"/>
        <v>-1</v>
      </c>
      <c r="AU110" s="420" t="str">
        <f t="shared" ca="1" si="312"/>
        <v/>
      </c>
      <c r="AV110" s="217" t="str">
        <f t="shared" ca="1" si="313"/>
        <v>RD Congo</v>
      </c>
      <c r="AW110" s="427"/>
      <c r="AX110" s="288"/>
      <c r="AY110" s="293"/>
      <c r="AZ110" s="294" t="str">
        <f t="shared" ca="1" si="315"/>
        <v>1L - 3H</v>
      </c>
      <c r="BA110" s="175"/>
      <c r="BB110" s="738"/>
      <c r="BC110" s="738"/>
      <c r="BD110" s="738"/>
      <c r="BE110" s="744"/>
      <c r="BF110" s="738" t="str">
        <f t="shared" ca="1" si="316"/>
        <v>A</v>
      </c>
      <c r="BG110" s="738">
        <f t="shared" ca="1" si="317"/>
        <v>1</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8</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22"/>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e" cm="1" vm="20">
        <f t="array" aca="1" ref="AK111" ca="1">Ver_flag_visit</f>
        <v>#VALUE!</v>
      </c>
      <c r="AL111" s="289" t="str">
        <f t="shared" ca="1" si="310"/>
        <v>Ecuador</v>
      </c>
      <c r="AM111" s="290">
        <f t="shared" ref="AM111:AT111" ca="1" si="326">+IF($H$113&gt;=48,INDEX($BE$58:$BN$69,MATCH($AL111,$BD$58:$BD$69,0),MATCH(AM$5,$BE$57:$BN$57,0)),$BB67)</f>
        <v>1</v>
      </c>
      <c r="AN111" s="291">
        <f t="shared" ca="1" si="326"/>
        <v>2</v>
      </c>
      <c r="AO111" s="291">
        <f t="shared" ca="1" si="326"/>
        <v>0</v>
      </c>
      <c r="AP111" s="291">
        <f t="shared" ca="1" si="326"/>
        <v>1</v>
      </c>
      <c r="AQ111" s="291">
        <f t="shared" ca="1" si="326"/>
        <v>1</v>
      </c>
      <c r="AR111" s="291">
        <f t="shared" ca="1" si="326"/>
        <v>0</v>
      </c>
      <c r="AS111" s="291">
        <f t="shared" ca="1" si="326"/>
        <v>1</v>
      </c>
      <c r="AT111" s="292">
        <f t="shared" ca="1" si="326"/>
        <v>-1</v>
      </c>
      <c r="AU111" s="420" t="str">
        <f t="shared" ca="1" si="312"/>
        <v/>
      </c>
      <c r="AV111" s="217" t="str">
        <f t="shared" ca="1" si="313"/>
        <v>Ecuador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8</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22"/>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e" cm="1" vm="6">
        <f t="array" aca="1" ref="AK112" ca="1">Ver_flag_visit</f>
        <v>#VALUE!</v>
      </c>
      <c r="AL112" s="289" t="str">
        <f t="shared" ca="1" si="310"/>
        <v>Bosnia y Herzegovina</v>
      </c>
      <c r="AM112" s="290">
        <f t="shared" ref="AM112:AT112" ca="1" si="327">+IF($H$113&gt;=48,INDEX($BE$58:$BN$69,MATCH($AL112,$BD$58:$BD$69,0),MATCH(AM$5,$BE$57:$BN$57,0)),$BB68)</f>
        <v>1</v>
      </c>
      <c r="AN112" s="291">
        <f t="shared" ca="1" si="327"/>
        <v>2</v>
      </c>
      <c r="AO112" s="291">
        <f t="shared" ca="1" si="327"/>
        <v>0</v>
      </c>
      <c r="AP112" s="291">
        <f t="shared" ca="1" si="327"/>
        <v>1</v>
      </c>
      <c r="AQ112" s="291">
        <f t="shared" ca="1" si="327"/>
        <v>1</v>
      </c>
      <c r="AR112" s="291">
        <f t="shared" ca="1" si="327"/>
        <v>2</v>
      </c>
      <c r="AS112" s="291">
        <f t="shared" ca="1" si="327"/>
        <v>5</v>
      </c>
      <c r="AT112" s="292">
        <f t="shared" ca="1" si="327"/>
        <v>-3</v>
      </c>
      <c r="AU112" s="420" t="str">
        <f t="shared" ca="1" si="312"/>
        <v/>
      </c>
      <c r="AV112" s="217" t="str">
        <f t="shared" ca="1" si="313"/>
        <v>Bosnia y Herzegovina</v>
      </c>
      <c r="AW112" s="427"/>
      <c r="AX112" s="288"/>
      <c r="AY112" s="295"/>
      <c r="AZ112" s="295"/>
      <c r="BA112" s="175"/>
      <c r="BB112" s="738"/>
      <c r="BC112" s="738"/>
      <c r="BD112" s="746"/>
      <c r="BE112" s="738"/>
      <c r="BF112" s="738"/>
      <c r="BG112" s="738"/>
      <c r="BH112" s="738"/>
      <c r="BI112" s="738" t="str">
        <f ca="1">IFERROR(CONCATENATE(BJ103,BJ104,BJ105,BJ106,BJ107,BJ108,BJ109,BJ110),"¿A/B/C/D/E/F/G/H/I/J/K/L?")</f>
        <v>ACDFGHJL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96</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22"/>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e" cm="1" vm="34">
        <f t="array" aca="1" ref="AK113" ca="1">Ver_flag_visit</f>
        <v>#VALUE!</v>
      </c>
      <c r="AL113" s="236" t="str">
        <f t="shared" ca="1" si="310"/>
        <v>Senegal</v>
      </c>
      <c r="AM113" s="237">
        <f t="shared" ref="AM113:AT113" ca="1" si="328">+IF($H$113&gt;=48,INDEX($BE$58:$BN$69,MATCH($AL113,$BD$58:$BD$69,0),MATCH(AM$5,$BE$57:$BN$57,0)),$BB69)</f>
        <v>0</v>
      </c>
      <c r="AN113" s="238">
        <f t="shared" ca="1" si="328"/>
        <v>2</v>
      </c>
      <c r="AO113" s="238">
        <f t="shared" ca="1" si="328"/>
        <v>0</v>
      </c>
      <c r="AP113" s="238">
        <f t="shared" ca="1" si="328"/>
        <v>0</v>
      </c>
      <c r="AQ113" s="238">
        <f t="shared" ca="1" si="328"/>
        <v>2</v>
      </c>
      <c r="AR113" s="238">
        <f t="shared" ca="1" si="328"/>
        <v>3</v>
      </c>
      <c r="AS113" s="238">
        <f t="shared" ca="1" si="328"/>
        <v>6</v>
      </c>
      <c r="AT113" s="239">
        <f t="shared" ca="1" si="328"/>
        <v>-3</v>
      </c>
      <c r="AU113" s="420" t="str">
        <f t="shared" ca="1" si="312"/>
        <v/>
      </c>
      <c r="AV113" s="217" t="str">
        <f t="shared" ca="1" si="313"/>
        <v>Senegal</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22"/>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22"/>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23"/>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3C</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3G</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3J</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24"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24"/>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24"/>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24"/>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24"/>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3H</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24"/>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24"/>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25"/>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6"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6"/>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6"/>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7"/>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8"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9"/>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7" t="str">
        <f>IF(SUM(COUNTIF(AG4:AG97,0),COUNTIF(AG101:AG160,0)&gt;0),AL148,AL149)</f>
        <v>MUNDIAL EN CURSO</v>
      </c>
      <c r="AK151" s="838"/>
      <c r="AL151" s="838"/>
      <c r="AM151" s="838"/>
      <c r="AN151" s="838"/>
      <c r="AO151" s="838"/>
      <c r="AP151" s="838"/>
      <c r="AQ151" s="838"/>
      <c r="AR151" s="838"/>
      <c r="AS151" s="838"/>
      <c r="AT151" s="838"/>
      <c r="AU151" s="839"/>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40"/>
      <c r="AK152" s="841"/>
      <c r="AL152" s="841"/>
      <c r="AM152" s="841"/>
      <c r="AN152" s="841"/>
      <c r="AO152" s="841"/>
      <c r="AP152" s="841"/>
      <c r="AQ152" s="841"/>
      <c r="AR152" s="841"/>
      <c r="AS152" s="841"/>
      <c r="AT152" s="841"/>
      <c r="AU152" s="842"/>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40"/>
      <c r="AK153" s="841"/>
      <c r="AL153" s="841"/>
      <c r="AM153" s="841"/>
      <c r="AN153" s="841"/>
      <c r="AO153" s="841"/>
      <c r="AP153" s="841"/>
      <c r="AQ153" s="841"/>
      <c r="AR153" s="841"/>
      <c r="AS153" s="841"/>
      <c r="AT153" s="841"/>
      <c r="AU153" s="842"/>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40"/>
      <c r="AK154" s="841"/>
      <c r="AL154" s="841"/>
      <c r="AM154" s="841"/>
      <c r="AN154" s="841"/>
      <c r="AO154" s="841"/>
      <c r="AP154" s="841"/>
      <c r="AQ154" s="841"/>
      <c r="AR154" s="841"/>
      <c r="AS154" s="841"/>
      <c r="AT154" s="841"/>
      <c r="AU154" s="842"/>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04" t="str">
        <f>IF(SUM(COUNTIF(AG4:AG97,0),COUNTIF(AG101:AG160,0)&gt;0),AM148,AM149)</f>
        <v>Todavía hay emoción</v>
      </c>
      <c r="AK155" s="805"/>
      <c r="AL155" s="805"/>
      <c r="AM155" s="805"/>
      <c r="AN155" s="805"/>
      <c r="AO155" s="805"/>
      <c r="AP155" s="805"/>
      <c r="AQ155" s="805"/>
      <c r="AR155" s="805"/>
      <c r="AS155" s="805"/>
      <c r="AT155" s="805"/>
      <c r="AU155" s="806"/>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04"/>
      <c r="AK156" s="805"/>
      <c r="AL156" s="805"/>
      <c r="AM156" s="805"/>
      <c r="AN156" s="805"/>
      <c r="AO156" s="805"/>
      <c r="AP156" s="805"/>
      <c r="AQ156" s="805"/>
      <c r="AR156" s="805"/>
      <c r="AS156" s="805"/>
      <c r="AT156" s="805"/>
      <c r="AU156" s="806"/>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7"/>
      <c r="AK157" s="808"/>
      <c r="AL157" s="808"/>
      <c r="AM157" s="808"/>
      <c r="AN157" s="808"/>
      <c r="AO157" s="808"/>
      <c r="AP157" s="808"/>
      <c r="AQ157" s="808"/>
      <c r="AR157" s="808"/>
      <c r="AS157" s="808"/>
      <c r="AT157" s="808"/>
      <c r="AU157" s="809"/>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23</v>
      </c>
      <c r="T1" s="87"/>
      <c r="U1" s="65"/>
      <c r="V1" s="87">
        <f ca="1">+IFERROR(RANK(V2,OFFSET($S$2,0,0,1,$D$5*3),0),"-")</f>
        <v>25</v>
      </c>
      <c r="W1" s="87"/>
      <c r="X1" s="65"/>
      <c r="Y1" s="87">
        <f ca="1">+IFERROR(RANK(Y2,OFFSET($S$2,0,0,1,$D$5*3),0),"-")</f>
        <v>8</v>
      </c>
      <c r="Z1" s="87"/>
      <c r="AA1" s="65"/>
      <c r="AB1" s="87">
        <f ca="1">+IFERROR(RANK(AB2,OFFSET($S$2,0,0,1,$D$5*3),0),"-")</f>
        <v>4</v>
      </c>
      <c r="AC1" s="87"/>
      <c r="AD1" s="65"/>
      <c r="AE1" s="87">
        <f ca="1">+IFERROR(RANK(AE2,OFFSET($S$2,0,0,1,$D$5*3),0),"-")</f>
        <v>32</v>
      </c>
      <c r="AF1" s="87"/>
      <c r="AG1" s="65"/>
      <c r="AH1" s="87">
        <f ca="1">+IFERROR(RANK(AH2,OFFSET($S$2,0,0,1,$D$5*3),0),"-")</f>
        <v>17</v>
      </c>
      <c r="AI1" s="87"/>
      <c r="AJ1" s="65"/>
      <c r="AK1" s="87">
        <f ca="1">+IFERROR(RANK(AK2,OFFSET($S$2,0,0,1,$D$5*3),0),"-")</f>
        <v>29</v>
      </c>
      <c r="AL1" s="87"/>
      <c r="AM1" s="65"/>
      <c r="AN1" s="87">
        <f ca="1">+IFERROR(RANK(AN2,OFFSET($S$2,0,0,1,$D$5*3),0),"-")</f>
        <v>18</v>
      </c>
      <c r="AO1" s="87"/>
      <c r="AP1" s="65"/>
      <c r="AQ1" s="87">
        <f ca="1">+IFERROR(RANK(AQ2,OFFSET($S$2,0,0,1,$D$5*3),0),"-")</f>
        <v>1</v>
      </c>
      <c r="AR1" s="87"/>
      <c r="AS1" s="65"/>
      <c r="AT1" s="87">
        <f ca="1">+IFERROR(RANK(AT2,OFFSET($S$2,0,0,1,$D$5*3),0),"-")</f>
        <v>35</v>
      </c>
      <c r="AU1" s="87"/>
      <c r="AV1" s="65"/>
      <c r="AW1" s="87">
        <f ca="1">+IFERROR(RANK(AW2,OFFSET($S$2,0,0,1,$D$5*3),0),"-")</f>
        <v>37</v>
      </c>
      <c r="AX1" s="87"/>
      <c r="AY1" s="65"/>
      <c r="AZ1" s="87">
        <f ca="1">+IFERROR(RANK(AZ2,OFFSET($S$2,0,0,1,$D$5*3),0),"-")</f>
        <v>30</v>
      </c>
      <c r="BA1" s="87"/>
      <c r="BB1" s="65"/>
      <c r="BC1" s="87">
        <f ca="1">+IFERROR(RANK(BC2,OFFSET($S$2,0,0,1,$D$5*3),0),"-")</f>
        <v>19</v>
      </c>
      <c r="BD1" s="87"/>
      <c r="BE1" s="65"/>
      <c r="BF1" s="87">
        <f ca="1">+IFERROR(RANK(BF2,OFFSET($S$2,0,0,1,$D$5*3),0),"-")</f>
        <v>14</v>
      </c>
      <c r="BG1" s="87"/>
      <c r="BH1" s="65"/>
      <c r="BI1" s="87">
        <f ca="1">+IFERROR(RANK(BI2,OFFSET($S$2,0,0,1,$D$5*3),0),"-")</f>
        <v>9</v>
      </c>
      <c r="BJ1" s="87"/>
      <c r="BK1" s="65"/>
      <c r="BL1" s="87">
        <f ca="1">+IFERROR(RANK(BL2,OFFSET($S$2,0,0,1,$D$5*3),0),"-")</f>
        <v>12</v>
      </c>
      <c r="BM1" s="87"/>
      <c r="BN1" s="65"/>
      <c r="BO1" s="87">
        <f ca="1">+IFERROR(RANK(BO2,OFFSET($S$2,0,0,1,$D$5*3),0),"-")</f>
        <v>6</v>
      </c>
      <c r="BP1" s="87"/>
      <c r="BQ1" s="65"/>
      <c r="BR1" s="87">
        <f ca="1">+IFERROR(RANK(BR2,OFFSET($S$2,0,0,1,$D$5*3),0),"-")</f>
        <v>5</v>
      </c>
      <c r="BS1" s="87"/>
      <c r="BT1" s="65"/>
      <c r="BU1" s="87">
        <f ca="1">+IFERROR(RANK(BU2,OFFSET($S$2,0,0,1,$D$5*3),0),"-")</f>
        <v>38</v>
      </c>
      <c r="BV1" s="87"/>
      <c r="BW1" s="65"/>
      <c r="BX1" s="87">
        <f ca="1">+IFERROR(RANK(BX2,OFFSET($S$2,0,0,1,$D$5*3),0),"-")</f>
        <v>20</v>
      </c>
      <c r="BY1" s="87"/>
      <c r="BZ1" s="65"/>
      <c r="CA1" s="87">
        <f ca="1">+IFERROR(RANK(CA2,OFFSET($S$2,0,0,1,$D$5*3),0),"-")</f>
        <v>26</v>
      </c>
      <c r="CB1" s="87"/>
      <c r="CC1" s="65"/>
      <c r="CD1" s="87">
        <f ca="1">+IFERROR(RANK(CD2,OFFSET($S$2,0,0,1,$D$5*3),0),"-")</f>
        <v>10</v>
      </c>
      <c r="CE1" s="87"/>
      <c r="CF1" s="65"/>
      <c r="CG1" s="87">
        <f ca="1">+IFERROR(RANK(CG2,OFFSET($S$2,0,0,1,$D$5*3),0),"-")</f>
        <v>39</v>
      </c>
      <c r="CH1" s="87"/>
      <c r="CI1" s="65"/>
      <c r="CJ1" s="87">
        <f ca="1">+IFERROR(RANK(CJ2,OFFSET($S$2,0,0,1,$D$5*3),0),"-")</f>
        <v>7</v>
      </c>
      <c r="CK1" s="87"/>
      <c r="CL1" s="65"/>
      <c r="CM1" s="87">
        <f ca="1">+IFERROR(RANK(CM2,OFFSET($S$2,0,0,1,$D$5*3),0),"-")</f>
        <v>27</v>
      </c>
      <c r="CN1" s="87"/>
      <c r="CO1" s="65"/>
      <c r="CP1" s="87">
        <f ca="1">+IFERROR(RANK(CP2,OFFSET($S$2,0,0,1,$D$5*3),0),"-")</f>
        <v>24</v>
      </c>
      <c r="CQ1" s="87"/>
      <c r="CR1" s="65"/>
      <c r="CS1" s="87">
        <f ca="1">+IFERROR(RANK(CS2,OFFSET($S$2,0,0,1,$D$5*3),0),"-")</f>
        <v>36</v>
      </c>
      <c r="CT1" s="87"/>
      <c r="CU1" s="65"/>
      <c r="CV1" s="87">
        <f ca="1">+IFERROR(RANK(CV2,OFFSET($S$2,0,0,1,$D$5*3),0),"-")</f>
        <v>11</v>
      </c>
      <c r="CW1" s="87"/>
      <c r="CX1" s="65"/>
      <c r="CY1" s="87">
        <f ca="1">+IFERROR(RANK(CY2,OFFSET($S$2,0,0,1,$D$5*3),0),"-")</f>
        <v>33</v>
      </c>
      <c r="CZ1" s="87"/>
      <c r="DA1" s="65"/>
      <c r="DB1" s="87">
        <f ca="1">+IFERROR(RANK(DB2,OFFSET($S$2,0,0,1,$D$5*3),0),"-")</f>
        <v>15</v>
      </c>
      <c r="DC1" s="87"/>
      <c r="DD1" s="65"/>
      <c r="DE1" s="87">
        <f ca="1">+IFERROR(RANK(DE2,OFFSET($S$2,0,0,1,$D$5*3),0),"-")</f>
        <v>28</v>
      </c>
      <c r="DF1" s="87"/>
      <c r="DG1" s="65"/>
      <c r="DH1" s="87">
        <f ca="1">+IFERROR(RANK(DH2,OFFSET($S$2,0,0,1,$D$5*3),0),"-")</f>
        <v>31</v>
      </c>
      <c r="DI1" s="87"/>
      <c r="DJ1" s="65"/>
      <c r="DK1" s="87">
        <f ca="1">+IFERROR(RANK(DK2,OFFSET($S$2,0,0,1,$D$5*3),0),"-")</f>
        <v>3</v>
      </c>
      <c r="DL1" s="87"/>
      <c r="DM1" s="65"/>
      <c r="DN1" s="87">
        <f ca="1">+IFERROR(RANK(DN2,OFFSET($S$2,0,0,1,$D$5*3),0),"-")</f>
        <v>40</v>
      </c>
      <c r="DO1" s="87"/>
      <c r="DP1" s="65"/>
      <c r="DQ1" s="87">
        <f ca="1">+IFERROR(RANK(DQ2,OFFSET($S$2,0,0,1,$D$5*3),0),"-")</f>
        <v>41</v>
      </c>
      <c r="DR1" s="87"/>
      <c r="DS1" s="65"/>
      <c r="DT1" s="87">
        <f ca="1">+IFERROR(RANK(DT2,OFFSET($S$2,0,0,1,$D$5*3),0),"-")</f>
        <v>13</v>
      </c>
      <c r="DU1" s="87"/>
      <c r="DV1" s="65"/>
      <c r="DW1" s="87">
        <f ca="1">+IFERROR(RANK(DW2,OFFSET($S$2,0,0,1,$D$5*3),0),"-")</f>
        <v>2</v>
      </c>
      <c r="DX1" s="87"/>
      <c r="DY1" s="65"/>
      <c r="DZ1" s="87">
        <f ca="1">+IFERROR(RANK(DZ2,OFFSET($S$2,0,0,1,$D$5*3),0),"-")</f>
        <v>34</v>
      </c>
      <c r="EA1" s="87"/>
      <c r="EB1" s="65"/>
      <c r="EC1" s="87">
        <f ca="1">+IFERROR(RANK(EC2,OFFSET($S$2,0,0,1,$D$5*3),0),"-")</f>
        <v>21</v>
      </c>
      <c r="ED1" s="87"/>
      <c r="EE1" s="65"/>
      <c r="EF1" s="87">
        <f ca="1">+IFERROR(RANK(EF2,OFFSET($S$2,0,0,1,$D$5*3),0),"-")</f>
        <v>22</v>
      </c>
      <c r="EG1" s="87"/>
      <c r="EH1" s="65"/>
      <c r="EI1" s="87">
        <f ca="1">+IFERROR(RANK(EI2,OFFSET($S$2,0,0,1,$D$5*3),0),"-")</f>
        <v>16</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44.998100000000001</v>
      </c>
      <c r="T2" s="87"/>
      <c r="U2" s="65"/>
      <c r="V2" s="87">
        <f t="shared" ref="V2" ca="1" si="0">V4-(COLUMN()/10000)</f>
        <v>43.997799999999998</v>
      </c>
      <c r="W2" s="87"/>
      <c r="X2" s="65"/>
      <c r="Y2" s="87">
        <f t="shared" ref="Y2" ca="1" si="1">Y4-(COLUMN()/10000)</f>
        <v>53.997500000000002</v>
      </c>
      <c r="Z2" s="87"/>
      <c r="AA2" s="65"/>
      <c r="AB2" s="87">
        <f t="shared" ref="AB2" ca="1" si="2">AB4-(COLUMN()/10000)</f>
        <v>55.997199999999999</v>
      </c>
      <c r="AC2" s="87"/>
      <c r="AD2" s="65"/>
      <c r="AE2" s="87">
        <f t="shared" ref="AE2" ca="1" si="3">AE4-(COLUMN()/10000)</f>
        <v>40.996899999999997</v>
      </c>
      <c r="AF2" s="87"/>
      <c r="AG2" s="65"/>
      <c r="AH2" s="87">
        <f t="shared" ref="AH2" ca="1" si="4">AH4-(COLUMN()/10000)</f>
        <v>47.996600000000001</v>
      </c>
      <c r="AI2" s="87"/>
      <c r="AJ2" s="65"/>
      <c r="AK2" s="87">
        <f t="shared" ref="AK2" ca="1" si="5">AK4-(COLUMN()/10000)</f>
        <v>41.996299999999998</v>
      </c>
      <c r="AL2" s="87"/>
      <c r="AM2" s="65"/>
      <c r="AN2" s="87">
        <f t="shared" ref="AN2" ca="1" si="6">AN4-(COLUMN()/10000)</f>
        <v>46.996000000000002</v>
      </c>
      <c r="AO2" s="87"/>
      <c r="AP2" s="65"/>
      <c r="AQ2" s="87">
        <f t="shared" ref="AQ2" ca="1" si="7">AQ4-(COLUMN()/10000)</f>
        <v>64.995699999999999</v>
      </c>
      <c r="AR2" s="87"/>
      <c r="AS2" s="65"/>
      <c r="AT2" s="87">
        <f t="shared" ref="AT2" ca="1" si="8">AT4-(COLUMN()/10000)</f>
        <v>39.995399999999997</v>
      </c>
      <c r="AU2" s="87"/>
      <c r="AV2" s="65"/>
      <c r="AW2" s="87">
        <f t="shared" ref="AW2" ca="1" si="9">AW4-(COLUMN()/10000)</f>
        <v>37.995100000000001</v>
      </c>
      <c r="AX2" s="87"/>
      <c r="AY2" s="65"/>
      <c r="AZ2" s="87">
        <f t="shared" ref="AZ2" ca="1" si="10">AZ4-(COLUMN()/10000)</f>
        <v>41.994799999999998</v>
      </c>
      <c r="BA2" s="87"/>
      <c r="BB2" s="65"/>
      <c r="BC2" s="87">
        <f t="shared" ref="BC2" ca="1" si="11">BC4-(COLUMN()/10000)</f>
        <v>46.994500000000002</v>
      </c>
      <c r="BD2" s="87"/>
      <c r="BE2" s="65"/>
      <c r="BF2" s="87">
        <f t="shared" ref="BF2" ca="1" si="12">BF4-(COLUMN()/10000)</f>
        <v>49.994199999999999</v>
      </c>
      <c r="BG2" s="87"/>
      <c r="BH2" s="65"/>
      <c r="BI2" s="87">
        <f t="shared" ref="BI2" ca="1" si="13">BI4-(COLUMN()/10000)</f>
        <v>53.993899999999996</v>
      </c>
      <c r="BJ2" s="87"/>
      <c r="BK2" s="65"/>
      <c r="BL2" s="87">
        <f t="shared" ref="BL2" ca="1" si="14">BL4-(COLUMN()/10000)</f>
        <v>51.993600000000001</v>
      </c>
      <c r="BM2" s="87"/>
      <c r="BN2" s="65"/>
      <c r="BO2" s="87">
        <f t="shared" ref="BO2" ca="1" si="15">BO4-(COLUMN()/10000)</f>
        <v>54.993299999999998</v>
      </c>
      <c r="BP2" s="87"/>
      <c r="BQ2" s="65"/>
      <c r="BR2" s="87">
        <f t="shared" ref="BR2" ca="1" si="16">BR4-(COLUMN()/10000)</f>
        <v>55.993000000000002</v>
      </c>
      <c r="BS2" s="87"/>
      <c r="BT2" s="65"/>
      <c r="BU2" s="87">
        <f t="shared" ref="BU2" ca="1" si="17">BU4-(COLUMN()/10000)</f>
        <v>37.992699999999999</v>
      </c>
      <c r="BV2" s="87"/>
      <c r="BW2" s="65"/>
      <c r="BX2" s="87">
        <f t="shared" ref="BX2" ca="1" si="18">BX4-(COLUMN()/10000)</f>
        <v>46.992400000000004</v>
      </c>
      <c r="BY2" s="87"/>
      <c r="BZ2" s="65"/>
      <c r="CA2" s="87">
        <f t="shared" ref="CA2" ca="1" si="19">CA4-(COLUMN()/10000)</f>
        <v>42.992100000000001</v>
      </c>
      <c r="CB2" s="87"/>
      <c r="CC2" s="65"/>
      <c r="CD2" s="87">
        <f t="shared" ref="CD2" ca="1" si="20">CD4-(COLUMN()/10000)</f>
        <v>53.991799999999998</v>
      </c>
      <c r="CE2" s="87"/>
      <c r="CF2" s="65"/>
      <c r="CG2" s="87">
        <f t="shared" ref="CG2" ca="1" si="21">CG4-(COLUMN()/10000)</f>
        <v>36.991500000000002</v>
      </c>
      <c r="CH2" s="87"/>
      <c r="CI2" s="65"/>
      <c r="CJ2" s="87">
        <f t="shared" ref="CJ2" ca="1" si="22">CJ4-(COLUMN()/10000)</f>
        <v>54.991199999999999</v>
      </c>
      <c r="CK2" s="87"/>
      <c r="CL2" s="65"/>
      <c r="CM2" s="87">
        <f t="shared" ref="CM2" ca="1" si="23">CM4-(COLUMN()/10000)</f>
        <v>42.990900000000003</v>
      </c>
      <c r="CN2" s="87"/>
      <c r="CO2" s="65"/>
      <c r="CP2" s="87">
        <f t="shared" ref="CP2" ca="1" si="24">CP4-(COLUMN()/10000)</f>
        <v>44.990600000000001</v>
      </c>
      <c r="CQ2" s="87"/>
      <c r="CR2" s="65"/>
      <c r="CS2" s="87">
        <f t="shared" ref="CS2" ca="1" si="25">CS4-(COLUMN()/10000)</f>
        <v>39.990299999999998</v>
      </c>
      <c r="CT2" s="87"/>
      <c r="CU2" s="65"/>
      <c r="CV2" s="87">
        <f t="shared" ref="CV2" ca="1" si="26">CV4-(COLUMN()/10000)</f>
        <v>52.99</v>
      </c>
      <c r="CW2" s="87"/>
      <c r="CX2" s="65"/>
      <c r="CY2" s="87">
        <f t="shared" ref="CY2" ca="1" si="27">CY4-(COLUMN()/10000)</f>
        <v>40.989699999999999</v>
      </c>
      <c r="CZ2" s="87"/>
      <c r="DA2" s="65"/>
      <c r="DB2" s="87">
        <f t="shared" ref="DB2" ca="1" si="28">DB4-(COLUMN()/10000)</f>
        <v>49.989400000000003</v>
      </c>
      <c r="DC2" s="87"/>
      <c r="DD2" s="65"/>
      <c r="DE2" s="87">
        <f t="shared" ref="DE2" ca="1" si="29">DE4-(COLUMN()/10000)</f>
        <v>42.989100000000001</v>
      </c>
      <c r="DF2" s="87"/>
      <c r="DG2" s="65"/>
      <c r="DH2" s="87">
        <f t="shared" ref="DH2" ca="1" si="30">DH4-(COLUMN()/10000)</f>
        <v>41.988799999999998</v>
      </c>
      <c r="DI2" s="87"/>
      <c r="DJ2" s="65"/>
      <c r="DK2" s="87">
        <f t="shared" ref="DK2" ca="1" si="31">DK4-(COLUMN()/10000)</f>
        <v>56.988500000000002</v>
      </c>
      <c r="DL2" s="87"/>
      <c r="DM2" s="65"/>
      <c r="DN2" s="87">
        <f t="shared" ref="DN2" ca="1" si="32">DN4-(COLUMN()/10000)</f>
        <v>35.988199999999999</v>
      </c>
      <c r="DO2" s="87"/>
      <c r="DP2" s="65"/>
      <c r="DQ2" s="87">
        <f t="shared" ref="DQ2" ca="1" si="33">DQ4-(COLUMN()/10000)</f>
        <v>27.9879</v>
      </c>
      <c r="DR2" s="87"/>
      <c r="DS2" s="65"/>
      <c r="DT2" s="87">
        <f t="shared" ref="DT2" ca="1" si="34">DT4-(COLUMN()/10000)</f>
        <v>51.9876</v>
      </c>
      <c r="DU2" s="87"/>
      <c r="DV2" s="65"/>
      <c r="DW2" s="87">
        <f t="shared" ref="DW2" ca="1" si="35">DW4-(COLUMN()/10000)</f>
        <v>59.987299999999998</v>
      </c>
      <c r="DX2" s="87"/>
      <c r="DY2" s="65"/>
      <c r="DZ2" s="87">
        <f t="shared" ref="DZ2" ca="1" si="36">DZ4-(COLUMN()/10000)</f>
        <v>40.987000000000002</v>
      </c>
      <c r="EA2" s="87"/>
      <c r="EB2" s="65"/>
      <c r="EC2" s="87">
        <f t="shared" ref="EC2" ca="1" si="37">EC4-(COLUMN()/10000)</f>
        <v>46.986699999999999</v>
      </c>
      <c r="ED2" s="87"/>
      <c r="EE2" s="65"/>
      <c r="EF2" s="87">
        <f t="shared" ref="EF2" ca="1" si="38">EF4-(COLUMN()/10000)</f>
        <v>45.986400000000003</v>
      </c>
      <c r="EG2" s="87"/>
      <c r="EH2" s="65"/>
      <c r="EI2" s="87">
        <f t="shared" ref="EI2" ca="1" si="39">EI4-(COLUMN()/10000)</f>
        <v>48.9861</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23</v>
      </c>
      <c r="T3" s="87"/>
      <c r="U3" s="65"/>
      <c r="V3" s="87">
        <f ca="1">RANK(V4,OFFSET($S$4,0,0,1,$D$5*3),0)</f>
        <v>25</v>
      </c>
      <c r="W3" s="87"/>
      <c r="X3" s="65"/>
      <c r="Y3" s="87">
        <f ca="1">RANK(Y4,OFFSET($S$4,0,0,1,$D$5*3),0)</f>
        <v>8</v>
      </c>
      <c r="Z3" s="87"/>
      <c r="AA3" s="65"/>
      <c r="AB3" s="87">
        <f ca="1">RANK(AB4,OFFSET($S$4,0,0,1,$D$5*3),0)</f>
        <v>4</v>
      </c>
      <c r="AC3" s="87"/>
      <c r="AD3" s="65"/>
      <c r="AE3" s="87">
        <f ca="1">RANK(AE4,OFFSET($S$4,0,0,1,$D$5*3),0)</f>
        <v>32</v>
      </c>
      <c r="AF3" s="87"/>
      <c r="AG3" s="65"/>
      <c r="AH3" s="87">
        <f ca="1">RANK(AH4,OFFSET($S$4,0,0,1,$D$5*3),0)</f>
        <v>17</v>
      </c>
      <c r="AI3" s="87"/>
      <c r="AJ3" s="65"/>
      <c r="AK3" s="87">
        <f ca="1">RANK(AK4,OFFSET($S$4,0,0,1,$D$5*3),0)</f>
        <v>29</v>
      </c>
      <c r="AL3" s="87"/>
      <c r="AM3" s="65"/>
      <c r="AN3" s="87">
        <f ca="1">RANK(AN4,OFFSET($S$4,0,0,1,$D$5*3),0)</f>
        <v>18</v>
      </c>
      <c r="AO3" s="87"/>
      <c r="AP3" s="65"/>
      <c r="AQ3" s="87">
        <f ca="1">RANK(AQ4,OFFSET($S$4,0,0,1,$D$5*3),0)</f>
        <v>1</v>
      </c>
      <c r="AR3" s="87"/>
      <c r="AS3" s="65"/>
      <c r="AT3" s="87">
        <f ca="1">RANK(AT4,OFFSET($S$4,0,0,1,$D$5*3),0)</f>
        <v>35</v>
      </c>
      <c r="AU3" s="87"/>
      <c r="AV3" s="65"/>
      <c r="AW3" s="87">
        <f ca="1">RANK(AW4,OFFSET($S$4,0,0,1,$D$5*3),0)</f>
        <v>37</v>
      </c>
      <c r="AX3" s="87"/>
      <c r="AY3" s="65"/>
      <c r="AZ3" s="87">
        <f ca="1">RANK(AZ4,OFFSET($S$4,0,0,1,$D$5*3),0)</f>
        <v>29</v>
      </c>
      <c r="BA3" s="87"/>
      <c r="BB3" s="65"/>
      <c r="BC3" s="87">
        <f ca="1">RANK(BC4,OFFSET($S$4,0,0,1,$D$5*3),0)</f>
        <v>18</v>
      </c>
      <c r="BD3" s="87"/>
      <c r="BE3" s="65"/>
      <c r="BF3" s="87">
        <f ca="1">RANK(BF4,OFFSET($S$4,0,0,1,$D$5*3),0)</f>
        <v>14</v>
      </c>
      <c r="BG3" s="87"/>
      <c r="BH3" s="65"/>
      <c r="BI3" s="87">
        <f ca="1">RANK(BI4,OFFSET($S$4,0,0,1,$D$5*3),0)</f>
        <v>8</v>
      </c>
      <c r="BJ3" s="87"/>
      <c r="BK3" s="65"/>
      <c r="BL3" s="87">
        <f ca="1">RANK(BL4,OFFSET($S$4,0,0,1,$D$5*3),0)</f>
        <v>12</v>
      </c>
      <c r="BM3" s="87"/>
      <c r="BN3" s="65"/>
      <c r="BO3" s="87">
        <f ca="1">RANK(BO4,OFFSET($S$4,0,0,1,$D$5*3),0)</f>
        <v>6</v>
      </c>
      <c r="BP3" s="87"/>
      <c r="BQ3" s="65"/>
      <c r="BR3" s="87">
        <f ca="1">RANK(BR4,OFFSET($S$4,0,0,1,$D$5*3),0)</f>
        <v>4</v>
      </c>
      <c r="BS3" s="87"/>
      <c r="BT3" s="65"/>
      <c r="BU3" s="87">
        <f ca="1">RANK(BU4,OFFSET($S$4,0,0,1,$D$5*3),0)</f>
        <v>37</v>
      </c>
      <c r="BV3" s="87"/>
      <c r="BW3" s="65"/>
      <c r="BX3" s="87">
        <f ca="1">RANK(BX4,OFFSET($S$4,0,0,1,$D$5*3),0)</f>
        <v>18</v>
      </c>
      <c r="BY3" s="87"/>
      <c r="BZ3" s="65"/>
      <c r="CA3" s="87">
        <f ca="1">RANK(CA4,OFFSET($S$4,0,0,1,$D$5*3),0)</f>
        <v>26</v>
      </c>
      <c r="CB3" s="87"/>
      <c r="CC3" s="65"/>
      <c r="CD3" s="87">
        <f ca="1">RANK(CD4,OFFSET($S$4,0,0,1,$D$5*3),0)</f>
        <v>8</v>
      </c>
      <c r="CE3" s="87"/>
      <c r="CF3" s="65"/>
      <c r="CG3" s="87">
        <f ca="1">RANK(CG4,OFFSET($S$4,0,0,1,$D$5*3),0)</f>
        <v>39</v>
      </c>
      <c r="CH3" s="87"/>
      <c r="CI3" s="65"/>
      <c r="CJ3" s="87">
        <f ca="1">RANK(CJ4,OFFSET($S$4,0,0,1,$D$5*3),0)</f>
        <v>6</v>
      </c>
      <c r="CK3" s="87"/>
      <c r="CL3" s="65"/>
      <c r="CM3" s="87">
        <f ca="1">RANK(CM4,OFFSET($S$4,0,0,1,$D$5*3),0)</f>
        <v>26</v>
      </c>
      <c r="CN3" s="87"/>
      <c r="CO3" s="65"/>
      <c r="CP3" s="87">
        <f ca="1">RANK(CP4,OFFSET($S$4,0,0,1,$D$5*3),0)</f>
        <v>23</v>
      </c>
      <c r="CQ3" s="87"/>
      <c r="CR3" s="65"/>
      <c r="CS3" s="87">
        <f ca="1">RANK(CS4,OFFSET($S$4,0,0,1,$D$5*3),0)</f>
        <v>35</v>
      </c>
      <c r="CT3" s="87"/>
      <c r="CU3" s="65"/>
      <c r="CV3" s="87">
        <f ca="1">RANK(CV4,OFFSET($S$4,0,0,1,$D$5*3),0)</f>
        <v>11</v>
      </c>
      <c r="CW3" s="87"/>
      <c r="CX3" s="65"/>
      <c r="CY3" s="87">
        <f ca="1">RANK(CY4,OFFSET($S$4,0,0,1,$D$5*3),0)</f>
        <v>32</v>
      </c>
      <c r="CZ3" s="87"/>
      <c r="DA3" s="65"/>
      <c r="DB3" s="87">
        <f ca="1">RANK(DB4,OFFSET($S$4,0,0,1,$D$5*3),0)</f>
        <v>14</v>
      </c>
      <c r="DC3" s="87"/>
      <c r="DD3" s="65"/>
      <c r="DE3" s="87">
        <f ca="1">RANK(DE4,OFFSET($S$4,0,0,1,$D$5*3),0)</f>
        <v>26</v>
      </c>
      <c r="DF3" s="87"/>
      <c r="DG3" s="65"/>
      <c r="DH3" s="87">
        <f ca="1">RANK(DH4,OFFSET($S$4,0,0,1,$D$5*3),0)</f>
        <v>29</v>
      </c>
      <c r="DI3" s="87"/>
      <c r="DJ3" s="65"/>
      <c r="DK3" s="87">
        <f ca="1">RANK(DK4,OFFSET($S$4,0,0,1,$D$5*3),0)</f>
        <v>3</v>
      </c>
      <c r="DL3" s="87"/>
      <c r="DM3" s="65"/>
      <c r="DN3" s="87">
        <f ca="1">RANK(DN4,OFFSET($S$4,0,0,1,$D$5*3),0)</f>
        <v>40</v>
      </c>
      <c r="DO3" s="87"/>
      <c r="DP3" s="65"/>
      <c r="DQ3" s="87">
        <f ca="1">RANK(DQ4,OFFSET($S$4,0,0,1,$D$5*3),0)</f>
        <v>41</v>
      </c>
      <c r="DR3" s="87"/>
      <c r="DS3" s="65"/>
      <c r="DT3" s="87">
        <f ca="1">RANK(DT4,OFFSET($S$4,0,0,1,$D$5*3),0)</f>
        <v>12</v>
      </c>
      <c r="DU3" s="87"/>
      <c r="DV3" s="65"/>
      <c r="DW3" s="87">
        <f ca="1">RANK(DW4,OFFSET($S$4,0,0,1,$D$5*3),0)</f>
        <v>2</v>
      </c>
      <c r="DX3" s="87"/>
      <c r="DY3" s="65"/>
      <c r="DZ3" s="87">
        <f ca="1">RANK(DZ4,OFFSET($S$4,0,0,1,$D$5*3),0)</f>
        <v>32</v>
      </c>
      <c r="EA3" s="87"/>
      <c r="EB3" s="65"/>
      <c r="EC3" s="87">
        <f ca="1">RANK(EC4,OFFSET($S$4,0,0,1,$D$5*3),0)</f>
        <v>18</v>
      </c>
      <c r="ED3" s="87"/>
      <c r="EE3" s="65"/>
      <c r="EF3" s="87">
        <f ca="1">RANK(EF4,OFFSET($S$4,0,0,1,$D$5*3),0)</f>
        <v>22</v>
      </c>
      <c r="EG3" s="87"/>
      <c r="EH3" s="65"/>
      <c r="EI3" s="87">
        <f ca="1">RANK(EI4,OFFSET($S$4,0,0,1,$D$5*3),0)</f>
        <v>16</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45</v>
      </c>
      <c r="T4" s="68"/>
      <c r="U4" s="65"/>
      <c r="V4" s="67">
        <f ca="1">SUM(W6:W259)/2</f>
        <v>44</v>
      </c>
      <c r="W4" s="68"/>
      <c r="X4" s="65"/>
      <c r="Y4" s="67">
        <f ca="1">SUM(Z6:Z259)/2</f>
        <v>54</v>
      </c>
      <c r="Z4" s="68"/>
      <c r="AA4" s="65"/>
      <c r="AB4" s="67">
        <f ca="1">SUM(AC6:AC259)/2</f>
        <v>56</v>
      </c>
      <c r="AC4" s="68"/>
      <c r="AD4" s="65"/>
      <c r="AE4" s="67">
        <f ca="1">SUM(AF6:AF259)/2</f>
        <v>41</v>
      </c>
      <c r="AF4" s="68"/>
      <c r="AG4" s="65"/>
      <c r="AH4" s="67">
        <f ca="1">SUM(AI6:AI259)/2</f>
        <v>48</v>
      </c>
      <c r="AI4" s="68"/>
      <c r="AJ4" s="65"/>
      <c r="AK4" s="67">
        <f ca="1">SUM(AL6:AL259)/2</f>
        <v>42</v>
      </c>
      <c r="AL4" s="68"/>
      <c r="AM4" s="65"/>
      <c r="AN4" s="67">
        <f ca="1">SUM(AO6:AO259)/2</f>
        <v>47</v>
      </c>
      <c r="AO4" s="68"/>
      <c r="AP4" s="65"/>
      <c r="AQ4" s="67">
        <f ca="1">SUM(AR6:AR259)/2</f>
        <v>65</v>
      </c>
      <c r="AR4" s="68"/>
      <c r="AS4" s="65"/>
      <c r="AT4" s="67">
        <f ca="1">SUM(AU6:AU259)/2</f>
        <v>40</v>
      </c>
      <c r="AU4" s="68"/>
      <c r="AV4" s="65"/>
      <c r="AW4" s="67">
        <f ca="1">SUM(AX6:AX259)/2</f>
        <v>38</v>
      </c>
      <c r="AX4" s="68"/>
      <c r="AY4" s="65"/>
      <c r="AZ4" s="67">
        <f ca="1">SUM(BA6:BA259)/2</f>
        <v>42</v>
      </c>
      <c r="BA4" s="68"/>
      <c r="BB4" s="65"/>
      <c r="BC4" s="67">
        <f ca="1">SUM(BD6:BD259)/2</f>
        <v>47</v>
      </c>
      <c r="BD4" s="68"/>
      <c r="BE4" s="65"/>
      <c r="BF4" s="67">
        <f ca="1">SUM(BG6:BG259)/2</f>
        <v>50</v>
      </c>
      <c r="BG4" s="68"/>
      <c r="BH4" s="65"/>
      <c r="BI4" s="67">
        <f ca="1">SUM(BJ6:BJ259)/2</f>
        <v>54</v>
      </c>
      <c r="BJ4" s="68"/>
      <c r="BK4" s="65"/>
      <c r="BL4" s="67">
        <f ca="1">SUM(BM6:BM259)/2</f>
        <v>52</v>
      </c>
      <c r="BM4" s="68"/>
      <c r="BN4" s="65"/>
      <c r="BO4" s="67">
        <f ca="1">SUM(BP6:BP259)/2</f>
        <v>55</v>
      </c>
      <c r="BP4" s="68"/>
      <c r="BQ4" s="65"/>
      <c r="BR4" s="67">
        <f ca="1">SUM(BS6:BS259)/2</f>
        <v>56</v>
      </c>
      <c r="BS4" s="68"/>
      <c r="BT4" s="65"/>
      <c r="BU4" s="67">
        <f ca="1">SUM(BV6:BV259)/2</f>
        <v>38</v>
      </c>
      <c r="BV4" s="68"/>
      <c r="BW4" s="65"/>
      <c r="BX4" s="67">
        <f ca="1">SUM(BY6:BY259)/2</f>
        <v>47</v>
      </c>
      <c r="BY4" s="68"/>
      <c r="BZ4" s="65"/>
      <c r="CA4" s="67">
        <f ca="1">SUM(CB6:CB259)/2</f>
        <v>43</v>
      </c>
      <c r="CB4" s="68"/>
      <c r="CC4" s="65"/>
      <c r="CD4" s="67">
        <f ca="1">SUM(CE6:CE259)/2</f>
        <v>54</v>
      </c>
      <c r="CE4" s="68"/>
      <c r="CF4" s="65"/>
      <c r="CG4" s="67">
        <f ca="1">SUM(CH6:CH259)/2</f>
        <v>37</v>
      </c>
      <c r="CH4" s="68"/>
      <c r="CI4" s="65"/>
      <c r="CJ4" s="67">
        <f ca="1">SUM(CK6:CK259)/2</f>
        <v>55</v>
      </c>
      <c r="CK4" s="68"/>
      <c r="CL4" s="65"/>
      <c r="CM4" s="67">
        <f ca="1">SUM(CN6:CN259)/2</f>
        <v>43</v>
      </c>
      <c r="CN4" s="68"/>
      <c r="CO4" s="65"/>
      <c r="CP4" s="67">
        <f ca="1">SUM(CQ6:CQ259)/2</f>
        <v>45</v>
      </c>
      <c r="CQ4" s="68"/>
      <c r="CR4" s="65"/>
      <c r="CS4" s="67">
        <f ca="1">SUM(CT6:CT259)/2</f>
        <v>40</v>
      </c>
      <c r="CT4" s="68"/>
      <c r="CU4" s="65"/>
      <c r="CV4" s="67">
        <f ca="1">SUM(CW6:CW259)/2</f>
        <v>53</v>
      </c>
      <c r="CW4" s="68"/>
      <c r="CX4" s="65"/>
      <c r="CY4" s="67">
        <f ca="1">SUM(CZ6:CZ259)/2</f>
        <v>41</v>
      </c>
      <c r="CZ4" s="68"/>
      <c r="DA4" s="65"/>
      <c r="DB4" s="67">
        <f ca="1">SUM(DC6:DC259)/2</f>
        <v>50</v>
      </c>
      <c r="DC4" s="68"/>
      <c r="DD4" s="65"/>
      <c r="DE4" s="67">
        <f ca="1">SUM(DF6:DF259)/2</f>
        <v>43</v>
      </c>
      <c r="DF4" s="68"/>
      <c r="DG4" s="65"/>
      <c r="DH4" s="67">
        <f ca="1">SUM(DI6:DI259)/2</f>
        <v>42</v>
      </c>
      <c r="DI4" s="68"/>
      <c r="DJ4" s="65"/>
      <c r="DK4" s="67">
        <f ca="1">SUM(DL6:DL259)/2</f>
        <v>57</v>
      </c>
      <c r="DL4" s="68"/>
      <c r="DM4" s="65"/>
      <c r="DN4" s="67">
        <f ca="1">SUM(DO6:DO259)/2</f>
        <v>36</v>
      </c>
      <c r="DO4" s="68"/>
      <c r="DP4" s="65"/>
      <c r="DQ4" s="67">
        <f ca="1">SUM(DR6:DR259)/2</f>
        <v>28</v>
      </c>
      <c r="DR4" s="68"/>
      <c r="DS4" s="65"/>
      <c r="DT4" s="67">
        <f ca="1">SUM(DU6:DU259)/2</f>
        <v>52</v>
      </c>
      <c r="DU4" s="68"/>
      <c r="DV4" s="65"/>
      <c r="DW4" s="67">
        <f ca="1">SUM(DX6:DX259)/2</f>
        <v>60</v>
      </c>
      <c r="DX4" s="68"/>
      <c r="DY4" s="65"/>
      <c r="DZ4" s="67">
        <f ca="1">SUM(EA6:EA259)/2</f>
        <v>41</v>
      </c>
      <c r="EA4" s="68"/>
      <c r="EB4" s="65"/>
      <c r="EC4" s="67">
        <f ca="1">SUM(ED6:ED259)/2</f>
        <v>47</v>
      </c>
      <c r="ED4" s="68"/>
      <c r="EE4" s="65"/>
      <c r="EF4" s="67">
        <f ca="1">SUM(EG6:EG259)/2</f>
        <v>46</v>
      </c>
      <c r="EG4" s="68"/>
      <c r="EH4" s="65"/>
      <c r="EI4" s="67">
        <f ca="1">SUM(EJ6:EJ259)/2</f>
        <v>49</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
        <v>1952</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t="s">
        <v>1948</v>
      </c>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t="s">
        <v>1954</v>
      </c>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t="s">
        <v>1960</v>
      </c>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t="s">
        <v>1943</v>
      </c>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t="s">
        <v>1947</v>
      </c>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t="s">
        <v>1944</v>
      </c>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t="s">
        <v>1945</v>
      </c>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t="s">
        <v>1957</v>
      </c>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t="s">
        <v>1949</v>
      </c>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t="s">
        <v>1952</v>
      </c>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t="s">
        <v>1945</v>
      </c>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t="s">
        <v>1954</v>
      </c>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t="s">
        <v>1947</v>
      </c>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t="s">
        <v>1946</v>
      </c>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t="s">
        <v>1942</v>
      </c>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t="s">
        <v>1947</v>
      </c>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45</v>
      </c>
      <c r="U78" s="64"/>
      <c r="V78" s="82"/>
      <c r="W78" s="83">
        <f>SUM(W6:W77)</f>
        <v>44</v>
      </c>
      <c r="X78" s="64"/>
      <c r="Y78" s="82"/>
      <c r="Z78" s="83">
        <f t="shared" ref="Z78" si="127">SUM(Z6:Z77)</f>
        <v>54</v>
      </c>
      <c r="AA78" s="64"/>
      <c r="AB78" s="82"/>
      <c r="AC78" s="83">
        <f t="shared" ref="AC78" si="128">SUM(AC6:AC77)</f>
        <v>56</v>
      </c>
      <c r="AD78" s="64"/>
      <c r="AE78" s="82"/>
      <c r="AF78" s="83">
        <f t="shared" ref="AF78" si="129">SUM(AF6:AF77)</f>
        <v>41</v>
      </c>
      <c r="AG78" s="64"/>
      <c r="AH78" s="82"/>
      <c r="AI78" s="83">
        <f t="shared" ref="AI78" si="130">SUM(AI6:AI77)</f>
        <v>48</v>
      </c>
      <c r="AJ78" s="64"/>
      <c r="AK78" s="82"/>
      <c r="AL78" s="83">
        <f t="shared" ref="AL78" si="131">SUM(AL6:AL77)</f>
        <v>42</v>
      </c>
      <c r="AM78" s="64"/>
      <c r="AN78" s="82"/>
      <c r="AO78" s="83">
        <f t="shared" ref="AO78" si="132">SUM(AO6:AO77)</f>
        <v>47</v>
      </c>
      <c r="AP78" s="64"/>
      <c r="AQ78" s="82"/>
      <c r="AR78" s="83">
        <f t="shared" ref="AR78" si="133">SUM(AR6:AR77)</f>
        <v>65</v>
      </c>
      <c r="AS78" s="64"/>
      <c r="AT78" s="82"/>
      <c r="AU78" s="83">
        <f t="shared" ref="AU78" si="134">SUM(AU6:AU77)</f>
        <v>40</v>
      </c>
      <c r="AV78" s="64"/>
      <c r="AW78" s="82"/>
      <c r="AX78" s="83">
        <f t="shared" ref="AX78" si="135">SUM(AX6:AX77)</f>
        <v>38</v>
      </c>
      <c r="AY78" s="64"/>
      <c r="AZ78" s="82"/>
      <c r="BA78" s="83">
        <f t="shared" ref="BA78" si="136">SUM(BA6:BA77)</f>
        <v>42</v>
      </c>
      <c r="BB78" s="64"/>
      <c r="BC78" s="82"/>
      <c r="BD78" s="83">
        <f t="shared" ref="BD78" si="137">SUM(BD6:BD77)</f>
        <v>47</v>
      </c>
      <c r="BE78" s="64"/>
      <c r="BF78" s="82"/>
      <c r="BG78" s="83">
        <f t="shared" ref="BG78" si="138">SUM(BG6:BG77)</f>
        <v>50</v>
      </c>
      <c r="BH78" s="64"/>
      <c r="BI78" s="82"/>
      <c r="BJ78" s="83">
        <f t="shared" ref="BJ78" si="139">SUM(BJ6:BJ77)</f>
        <v>54</v>
      </c>
      <c r="BK78" s="64"/>
      <c r="BL78" s="82"/>
      <c r="BM78" s="83">
        <f t="shared" ref="BM78" si="140">SUM(BM6:BM77)</f>
        <v>52</v>
      </c>
      <c r="BN78" s="64"/>
      <c r="BO78" s="82"/>
      <c r="BP78" s="83">
        <f t="shared" ref="BP78" si="141">SUM(BP6:BP77)</f>
        <v>55</v>
      </c>
      <c r="BQ78" s="64"/>
      <c r="BR78" s="82"/>
      <c r="BS78" s="83">
        <f t="shared" ref="BS78" si="142">SUM(BS6:BS77)</f>
        <v>56</v>
      </c>
      <c r="BT78" s="64"/>
      <c r="BU78" s="82"/>
      <c r="BV78" s="83">
        <f t="shared" ref="BV78" si="143">SUM(BV6:BV77)</f>
        <v>38</v>
      </c>
      <c r="BW78" s="64"/>
      <c r="BX78" s="82"/>
      <c r="BY78" s="83">
        <f t="shared" ref="BY78" si="144">SUM(BY6:BY77)</f>
        <v>47</v>
      </c>
      <c r="BZ78" s="64"/>
      <c r="CA78" s="82"/>
      <c r="CB78" s="83">
        <f t="shared" ref="CB78" si="145">SUM(CB6:CB77)</f>
        <v>43</v>
      </c>
      <c r="CC78" s="64"/>
      <c r="CD78" s="82"/>
      <c r="CE78" s="83">
        <f t="shared" ref="CE78" si="146">SUM(CE6:CE77)</f>
        <v>54</v>
      </c>
      <c r="CF78" s="64"/>
      <c r="CG78" s="82"/>
      <c r="CH78" s="83">
        <f t="shared" ref="CH78" si="147">SUM(CH6:CH77)</f>
        <v>37</v>
      </c>
      <c r="CI78" s="64"/>
      <c r="CJ78" s="82"/>
      <c r="CK78" s="83">
        <f t="shared" ref="CK78" si="148">SUM(CK6:CK77)</f>
        <v>55</v>
      </c>
      <c r="CL78" s="64"/>
      <c r="CM78" s="82"/>
      <c r="CN78" s="83">
        <f t="shared" ref="CN78" si="149">SUM(CN6:CN77)</f>
        <v>43</v>
      </c>
      <c r="CO78" s="64"/>
      <c r="CP78" s="82"/>
      <c r="CQ78" s="83">
        <f t="shared" ref="CQ78" si="150">SUM(CQ6:CQ77)</f>
        <v>45</v>
      </c>
      <c r="CR78" s="64"/>
      <c r="CS78" s="82"/>
      <c r="CT78" s="83">
        <f t="shared" ref="CT78" si="151">SUM(CT6:CT77)</f>
        <v>40</v>
      </c>
      <c r="CU78" s="64"/>
      <c r="CV78" s="82"/>
      <c r="CW78" s="83">
        <f t="shared" ref="CW78" si="152">SUM(CW6:CW77)</f>
        <v>53</v>
      </c>
      <c r="CX78" s="64"/>
      <c r="CY78" s="82"/>
      <c r="CZ78" s="83">
        <f t="shared" ref="CZ78" si="153">SUM(CZ6:CZ77)</f>
        <v>41</v>
      </c>
      <c r="DA78" s="64"/>
      <c r="DB78" s="82"/>
      <c r="DC78" s="83">
        <f t="shared" ref="DC78" si="154">SUM(DC6:DC77)</f>
        <v>50</v>
      </c>
      <c r="DD78" s="64"/>
      <c r="DE78" s="82"/>
      <c r="DF78" s="83">
        <f t="shared" ref="DF78" si="155">SUM(DF6:DF77)</f>
        <v>43</v>
      </c>
      <c r="DG78" s="64"/>
      <c r="DH78" s="82"/>
      <c r="DI78" s="83">
        <f t="shared" ref="DI78" si="156">SUM(DI6:DI77)</f>
        <v>42</v>
      </c>
      <c r="DJ78" s="64"/>
      <c r="DK78" s="82"/>
      <c r="DL78" s="83">
        <f t="shared" ref="DL78" si="157">SUM(DL6:DL77)</f>
        <v>57</v>
      </c>
      <c r="DM78" s="64"/>
      <c r="DN78" s="796"/>
      <c r="DO78" s="83">
        <f t="shared" ref="DO78" si="158">SUM(DO6:DO77)</f>
        <v>36</v>
      </c>
      <c r="DP78" s="64"/>
      <c r="DQ78" s="796"/>
      <c r="DR78" s="83">
        <f t="shared" ref="DR78" si="159">SUM(DR6:DR77)</f>
        <v>28</v>
      </c>
      <c r="DS78" s="64"/>
      <c r="DT78" s="82"/>
      <c r="DU78" s="83">
        <f t="shared" ref="DU78" si="160">SUM(DU6:DU77)</f>
        <v>52</v>
      </c>
      <c r="DV78" s="64"/>
      <c r="DW78" s="82"/>
      <c r="DX78" s="83">
        <f t="shared" ref="DX78" si="161">SUM(DX6:DX77)</f>
        <v>60</v>
      </c>
      <c r="DY78" s="64"/>
      <c r="DZ78" s="82"/>
      <c r="EA78" s="83">
        <f t="shared" ref="EA78" si="162">SUM(EA6:EA77)</f>
        <v>41</v>
      </c>
      <c r="EB78" s="64"/>
      <c r="EC78" s="82"/>
      <c r="ED78" s="83">
        <f t="shared" ref="ED78" si="163">SUM(ED6:ED77)</f>
        <v>47</v>
      </c>
      <c r="EE78" s="64"/>
      <c r="EF78" s="82"/>
      <c r="EG78" s="83">
        <f t="shared" ref="EG78" si="164">SUM(EG6:EG77)</f>
        <v>46</v>
      </c>
      <c r="EH78" s="64"/>
      <c r="EI78" s="82"/>
      <c r="EJ78" s="83">
        <f t="shared" ref="EJ78" si="165">SUM(EJ6:EJ77)</f>
        <v>49</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t="s">
        <v>1265</v>
      </c>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t="s">
        <v>75</v>
      </c>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t="s">
        <v>1631</v>
      </c>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t="s">
        <v>1258</v>
      </c>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t="s">
        <v>1321</v>
      </c>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t="s">
        <v>134</v>
      </c>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t="s">
        <v>1728</v>
      </c>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t="s">
        <v>77</v>
      </c>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t="s">
        <v>1726</v>
      </c>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t="s">
        <v>111</v>
      </c>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t="s">
        <v>1263</v>
      </c>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t="s">
        <v>1833</v>
      </c>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t="s">
        <v>1322</v>
      </c>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t="s">
        <v>110</v>
      </c>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t="s">
        <v>1550</v>
      </c>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t="s">
        <v>1262</v>
      </c>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t="s">
        <v>1266</v>
      </c>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t="s">
        <v>38</v>
      </c>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t="s">
        <v>74</v>
      </c>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t="s">
        <v>1757</v>
      </c>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t="s">
        <v>1256</v>
      </c>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t="s">
        <v>80</v>
      </c>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t="s">
        <v>1558</v>
      </c>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t="s">
        <v>1264</v>
      </c>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t="s">
        <v>1839</v>
      </c>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t="s">
        <v>1267</v>
      </c>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t="s">
        <v>76</v>
      </c>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t="s">
        <v>78</v>
      </c>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t="s">
        <v>1551</v>
      </c>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t="s">
        <v>1730</v>
      </c>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t="s">
        <v>1258</v>
      </c>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t="s">
        <v>77</v>
      </c>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t="s">
        <v>111</v>
      </c>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t="s">
        <v>1261</v>
      </c>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t="s">
        <v>74</v>
      </c>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t="s">
        <v>1265</v>
      </c>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t="s">
        <v>76</v>
      </c>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t="s">
        <v>110</v>
      </c>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t="s">
        <v>38</v>
      </c>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t="s">
        <v>1320</v>
      </c>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t="s">
        <v>75</v>
      </c>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t="s">
        <v>497</v>
      </c>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t="s">
        <v>1256</v>
      </c>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t="s">
        <v>79</v>
      </c>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t="s">
        <v>1841</v>
      </c>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t="s">
        <v>1263</v>
      </c>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t="s">
        <v>1321</v>
      </c>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t="s">
        <v>1634</v>
      </c>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t="s">
        <v>1319</v>
      </c>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t="s">
        <v>1633</v>
      </c>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t="s">
        <v>1558</v>
      </c>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t="s">
        <v>1259</v>
      </c>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t="s">
        <v>80</v>
      </c>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t="s">
        <v>78</v>
      </c>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t="s">
        <v>1550</v>
      </c>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t="s">
        <v>135</v>
      </c>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t="s">
        <v>1260</v>
      </c>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t="s">
        <v>77</v>
      </c>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t="s">
        <v>1258</v>
      </c>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t="s">
        <v>1265</v>
      </c>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t="s">
        <v>1320</v>
      </c>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t="s">
        <v>1835</v>
      </c>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t="s">
        <v>1256</v>
      </c>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t="s">
        <v>75</v>
      </c>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t="s">
        <v>1321</v>
      </c>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t="s">
        <v>74</v>
      </c>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t="s">
        <v>1634</v>
      </c>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t="s">
        <v>76</v>
      </c>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t="s">
        <v>38</v>
      </c>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t="s">
        <v>110</v>
      </c>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t="s">
        <v>497</v>
      </c>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t="s">
        <v>79</v>
      </c>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t="s">
        <v>2056</v>
      </c>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t="s">
        <v>2798</v>
      </c>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t="s">
        <v>2390</v>
      </c>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t="s">
        <v>2059</v>
      </c>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t="s">
        <v>2304</v>
      </c>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t="s">
        <v>2086</v>
      </c>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t="s">
        <v>2233</v>
      </c>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46196</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13</v>
      </c>
      <c r="T263" s="25"/>
      <c r="U263" s="25"/>
      <c r="V263" s="25">
        <f ca="1">RANK(V264,OFFSET($S$264,0,0,1,$D$5*3),0)</f>
        <v>14</v>
      </c>
      <c r="W263" s="25"/>
      <c r="X263" s="25"/>
      <c r="Y263" s="25">
        <f ca="1">RANK(Y264,OFFSET($S$264,0,0,1,$D$5*3),0)</f>
        <v>6</v>
      </c>
      <c r="Z263" s="25"/>
      <c r="AA263" s="25"/>
      <c r="AB263" s="25">
        <f ca="1">RANK(AB264,OFFSET($S$264,0,0,1,$D$5*3),0)</f>
        <v>29</v>
      </c>
      <c r="AC263" s="25"/>
      <c r="AD263" s="25"/>
      <c r="AE263" s="25">
        <f ca="1">RANK(AE264,OFFSET($S$264,0,0,1,$D$5*3),0)</f>
        <v>39</v>
      </c>
      <c r="AF263" s="25"/>
      <c r="AG263" s="25"/>
      <c r="AH263" s="25">
        <f ca="1">RANK(AH264,OFFSET($S$264,0,0,1,$D$5*3),0)</f>
        <v>18</v>
      </c>
      <c r="AI263" s="25"/>
      <c r="AJ263" s="25"/>
      <c r="AK263" s="25">
        <f ca="1">RANK(AK264,OFFSET($S$264,0,0,1,$D$5*3),0)</f>
        <v>1</v>
      </c>
      <c r="AL263" s="25"/>
      <c r="AM263" s="25"/>
      <c r="AN263" s="25">
        <f ca="1">RANK(AN264,OFFSET($S$264,0,0,1,$D$5*3),0)</f>
        <v>3</v>
      </c>
      <c r="AO263" s="25"/>
      <c r="AP263" s="25"/>
      <c r="AQ263" s="25">
        <f ca="1">RANK(AQ264,OFFSET($S$264,0,0,1,$D$5*3),0)</f>
        <v>30</v>
      </c>
      <c r="AR263" s="25"/>
      <c r="AS263" s="25"/>
      <c r="AT263" s="25">
        <f ca="1">RANK(AT264,OFFSET($S$264,0,0,1,$D$5*3),0)</f>
        <v>31</v>
      </c>
      <c r="AU263" s="25"/>
      <c r="AV263" s="25"/>
      <c r="AW263" s="25">
        <f ca="1">RANK(AW264,OFFSET($S$264,0,0,1,$D$5*3),0)</f>
        <v>32</v>
      </c>
      <c r="AX263" s="25"/>
      <c r="AY263" s="25"/>
      <c r="AZ263" s="25">
        <f ca="1">RANK(AZ264,OFFSET($S$264,0,0,1,$D$5*3),0)</f>
        <v>23</v>
      </c>
      <c r="BA263" s="25"/>
      <c r="BB263" s="25"/>
      <c r="BC263" s="25">
        <f ca="1">RANK(BC264,OFFSET($S$264,0,0,1,$D$5*3),0)</f>
        <v>7</v>
      </c>
      <c r="BD263" s="25"/>
      <c r="BE263" s="25"/>
      <c r="BF263" s="25">
        <f ca="1">RANK(BF264,OFFSET($S$264,0,0,1,$D$5*3),0)</f>
        <v>33</v>
      </c>
      <c r="BG263" s="25"/>
      <c r="BH263" s="25"/>
      <c r="BI263" s="25">
        <f ca="1">RANK(BI264,OFFSET($S$264,0,0,1,$D$5*3),0)</f>
        <v>8</v>
      </c>
      <c r="BJ263" s="25"/>
      <c r="BK263" s="25"/>
      <c r="BL263" s="25">
        <f ca="1">RANK(BL264,OFFSET($S$264,0,0,1,$D$5*3),0)</f>
        <v>9</v>
      </c>
      <c r="BM263" s="25"/>
      <c r="BN263" s="25"/>
      <c r="BO263" s="25">
        <f ca="1">RANK(BO264,OFFSET($S$264,0,0,1,$D$5*3),0)</f>
        <v>15</v>
      </c>
      <c r="BP263" s="25"/>
      <c r="BQ263" s="25"/>
      <c r="BR263" s="25">
        <f ca="1">RANK(BR264,OFFSET($S$264,0,0,1,$D$5*3),0)</f>
        <v>19</v>
      </c>
      <c r="BS263" s="25"/>
      <c r="BT263" s="25"/>
      <c r="BU263" s="25">
        <f ca="1">RANK(BU264,OFFSET($S$264,0,0,1,$D$5*3),0)</f>
        <v>16</v>
      </c>
      <c r="BV263" s="25"/>
      <c r="BW263" s="25"/>
      <c r="BX263" s="25">
        <f ca="1">RANK(BX264,OFFSET($S$264,0,0,1,$D$5*3),0)</f>
        <v>10</v>
      </c>
      <c r="BY263" s="25"/>
      <c r="BZ263" s="25"/>
      <c r="CA263" s="25">
        <f ca="1">RANK(CA264,OFFSET($S$264,0,0,1,$D$5*3),0)</f>
        <v>40</v>
      </c>
      <c r="CB263" s="25"/>
      <c r="CC263" s="25"/>
      <c r="CD263" s="25">
        <f ca="1">RANK(CD264,OFFSET($S$264,0,0,1,$D$5*3),0)</f>
        <v>41</v>
      </c>
      <c r="CE263" s="25"/>
      <c r="CF263" s="25"/>
      <c r="CG263" s="25">
        <f ca="1">RANK(CG264,OFFSET($S$264,0,0,1,$D$5*3),0)</f>
        <v>20</v>
      </c>
      <c r="CH263" s="25"/>
      <c r="CI263" s="25"/>
      <c r="CJ263" s="25">
        <f ca="1">RANK(CJ264,OFFSET($S$264,0,0,1,$D$5*3),0)</f>
        <v>24</v>
      </c>
      <c r="CK263" s="25"/>
      <c r="CL263" s="25"/>
      <c r="CM263" s="25">
        <f ca="1">RANK(CM264,OFFSET($S$264,0,0,1,$D$5*3),0)</f>
        <v>11</v>
      </c>
      <c r="CN263" s="25"/>
      <c r="CO263" s="25"/>
      <c r="CP263" s="25">
        <f ca="1">RANK(CP264,OFFSET($S$264,0,0,1,$D$5*3),0)</f>
        <v>34</v>
      </c>
      <c r="CQ263" s="25"/>
      <c r="CR263" s="25"/>
      <c r="CS263" s="25">
        <f ca="1">RANK(CS264,OFFSET($S$264,0,0,1,$D$5*3),0)</f>
        <v>35</v>
      </c>
      <c r="CT263" s="25"/>
      <c r="CU263" s="25"/>
      <c r="CV263" s="25">
        <f ca="1">RANK(CV264,OFFSET($S$264,0,0,1,$D$5*3),0)</f>
        <v>25</v>
      </c>
      <c r="CW263" s="25"/>
      <c r="CX263" s="25"/>
      <c r="CY263" s="25">
        <f ca="1">RANK(CY264,OFFSET($S$264,0,0,1,$D$5*3),0)</f>
        <v>21</v>
      </c>
      <c r="CZ263" s="25"/>
      <c r="DA263" s="25"/>
      <c r="DB263" s="25">
        <f ca="1">RANK(DB264,OFFSET($S$264,0,0,1,$D$5*3),0)</f>
        <v>12</v>
      </c>
      <c r="DC263" s="25"/>
      <c r="DD263" s="25"/>
      <c r="DE263" s="25">
        <f ca="1">RANK(DE264,OFFSET($S$264,0,0,1,$D$5*3),0)</f>
        <v>26</v>
      </c>
      <c r="DF263" s="25"/>
      <c r="DG263" s="25"/>
      <c r="DH263" s="25">
        <f ca="1">RANK(DH264,OFFSET($S$264,0,0,1,$D$5*3),0)</f>
        <v>36</v>
      </c>
      <c r="DI263" s="25"/>
      <c r="DJ263" s="25"/>
      <c r="DK263" s="25">
        <f ca="1">RANK(DK264,OFFSET($S$264,0,0,1,$D$5*3),0)</f>
        <v>4</v>
      </c>
      <c r="DL263" s="25"/>
      <c r="DM263" s="25"/>
      <c r="DN263" s="25">
        <f ca="1">RANK(DN264,OFFSET($S$264,0,0,1,$D$5*3),0)</f>
        <v>22</v>
      </c>
      <c r="DO263" s="25"/>
      <c r="DP263" s="25"/>
      <c r="DQ263" s="25">
        <f ca="1">RANK(DQ264,OFFSET($S$264,0,0,1,$D$5*3),0)</f>
        <v>27</v>
      </c>
      <c r="DR263" s="25"/>
      <c r="DS263" s="25"/>
      <c r="DT263" s="25">
        <f ca="1">RANK(DT264,OFFSET($S$264,0,0,1,$D$5*3),0)</f>
        <v>5</v>
      </c>
      <c r="DU263" s="25"/>
      <c r="DV263" s="25"/>
      <c r="DW263" s="25">
        <f ca="1">RANK(DW264,OFFSET($S$264,0,0,1,$D$5*3),0)</f>
        <v>37</v>
      </c>
      <c r="DX263" s="25"/>
      <c r="DY263" s="25"/>
      <c r="DZ263" s="25">
        <f ca="1">RANK(DZ264,OFFSET($S$264,0,0,1,$D$5*3),0)</f>
        <v>2</v>
      </c>
      <c r="EA263" s="25"/>
      <c r="EB263" s="25"/>
      <c r="EC263" s="25">
        <f ca="1">RANK(EC264,OFFSET($S$264,0,0,1,$D$5*3),0)</f>
        <v>28</v>
      </c>
      <c r="ED263" s="25"/>
      <c r="EE263" s="25"/>
      <c r="EF263" s="25">
        <f ca="1">RANK(EF264,OFFSET($S$264,0,0,1,$D$5*3),0)</f>
        <v>17</v>
      </c>
      <c r="EG263" s="25"/>
      <c r="EH263" s="25"/>
      <c r="EI263" s="25">
        <f ca="1">RANK(EI264,OFFSET($S$264,0,0,1,$D$5*3),0)</f>
        <v>38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5.9981</v>
      </c>
      <c r="T264" s="25"/>
      <c r="U264" s="25"/>
      <c r="V264" s="25">
        <f t="shared" ref="V264" ca="1" si="2626">V266-(COLUMN()/10000)</f>
        <v>5.9977999999999998</v>
      </c>
      <c r="W264" s="25"/>
      <c r="X264" s="25"/>
      <c r="Y264" s="25">
        <f t="shared" ref="Y264" ca="1" si="2627">Y266-(COLUMN()/10000)</f>
        <v>6.9974999999999996</v>
      </c>
      <c r="Z264" s="25"/>
      <c r="AA264" s="25"/>
      <c r="AB264" s="25">
        <f t="shared" ref="AB264" ca="1" si="2628">AB266-(COLUMN()/10000)</f>
        <v>2.9971999999999999</v>
      </c>
      <c r="AC264" s="25"/>
      <c r="AD264" s="25"/>
      <c r="AE264" s="25">
        <f t="shared" ref="AE264" ca="1" si="2629">AE266-(COLUMN()/10000)</f>
        <v>1.9968999999999999</v>
      </c>
      <c r="AF264" s="25"/>
      <c r="AG264" s="25"/>
      <c r="AH264" s="25">
        <f t="shared" ref="AH264" ca="1" si="2630">AH266-(COLUMN()/10000)</f>
        <v>4.9965999999999999</v>
      </c>
      <c r="AI264" s="25"/>
      <c r="AJ264" s="25"/>
      <c r="AK264" s="25">
        <f t="shared" ref="AK264" ca="1" si="2631">AK266-(COLUMN()/10000)</f>
        <v>8.9962999999999997</v>
      </c>
      <c r="AL264" s="25"/>
      <c r="AM264" s="25"/>
      <c r="AN264" s="25">
        <f t="shared" ref="AN264" ca="1" si="2632">AN266-(COLUMN()/10000)</f>
        <v>7.9960000000000004</v>
      </c>
      <c r="AO264" s="25"/>
      <c r="AP264" s="25"/>
      <c r="AQ264" s="25">
        <f t="shared" ref="AQ264" ca="1" si="2633">AQ266-(COLUMN()/10000)</f>
        <v>2.9956999999999998</v>
      </c>
      <c r="AR264" s="25"/>
      <c r="AS264" s="25"/>
      <c r="AT264" s="25">
        <f t="shared" ref="AT264" ca="1" si="2634">AT266-(COLUMN()/10000)</f>
        <v>2.9954000000000001</v>
      </c>
      <c r="AU264" s="25"/>
      <c r="AV264" s="25"/>
      <c r="AW264" s="25">
        <f t="shared" ref="AW264" ca="1" si="2635">AW266-(COLUMN()/10000)</f>
        <v>2.9950999999999999</v>
      </c>
      <c r="AX264" s="25"/>
      <c r="AY264" s="25"/>
      <c r="AZ264" s="25">
        <f t="shared" ref="AZ264" ca="1" si="2636">AZ266-(COLUMN()/10000)</f>
        <v>3.9948000000000001</v>
      </c>
      <c r="BA264" s="25"/>
      <c r="BB264" s="25"/>
      <c r="BC264" s="25">
        <f t="shared" ref="BC264" ca="1" si="2637">BC266-(COLUMN()/10000)</f>
        <v>6.9945000000000004</v>
      </c>
      <c r="BD264" s="25"/>
      <c r="BE264" s="25"/>
      <c r="BF264" s="25">
        <f t="shared" ref="BF264" ca="1" si="2638">BF266-(COLUMN()/10000)</f>
        <v>2.9942000000000002</v>
      </c>
      <c r="BG264" s="25"/>
      <c r="BH264" s="25"/>
      <c r="BI264" s="25">
        <f t="shared" ref="BI264" ca="1" si="2639">BI266-(COLUMN()/10000)</f>
        <v>6.9939</v>
      </c>
      <c r="BJ264" s="25"/>
      <c r="BK264" s="25"/>
      <c r="BL264" s="25">
        <f t="shared" ref="BL264" ca="1" si="2640">BL266-(COLUMN()/10000)</f>
        <v>6.9935999999999998</v>
      </c>
      <c r="BM264" s="25"/>
      <c r="BN264" s="25"/>
      <c r="BO264" s="25">
        <f t="shared" ref="BO264" ca="1" si="2641">BO266-(COLUMN()/10000)</f>
        <v>5.9932999999999996</v>
      </c>
      <c r="BP264" s="25"/>
      <c r="BQ264" s="25"/>
      <c r="BR264" s="25">
        <f t="shared" ref="BR264" ca="1" si="2642">BR266-(COLUMN()/10000)</f>
        <v>4.9930000000000003</v>
      </c>
      <c r="BS264" s="25"/>
      <c r="BT264" s="25"/>
      <c r="BU264" s="25">
        <f t="shared" ref="BU264" ca="1" si="2643">BU266-(COLUMN()/10000)</f>
        <v>5.9927000000000001</v>
      </c>
      <c r="BV264" s="25"/>
      <c r="BW264" s="25"/>
      <c r="BX264" s="25">
        <f t="shared" ref="BX264" ca="1" si="2644">BX266-(COLUMN()/10000)</f>
        <v>6.9923999999999999</v>
      </c>
      <c r="BY264" s="25"/>
      <c r="BZ264" s="25"/>
      <c r="CA264" s="25">
        <f t="shared" ref="CA264" ca="1" si="2645">CA266-(COLUMN()/10000)</f>
        <v>1.9921</v>
      </c>
      <c r="CB264" s="25"/>
      <c r="CC264" s="25"/>
      <c r="CD264" s="25">
        <f t="shared" ref="CD264" ca="1" si="2646">CD266-(COLUMN()/10000)</f>
        <v>1.9918</v>
      </c>
      <c r="CE264" s="25"/>
      <c r="CF264" s="25"/>
      <c r="CG264" s="25">
        <f t="shared" ref="CG264" ca="1" si="2647">CG266-(COLUMN()/10000)</f>
        <v>4.9915000000000003</v>
      </c>
      <c r="CH264" s="25"/>
      <c r="CI264" s="25"/>
      <c r="CJ264" s="25">
        <f t="shared" ref="CJ264" ca="1" si="2648">CJ266-(COLUMN()/10000)</f>
        <v>3.9912000000000001</v>
      </c>
      <c r="CK264" s="25"/>
      <c r="CL264" s="25"/>
      <c r="CM264" s="25">
        <f t="shared" ref="CM264" ca="1" si="2649">CM266-(COLUMN()/10000)</f>
        <v>6.9908999999999999</v>
      </c>
      <c r="CN264" s="25"/>
      <c r="CO264" s="25"/>
      <c r="CP264" s="25">
        <f t="shared" ref="CP264" ca="1" si="2650">CP266-(COLUMN()/10000)</f>
        <v>2.9906000000000001</v>
      </c>
      <c r="CQ264" s="25"/>
      <c r="CR264" s="25"/>
      <c r="CS264" s="25">
        <f t="shared" ref="CS264" ca="1" si="2651">CS266-(COLUMN()/10000)</f>
        <v>2.9903</v>
      </c>
      <c r="CT264" s="25"/>
      <c r="CU264" s="25"/>
      <c r="CV264" s="25">
        <f t="shared" ref="CV264" ca="1" si="2652">CV266-(COLUMN()/10000)</f>
        <v>3.99</v>
      </c>
      <c r="CW264" s="25"/>
      <c r="CX264" s="25"/>
      <c r="CY264" s="25">
        <f t="shared" ref="CY264" ca="1" si="2653">CY266-(COLUMN()/10000)</f>
        <v>4.9897</v>
      </c>
      <c r="CZ264" s="25"/>
      <c r="DA264" s="25"/>
      <c r="DB264" s="25">
        <f t="shared" ref="DB264" ca="1" si="2654">DB266-(COLUMN()/10000)</f>
        <v>6.9893999999999998</v>
      </c>
      <c r="DC264" s="25"/>
      <c r="DD264" s="25"/>
      <c r="DE264" s="25">
        <f t="shared" ref="DE264" ca="1" si="2655">DE266-(COLUMN()/10000)</f>
        <v>3.9891000000000001</v>
      </c>
      <c r="DF264" s="25"/>
      <c r="DG264" s="25"/>
      <c r="DH264" s="25">
        <f t="shared" ref="DH264" ca="1" si="2656">DH266-(COLUMN()/10000)</f>
        <v>2.9887999999999999</v>
      </c>
      <c r="DI264" s="25"/>
      <c r="DJ264" s="25"/>
      <c r="DK264" s="25">
        <f t="shared" ref="DK264" ca="1" si="2657">DK266-(COLUMN()/10000)</f>
        <v>7.9885000000000002</v>
      </c>
      <c r="DL264" s="25"/>
      <c r="DM264" s="25"/>
      <c r="DN264" s="25">
        <f t="shared" ref="DN264" ca="1" si="2658">DN266-(COLUMN()/10000)</f>
        <v>4.9882</v>
      </c>
      <c r="DO264" s="25"/>
      <c r="DP264" s="25"/>
      <c r="DQ264" s="25">
        <f t="shared" ref="DQ264" ca="1" si="2659">DQ266-(COLUMN()/10000)</f>
        <v>3.9878999999999998</v>
      </c>
      <c r="DR264" s="25"/>
      <c r="DS264" s="25"/>
      <c r="DT264" s="25">
        <f t="shared" ref="DT264" ca="1" si="2660">DT266-(COLUMN()/10000)</f>
        <v>7.9875999999999996</v>
      </c>
      <c r="DU264" s="25"/>
      <c r="DV264" s="25"/>
      <c r="DW264" s="25">
        <f t="shared" ref="DW264" ca="1" si="2661">DW266-(COLUMN()/10000)</f>
        <v>2.9872999999999998</v>
      </c>
      <c r="DX264" s="25"/>
      <c r="DY264" s="25"/>
      <c r="DZ264" s="25">
        <f t="shared" ref="DZ264" ca="1" si="2662">DZ266-(COLUMN()/10000)</f>
        <v>8.9870000000000001</v>
      </c>
      <c r="EA264" s="25"/>
      <c r="EB264" s="25"/>
      <c r="EC264" s="25">
        <f t="shared" ref="EC264" ca="1" si="2663">EC266-(COLUMN()/10000)</f>
        <v>3.9866999999999999</v>
      </c>
      <c r="ED264" s="25"/>
      <c r="EE264" s="25"/>
      <c r="EF264" s="25">
        <f t="shared" ref="EF264" ca="1" si="2664">EF266-(COLUMN()/10000)</f>
        <v>5.9863999999999997</v>
      </c>
      <c r="EG264" s="25"/>
      <c r="EH264" s="25"/>
      <c r="EI264" s="25">
        <f t="shared" ref="EI264" ca="1" si="2665">EI266-(COLUMN()/10000)</f>
        <v>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13</v>
      </c>
      <c r="T265" s="25"/>
      <c r="U265" s="25"/>
      <c r="V265" s="25">
        <f ca="1">RANK(V266,OFFSET($S$266,0,0,1,$D$5*3),0)</f>
        <v>13</v>
      </c>
      <c r="W265" s="25"/>
      <c r="X265" s="25"/>
      <c r="Y265" s="25">
        <f ca="1">RANK(Y266,OFFSET($S$266,0,0,1,$D$5*3),0)</f>
        <v>6</v>
      </c>
      <c r="Z265" s="25"/>
      <c r="AA265" s="25"/>
      <c r="AB265" s="25">
        <f ca="1">RANK(AB266,OFFSET($S$266,0,0,1,$D$5*3),0)</f>
        <v>29</v>
      </c>
      <c r="AC265" s="25"/>
      <c r="AD265" s="25"/>
      <c r="AE265" s="25">
        <f ca="1">RANK(AE266,OFFSET($S$266,0,0,1,$D$5*3),0)</f>
        <v>39</v>
      </c>
      <c r="AF265" s="25"/>
      <c r="AG265" s="25"/>
      <c r="AH265" s="25">
        <f ca="1">RANK(AH266,OFFSET($S$266,0,0,1,$D$5*3),0)</f>
        <v>18</v>
      </c>
      <c r="AI265" s="25"/>
      <c r="AJ265" s="25"/>
      <c r="AK265" s="25">
        <f ca="1">RANK(AK266,OFFSET($S$266,0,0,1,$D$5*3),0)</f>
        <v>1</v>
      </c>
      <c r="AL265" s="25"/>
      <c r="AM265" s="25"/>
      <c r="AN265" s="25">
        <f ca="1">RANK(AN266,OFFSET($S$266,0,0,1,$D$5*3),0)</f>
        <v>3</v>
      </c>
      <c r="AO265" s="25"/>
      <c r="AP265" s="25"/>
      <c r="AQ265" s="25">
        <f ca="1">RANK(AQ266,OFFSET($S$266,0,0,1,$D$5*3),0)</f>
        <v>29</v>
      </c>
      <c r="AR265" s="25"/>
      <c r="AS265" s="25"/>
      <c r="AT265" s="25">
        <f ca="1">RANK(AT266,OFFSET($S$266,0,0,1,$D$5*3),0)</f>
        <v>29</v>
      </c>
      <c r="AU265" s="25"/>
      <c r="AV265" s="25"/>
      <c r="AW265" s="25">
        <f ca="1">RANK(AW266,OFFSET($S$266,0,0,1,$D$5*3),0)</f>
        <v>29</v>
      </c>
      <c r="AX265" s="25"/>
      <c r="AY265" s="25"/>
      <c r="AZ265" s="25">
        <f ca="1">RANK(AZ266,OFFSET($S$266,0,0,1,$D$5*3),0)</f>
        <v>23</v>
      </c>
      <c r="BA265" s="25"/>
      <c r="BB265" s="25"/>
      <c r="BC265" s="25">
        <f ca="1">RANK(BC266,OFFSET($S$266,0,0,1,$D$5*3),0)</f>
        <v>6</v>
      </c>
      <c r="BD265" s="25"/>
      <c r="BE265" s="25"/>
      <c r="BF265" s="25">
        <f ca="1">RANK(BF266,OFFSET($S$266,0,0,1,$D$5*3),0)</f>
        <v>29</v>
      </c>
      <c r="BG265" s="25"/>
      <c r="BH265" s="25"/>
      <c r="BI265" s="25">
        <f ca="1">RANK(BI266,OFFSET($S$266,0,0,1,$D$5*3),0)</f>
        <v>6</v>
      </c>
      <c r="BJ265" s="25"/>
      <c r="BK265" s="25"/>
      <c r="BL265" s="25">
        <f ca="1">RANK(BL266,OFFSET($S$266,0,0,1,$D$5*3),0)</f>
        <v>6</v>
      </c>
      <c r="BM265" s="25"/>
      <c r="BN265" s="25"/>
      <c r="BO265" s="25">
        <f ca="1">RANK(BO266,OFFSET($S$266,0,0,1,$D$5*3),0)</f>
        <v>13</v>
      </c>
      <c r="BP265" s="25"/>
      <c r="BQ265" s="25"/>
      <c r="BR265" s="25">
        <f ca="1">RANK(BR266,OFFSET($S$266,0,0,1,$D$5*3),0)</f>
        <v>18</v>
      </c>
      <c r="BS265" s="25"/>
      <c r="BT265" s="25"/>
      <c r="BU265" s="25">
        <f ca="1">RANK(BU266,OFFSET($S$266,0,0,1,$D$5*3),0)</f>
        <v>13</v>
      </c>
      <c r="BV265" s="25"/>
      <c r="BW265" s="25"/>
      <c r="BX265" s="25">
        <f ca="1">RANK(BX266,OFFSET($S$266,0,0,1,$D$5*3),0)</f>
        <v>6</v>
      </c>
      <c r="BY265" s="25"/>
      <c r="BZ265" s="25"/>
      <c r="CA265" s="25">
        <f ca="1">RANK(CA266,OFFSET($S$266,0,0,1,$D$5*3),0)</f>
        <v>39</v>
      </c>
      <c r="CB265" s="25"/>
      <c r="CC265" s="25"/>
      <c r="CD265" s="25">
        <f ca="1">RANK(CD266,OFFSET($S$266,0,0,1,$D$5*3),0)</f>
        <v>39</v>
      </c>
      <c r="CE265" s="25"/>
      <c r="CF265" s="25"/>
      <c r="CG265" s="25">
        <f ca="1">RANK(CG266,OFFSET($S$266,0,0,1,$D$5*3),0)</f>
        <v>18</v>
      </c>
      <c r="CH265" s="25"/>
      <c r="CI265" s="25"/>
      <c r="CJ265" s="25">
        <f ca="1">RANK(CJ266,OFFSET($S$266,0,0,1,$D$5*3),0)</f>
        <v>23</v>
      </c>
      <c r="CK265" s="25"/>
      <c r="CL265" s="25"/>
      <c r="CM265" s="25">
        <f ca="1">RANK(CM266,OFFSET($S$266,0,0,1,$D$5*3),0)</f>
        <v>6</v>
      </c>
      <c r="CN265" s="25"/>
      <c r="CO265" s="25"/>
      <c r="CP265" s="25">
        <f ca="1">RANK(CP266,OFFSET($S$266,0,0,1,$D$5*3),0)</f>
        <v>29</v>
      </c>
      <c r="CQ265" s="25"/>
      <c r="CR265" s="25"/>
      <c r="CS265" s="25">
        <f ca="1">RANK(CS266,OFFSET($S$266,0,0,1,$D$5*3),0)</f>
        <v>29</v>
      </c>
      <c r="CT265" s="25"/>
      <c r="CU265" s="25"/>
      <c r="CV265" s="25">
        <f ca="1">RANK(CV266,OFFSET($S$266,0,0,1,$D$5*3),0)</f>
        <v>23</v>
      </c>
      <c r="CW265" s="25"/>
      <c r="CX265" s="25"/>
      <c r="CY265" s="25">
        <f ca="1">RANK(CY266,OFFSET($S$266,0,0,1,$D$5*3),0)</f>
        <v>18</v>
      </c>
      <c r="CZ265" s="25"/>
      <c r="DA265" s="25"/>
      <c r="DB265" s="25">
        <f ca="1">RANK(DB266,OFFSET($S$266,0,0,1,$D$5*3),0)</f>
        <v>6</v>
      </c>
      <c r="DC265" s="25"/>
      <c r="DD265" s="25"/>
      <c r="DE265" s="25">
        <f ca="1">RANK(DE266,OFFSET($S$266,0,0,1,$D$5*3),0)</f>
        <v>23</v>
      </c>
      <c r="DF265" s="25"/>
      <c r="DG265" s="25"/>
      <c r="DH265" s="25">
        <f ca="1">RANK(DH266,OFFSET($S$266,0,0,1,$D$5*3),0)</f>
        <v>29</v>
      </c>
      <c r="DI265" s="25"/>
      <c r="DJ265" s="25"/>
      <c r="DK265" s="25">
        <f ca="1">RANK(DK266,OFFSET($S$266,0,0,1,$D$5*3),0)</f>
        <v>3</v>
      </c>
      <c r="DL265" s="25"/>
      <c r="DM265" s="25"/>
      <c r="DN265" s="25">
        <f ca="1">RANK(DN266,OFFSET($S$266,0,0,1,$D$5*3),0)</f>
        <v>18</v>
      </c>
      <c r="DO265" s="25"/>
      <c r="DP265" s="25"/>
      <c r="DQ265" s="25">
        <f ca="1">RANK(DQ266,OFFSET($S$266,0,0,1,$D$5*3),0)</f>
        <v>23</v>
      </c>
      <c r="DR265" s="25"/>
      <c r="DS265" s="25"/>
      <c r="DT265" s="25">
        <f ca="1">RANK(DT266,OFFSET($S$266,0,0,1,$D$5*3),0)</f>
        <v>3</v>
      </c>
      <c r="DU265" s="25"/>
      <c r="DV265" s="25"/>
      <c r="DW265" s="25">
        <f ca="1">RANK(DW266,OFFSET($S$266,0,0,1,$D$5*3),0)</f>
        <v>29</v>
      </c>
      <c r="DX265" s="25"/>
      <c r="DY265" s="25"/>
      <c r="DZ265" s="25">
        <f ca="1">RANK(DZ266,OFFSET($S$266,0,0,1,$D$5*3),0)</f>
        <v>1</v>
      </c>
      <c r="EA265" s="25"/>
      <c r="EB265" s="25"/>
      <c r="EC265" s="25">
        <f ca="1">RANK(EC266,OFFSET($S$266,0,0,1,$D$5*3),0)</f>
        <v>23</v>
      </c>
      <c r="ED265" s="25"/>
      <c r="EE265" s="25"/>
      <c r="EF265" s="25">
        <f ca="1">RANK(EF266,OFFSET($S$266,0,0,1,$D$5*3),0)</f>
        <v>13</v>
      </c>
      <c r="EG265" s="25"/>
      <c r="EH265" s="25"/>
      <c r="EI265" s="25">
        <f ca="1">RANK(EI266,OFFSET($S$266,0,0,1,$D$5*3),0)</f>
        <v>29</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6</v>
      </c>
      <c r="T266" s="25"/>
      <c r="U266" s="25"/>
      <c r="V266" s="25">
        <f ca="1">SUMIFS((W6:W259),$H$6:$H$259,$M$262)</f>
        <v>6</v>
      </c>
      <c r="W266" s="25"/>
      <c r="X266" s="25"/>
      <c r="Y266" s="25">
        <f ca="1">SUMIFS((Z6:Z259),$H$6:$H$259,$M$262)</f>
        <v>7</v>
      </c>
      <c r="Z266" s="25"/>
      <c r="AA266" s="25"/>
      <c r="AB266" s="25">
        <f ca="1">SUMIFS((AC6:AC259),$H$6:$H$259,$M$262)</f>
        <v>3</v>
      </c>
      <c r="AC266" s="25"/>
      <c r="AD266" s="25"/>
      <c r="AE266" s="25">
        <f ca="1">SUMIFS((AF6:AF259),$H$6:$H$259,$M$262)</f>
        <v>2</v>
      </c>
      <c r="AF266" s="25"/>
      <c r="AG266" s="25"/>
      <c r="AH266" s="25">
        <f ca="1">SUMIFS((AI6:AI259),$H$6:$H$259,$M$262)</f>
        <v>5</v>
      </c>
      <c r="AI266" s="25"/>
      <c r="AJ266" s="25"/>
      <c r="AK266" s="25">
        <f ca="1">SUMIFS((AL6:AL259),$H$6:$H$259,$M$262)</f>
        <v>9</v>
      </c>
      <c r="AL266" s="25"/>
      <c r="AM266" s="25"/>
      <c r="AN266" s="25">
        <f ca="1">SUMIFS((AO6:AO259),$H$6:$H$259,$M$262)</f>
        <v>8</v>
      </c>
      <c r="AO266" s="25"/>
      <c r="AP266" s="25"/>
      <c r="AQ266" s="25">
        <f ca="1">SUMIFS((AR6:AR259),$H$6:$H$259,$M$262)</f>
        <v>3</v>
      </c>
      <c r="AR266" s="25"/>
      <c r="AS266" s="25"/>
      <c r="AT266" s="25">
        <f ca="1">SUMIFS((AU6:AU259),$H$6:$H$259,$M$262)</f>
        <v>3</v>
      </c>
      <c r="AU266" s="25"/>
      <c r="AV266" s="25"/>
      <c r="AW266" s="25">
        <f ca="1">SUMIFS((AX6:AX259),$H$6:$H$259,$M$262)</f>
        <v>3</v>
      </c>
      <c r="AX266" s="25"/>
      <c r="AY266" s="25"/>
      <c r="AZ266" s="25">
        <f ca="1">SUMIFS((BA6:BA259),$H$6:$H$259,$M$262)</f>
        <v>4</v>
      </c>
      <c r="BA266" s="25"/>
      <c r="BB266" s="25"/>
      <c r="BC266" s="25">
        <f ca="1">SUMIFS((BD6:BD259),$H$6:$H$259,$M$262)</f>
        <v>7</v>
      </c>
      <c r="BD266" s="25"/>
      <c r="BE266" s="25"/>
      <c r="BF266" s="25">
        <f ca="1">SUMIFS((BG6:BG259),$H$6:$H$259,$M$262)</f>
        <v>3</v>
      </c>
      <c r="BG266" s="25"/>
      <c r="BH266" s="25"/>
      <c r="BI266" s="25">
        <f ca="1">SUMIFS((BJ6:BJ259),$H$6:$H$259,$M$262)</f>
        <v>7</v>
      </c>
      <c r="BJ266" s="25"/>
      <c r="BK266" s="25"/>
      <c r="BL266" s="25">
        <f ca="1">SUMIFS((BM6:BM259),$H$6:$H$259,$M$262)</f>
        <v>7</v>
      </c>
      <c r="BM266" s="25"/>
      <c r="BN266" s="25"/>
      <c r="BO266" s="25">
        <f ca="1">SUMIFS((BP6:BP259),$H$6:$H$259,$M$262)</f>
        <v>6</v>
      </c>
      <c r="BP266" s="25"/>
      <c r="BQ266" s="25"/>
      <c r="BR266" s="25">
        <f ca="1">SUMIFS((BS6:BS259),$H$6:$H$259,$M$262)</f>
        <v>5</v>
      </c>
      <c r="BS266" s="25"/>
      <c r="BT266" s="25"/>
      <c r="BU266" s="25">
        <f ca="1">SUMIFS((BV6:BV259),$H$6:$H$259,$M$262)</f>
        <v>6</v>
      </c>
      <c r="BV266" s="25"/>
      <c r="BW266" s="25"/>
      <c r="BX266" s="25">
        <f ca="1">SUMIFS((BY6:BY259),$H$6:$H$259,$M$262)</f>
        <v>7</v>
      </c>
      <c r="BY266" s="25"/>
      <c r="BZ266" s="25"/>
      <c r="CA266" s="25">
        <f ca="1">SUMIFS((CB6:CB259),$H$6:$H$259,$M$262)</f>
        <v>2</v>
      </c>
      <c r="CB266" s="25"/>
      <c r="CC266" s="25"/>
      <c r="CD266" s="25">
        <f ca="1">SUMIFS((CE6:CE259),$H$6:$H$259,$M$262)</f>
        <v>2</v>
      </c>
      <c r="CE266" s="25"/>
      <c r="CF266" s="25"/>
      <c r="CG266" s="25">
        <f ca="1">SUMIFS((CH6:CH259),$H$6:$H$259,$M$262)</f>
        <v>5</v>
      </c>
      <c r="CH266" s="25"/>
      <c r="CI266" s="25"/>
      <c r="CJ266" s="25">
        <f ca="1">SUMIFS((CK6:CK259),$H$6:$H$259,$M$262)</f>
        <v>4</v>
      </c>
      <c r="CK266" s="25"/>
      <c r="CL266" s="25"/>
      <c r="CM266" s="25">
        <f ca="1">SUMIFS((CN6:CN259),$H$6:$H$259,$M$262)</f>
        <v>7</v>
      </c>
      <c r="CN266" s="25"/>
      <c r="CO266" s="25"/>
      <c r="CP266" s="25">
        <f ca="1">SUMIFS((CQ6:CQ259),$H$6:$H$259,$M$262)</f>
        <v>3</v>
      </c>
      <c r="CQ266" s="25"/>
      <c r="CR266" s="25"/>
      <c r="CS266" s="25">
        <f ca="1">SUMIFS((CT6:CT259),$H$6:$H$259,$M$262)</f>
        <v>3</v>
      </c>
      <c r="CT266" s="25"/>
      <c r="CU266" s="25"/>
      <c r="CV266" s="25">
        <f ca="1">SUMIFS((CW6:CW259),$H$6:$H$259,$M$262)</f>
        <v>4</v>
      </c>
      <c r="CW266" s="25"/>
      <c r="CX266" s="25"/>
      <c r="CY266" s="25">
        <f ca="1">SUMIFS((CZ6:CZ259),$H$6:$H$259,$M$262)</f>
        <v>5</v>
      </c>
      <c r="CZ266" s="25"/>
      <c r="DA266" s="25"/>
      <c r="DB266" s="25">
        <f ca="1">SUMIFS((DC6:DC259),$H$6:$H$259,$M$262)</f>
        <v>7</v>
      </c>
      <c r="DC266" s="25"/>
      <c r="DD266" s="25"/>
      <c r="DE266" s="25">
        <f ca="1">SUMIFS((DF6:DF259),$H$6:$H$259,$M$262)</f>
        <v>4</v>
      </c>
      <c r="DF266" s="25"/>
      <c r="DG266" s="25"/>
      <c r="DH266" s="25">
        <f ca="1">SUMIFS((DI6:DI259),$H$6:$H$259,$M$262)</f>
        <v>3</v>
      </c>
      <c r="DI266" s="25"/>
      <c r="DJ266" s="25"/>
      <c r="DK266" s="25">
        <f ca="1">SUMIFS((DL6:DL259),$H$6:$H$259,$M$262)</f>
        <v>8</v>
      </c>
      <c r="DL266" s="25"/>
      <c r="DM266" s="25"/>
      <c r="DN266" s="25">
        <f ca="1">SUMIFS((DO6:DO259),$H$6:$H$259,$M$262)</f>
        <v>5</v>
      </c>
      <c r="DO266" s="25"/>
      <c r="DP266" s="25"/>
      <c r="DQ266" s="25">
        <f ca="1">SUMIFS((DR6:DR259),$H$6:$H$259,$M$262)</f>
        <v>4</v>
      </c>
      <c r="DR266" s="25"/>
      <c r="DS266" s="25"/>
      <c r="DT266" s="25">
        <f ca="1">SUMIFS((DU6:DU259),$H$6:$H$259,$M$262)</f>
        <v>8</v>
      </c>
      <c r="DU266" s="25"/>
      <c r="DV266" s="25"/>
      <c r="DW266" s="25">
        <f ca="1">SUMIFS((DX6:DX259),$H$6:$H$259,$M$262)</f>
        <v>3</v>
      </c>
      <c r="DX266" s="25"/>
      <c r="DY266" s="25"/>
      <c r="DZ266" s="25">
        <f ca="1">SUMIFS((EA6:EA259),$H$6:$H$259,$M$262)</f>
        <v>9</v>
      </c>
      <c r="EA266" s="25"/>
      <c r="EB266" s="25"/>
      <c r="EC266" s="25">
        <f ca="1">SUMIFS((ED6:ED259),$H$6:$H$259,$M$262)</f>
        <v>4</v>
      </c>
      <c r="ED266" s="25"/>
      <c r="EE266" s="25"/>
      <c r="EF266" s="25">
        <f ca="1">SUMIFS((EG6:EG259),$H$6:$H$259,$M$262)</f>
        <v>6</v>
      </c>
      <c r="EG266" s="25"/>
      <c r="EH266" s="25"/>
      <c r="EI266" s="25">
        <f ca="1">SUMIFS((EJ6:EJ259),$H$6:$H$259,$M$262)</f>
        <v>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5"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65</v>
      </c>
      <c r="E5" s="92" cm="1">
        <f t="array" aca="1" ref="E5" ca="1">IFERROR(INDEX(Rango_Admin_Clas_Total,E$2,MATCH($A5,Rango_Admin_Clas_Primera,0)+1),"-")</f>
        <v>65</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IGNACIO LAFUENTE</v>
      </c>
      <c r="D6" s="91">
        <f ca="1">IFERROR(HLOOKUP(A6,Rango_Admin_Clas,4,FALSE),"-")</f>
        <v>60</v>
      </c>
      <c r="E6" s="92" cm="1">
        <f t="array" aca="1" ref="E6" ca="1">IFERROR(INDEX(Rango_Admin_Clas_Total,E$2,MATCH($A6,Rango_Admin_Clas_Primera,0)+1),"-")</f>
        <v>60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Gratacós</v>
      </c>
      <c r="D7" s="91">
        <f ca="1">IFERROR(HLOOKUP(A7,Rango_Admin_Clas,4,FALSE),"-")</f>
        <v>57</v>
      </c>
      <c r="E7" s="92" cm="1">
        <f t="array" aca="1" ref="E7" ca="1">IFERROR(INDEX(Rango_Admin_Clas_Total,E$2,MATCH($A7,Rango_Admin_Clas_Primera,0)+1),"-")</f>
        <v>57</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Jaime Lafuente</v>
      </c>
      <c r="D8" s="91">
        <f ca="1">IFERROR(HLOOKUP(A8,Rango_Admin_Clas,4,FALSE),"-")</f>
        <v>56</v>
      </c>
      <c r="E8" s="92" cm="1">
        <f t="array" aca="1" ref="E8" ca="1">IFERROR(INDEX(Rango_Admin_Clas_Total,E$2,MATCH($A8,Rango_Admin_Clas_Primera,0)+1),"-")</f>
        <v>56</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4</v>
      </c>
      <c r="C9" s="18" t="str">
        <f ca="1">IFERROR(HLOOKUP(A9,Rango_Admin_Clas,5,FALSE),"-")</f>
        <v>MURO 204</v>
      </c>
      <c r="D9" s="91">
        <f ca="1">IFERROR(HLOOKUP(A9,Rango_Admin_Clas,4,FALSE),"-")</f>
        <v>56</v>
      </c>
      <c r="E9" s="92" cm="1">
        <f t="array" aca="1" ref="E9" ca="1">IFERROR(INDEX(Rango_Admin_Clas_Total,E$2,MATCH($A9,Rango_Admin_Clas_Primera,0)+1),"-")</f>
        <v>56</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Antonio del Ojo</v>
      </c>
      <c r="D10" s="91">
        <f ca="1">IFERROR(HLOOKUP(A10,Rango_Admin_Clas,4,FALSE),"-")</f>
        <v>55</v>
      </c>
      <c r="E10" s="92" cm="1">
        <f t="array" aca="1" ref="E10" ca="1">IFERROR(INDEX(Rango_Admin_Clas_Total,E$2,MATCH($A10,Rango_Admin_Clas_Primera,0)+1),"-")</f>
        <v>55</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6</v>
      </c>
      <c r="C11" s="18" t="str">
        <f ca="1">IFERROR(HLOOKUP(A11,Rango_Admin_Clas,5,FALSE),"-")</f>
        <v>Lucas Oriol</v>
      </c>
      <c r="D11" s="91">
        <f ca="1">IFERROR(HLOOKUP(A11,Rango_Admin_Clas,4,FALSE),"-")</f>
        <v>55</v>
      </c>
      <c r="E11" s="92" cm="1">
        <f t="array" aca="1" ref="E11" ca="1">IFERROR(INDEX(Rango_Admin_Clas_Total,E$2,MATCH($A11,Rango_Admin_Clas_Primera,0)+1),"-")</f>
        <v>55</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Alejandro Lafuente</v>
      </c>
      <c r="D12" s="91">
        <f ca="1">IFERROR(HLOOKUP(A12,Rango_Admin_Clas,4,FALSE),"-")</f>
        <v>54</v>
      </c>
      <c r="E12" s="92" cm="1">
        <f t="array" aca="1" ref="E12" ca="1">IFERROR(INDEX(Rango_Admin_Clas_Total,E$2,MATCH($A12,Rango_Admin_Clas_Primera,0)+1),"-")</f>
        <v>54</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Joserra</v>
      </c>
      <c r="D13" s="91">
        <f ca="1">IFERROR(HLOOKUP(A13,Rango_Admin_Clas,4,FALSE),"-")</f>
        <v>54</v>
      </c>
      <c r="E13" s="92" cm="1">
        <f t="array" aca="1" ref="E13" ca="1">IFERROR(INDEX(Rango_Admin_Clas_Total,E$2,MATCH($A13,Rango_Admin_Clas_Primera,0)+1),"-")</f>
        <v>54</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8</v>
      </c>
      <c r="C14" s="18" t="str">
        <f ca="1">IFERROR(HLOOKUP(A14,Rango_Admin_Clas,5,FALSE),"-")</f>
        <v>bau</v>
      </c>
      <c r="D14" s="91">
        <f ca="1">IFERROR(HLOOKUP(A14,Rango_Admin_Clas,4,FALSE),"-")</f>
        <v>54</v>
      </c>
      <c r="E14" s="92" cm="1">
        <f t="array" aca="1" ref="E14" ca="1">IFERROR(INDEX(Rango_Admin_Clas_Total,E$2,MATCH($A14,Rango_Admin_Clas_Primera,0)+1),"-")</f>
        <v>54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KIRICOCHO</v>
      </c>
      <c r="D15" s="91">
        <f ca="1">IFERROR(HLOOKUP(A15,Rango_Admin_Clas,4,FALSE),"-")</f>
        <v>53</v>
      </c>
      <c r="E15" s="92" cm="1">
        <f t="array" aca="1" ref="E15" ca="1">IFERROR(INDEX(Rango_Admin_Clas_Total,E$2,MATCH($A15,Rango_Admin_Clas_Primera,0)+1),"-")</f>
        <v>53</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Migay Marcos</v>
      </c>
      <c r="D16" s="91">
        <f ca="1">IFERROR(HLOOKUP(A16,Rango_Admin_Clas,4,FALSE),"-")</f>
        <v>52</v>
      </c>
      <c r="E16" s="92" cm="1">
        <f t="array" aca="1" ref="E16" ca="1">IFERROR(INDEX(Rango_Admin_Clas_Total,E$2,MATCH($A16,Rango_Admin_Clas_Primera,0)+1),"-")</f>
        <v>52</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12</v>
      </c>
      <c r="C17" s="18" t="str">
        <f ca="1">IFERROR(HLOOKUP(A17,Rango_Admin_Clas,5,FALSE),"-")</f>
        <v xml:space="preserve">Martín Matoses </v>
      </c>
      <c r="D17" s="91">
        <f ca="1">IFERROR(HLOOKUP(A17,Rango_Admin_Clas,4,FALSE),"-")</f>
        <v>52</v>
      </c>
      <c r="E17" s="92" cm="1">
        <f t="array" aca="1" ref="E17" ca="1">IFERROR(INDEX(Rango_Admin_Clas_Total,E$2,MATCH($A17,Rango_Admin_Clas_Primera,0)+1),"-")</f>
        <v>52</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JCU</v>
      </c>
      <c r="D18" s="91">
        <f ca="1">IFERROR(HLOOKUP(A18,Rango_Admin_Clas,4,FALSE),"-")</f>
        <v>50</v>
      </c>
      <c r="E18" s="92" cm="1">
        <f t="array" aca="1" ref="E18" ca="1">IFERROR(INDEX(Rango_Admin_Clas_Total,E$2,MATCH($A18,Rango_Admin_Clas_Primera,0)+1),"-")</f>
        <v>50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Fernando Carlos García-Ramos Redondo</v>
      </c>
      <c r="D19" s="91">
        <f ca="1">IFERROR(HLOOKUP(A19,Rango_Admin_Clas,4,FALSE),"-")</f>
        <v>50</v>
      </c>
      <c r="E19" s="92" cm="1">
        <f t="array" aca="1" ref="E19" ca="1">IFERROR(INDEX(Rango_Admin_Clas_Total,E$2,MATCH($A19,Rango_Admin_Clas_Primera,0)+1),"-")</f>
        <v>50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Alexander Schulte</v>
      </c>
      <c r="D20" s="91">
        <f ca="1">IFERROR(HLOOKUP(A20,Rango_Admin_Clas,4,FALSE),"-")</f>
        <v>49</v>
      </c>
      <c r="E20" s="92" cm="1">
        <f t="array" aca="1" ref="E20" ca="1">IFERROR(INDEX(Rango_Admin_Clas_Total,E$2,MATCH($A20,Rango_Admin_Clas_Primera,0)+1),"-")</f>
        <v>49</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Jaime García de la Riva</v>
      </c>
      <c r="D21" s="91">
        <f ca="1">IFERROR(HLOOKUP(A21,Rango_Admin_Clas,4,FALSE),"-")</f>
        <v>48</v>
      </c>
      <c r="E21" s="92" cm="1">
        <f t="array" aca="1" ref="E21" ca="1">IFERROR(INDEX(Rango_Admin_Clas_Total,E$2,MATCH($A21,Rango_Admin_Clas_Primera,0)+1),"-")</f>
        <v>48</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Antonio Zulueta Ramos</v>
      </c>
      <c r="D22" s="91">
        <f ca="1">IFERROR(HLOOKUP(A22,Rango_Admin_Clas,4,FALSE),"-")</f>
        <v>47</v>
      </c>
      <c r="E22" s="92" cm="1">
        <f t="array" aca="1" ref="E22" ca="1">IFERROR(INDEX(Rango_Admin_Clas_Total,E$2,MATCH($A22,Rango_Admin_Clas_Primera,0)+1),"-")</f>
        <v>47</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Ignacio de Lecea</v>
      </c>
      <c r="D23" s="91">
        <f ca="1">IFERROR(HLOOKUP(A23,Rango_Admin_Clas,4,FALSE),"-")</f>
        <v>47</v>
      </c>
      <c r="E23" s="92" cm="1">
        <f t="array" aca="1" ref="E23" ca="1">IFERROR(INDEX(Rango_Admin_Clas_Total,E$2,MATCH($A23,Rango_Admin_Clas_Primera,0)+1),"-")</f>
        <v>47</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18</v>
      </c>
      <c r="C24" s="18" t="str">
        <f ca="1">IFERROR(HLOOKUP(A24,Rango_Admin_Clas,5,FALSE),"-")</f>
        <v>Miguel San Martín</v>
      </c>
      <c r="D24" s="91">
        <f ca="1">IFERROR(HLOOKUP(A24,Rango_Admin_Clas,4,FALSE),"-")</f>
        <v>47</v>
      </c>
      <c r="E24" s="92" cm="1">
        <f t="array" aca="1" ref="E24" ca="1">IFERROR(INDEX(Rango_Admin_Clas_Total,E$2,MATCH($A24,Rango_Admin_Clas_Primera,0)+1),"-")</f>
        <v>47</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18</v>
      </c>
      <c r="C25" s="18" t="str">
        <f ca="1">IFERROR(HLOOKUP(A25,Rango_Admin_Clas,5,FALSE),"-")</f>
        <v xml:space="preserve">Ignacio Núñez </v>
      </c>
      <c r="D25" s="91">
        <f ca="1">IFERROR(HLOOKUP(A25,Rango_Admin_Clas,4,FALSE),"-")</f>
        <v>47</v>
      </c>
      <c r="E25" s="92" cm="1">
        <f t="array" aca="1" ref="E25" ca="1">IFERROR(INDEX(Rango_Admin_Clas_Total,E$2,MATCH($A25,Rango_Admin_Clas_Primera,0)+1),"-")</f>
        <v>47</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Ricardo Soto</v>
      </c>
      <c r="D26" s="91">
        <f ca="1">IFERROR(HLOOKUP(A26,Rango_Admin_Clas,4,FALSE),"-")</f>
        <v>46</v>
      </c>
      <c r="E26" s="92" cm="1">
        <f t="array" aca="1" ref="E26" ca="1">IFERROR(INDEX(Rango_Admin_Clas_Total,E$2,MATCH($A26,Rango_Admin_Clas_Primera,0)+1),"-")</f>
        <v>46</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Admin</v>
      </c>
      <c r="D27" s="91">
        <f ca="1">IFERROR(HLOOKUP(A27,Rango_Admin_Clas,4,FALSE),"-")</f>
        <v>45</v>
      </c>
      <c r="E27" s="92" cm="1">
        <f t="array" aca="1" ref="E27" ca="1">IFERROR(INDEX(Rango_Admin_Clas_Total,E$2,MATCH($A27,Rango_Admin_Clas_Primera,0)+1),"-")</f>
        <v>45</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William Hartley</v>
      </c>
      <c r="D28" s="91">
        <f ca="1">IFERROR(HLOOKUP(A28,Rango_Admin_Clas,4,FALSE),"-")</f>
        <v>45</v>
      </c>
      <c r="E28" s="92" cm="1">
        <f t="array" aca="1" ref="E28" ca="1">IFERROR(INDEX(Rango_Admin_Clas_Total,E$2,MATCH($A28,Rango_Admin_Clas_Primera,0)+1),"-")</f>
        <v>45</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Luis B</v>
      </c>
      <c r="D29" s="91">
        <f ca="1">IFERROR(HLOOKUP(A29,Rango_Admin_Clas,4,FALSE),"-")</f>
        <v>44</v>
      </c>
      <c r="E29" s="92" cm="1">
        <f t="array" aca="1" ref="E29" ca="1">IFERROR(INDEX(Rango_Admin_Clas_Total,E$2,MATCH($A29,Rango_Admin_Clas_Primera,0)+1),"-")</f>
        <v>44</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Pablo C</v>
      </c>
      <c r="D30" s="91">
        <f ca="1">IFERROR(HLOOKUP(A30,Rango_Admin_Clas,4,FALSE),"-")</f>
        <v>43</v>
      </c>
      <c r="E30" s="92" cm="1">
        <f t="array" aca="1" ref="E30" ca="1">IFERROR(INDEX(Rango_Admin_Clas_Total,E$2,MATCH($A30,Rango_Admin_Clas_Primera,0)+1),"-")</f>
        <v>43</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26</v>
      </c>
      <c r="C31" s="18" t="str">
        <f ca="1">IFERROR(HLOOKUP(A31,Rango_Admin_Clas,5,FALSE),"-")</f>
        <v>YTD</v>
      </c>
      <c r="D31" s="91">
        <f ca="1">IFERROR(HLOOKUP(A31,Rango_Admin_Clas,4,FALSE),"-")</f>
        <v>43</v>
      </c>
      <c r="E31" s="92" cm="1">
        <f t="array" aca="1" ref="E31" ca="1">IFERROR(INDEX(Rango_Admin_Clas_Total,E$2,MATCH($A31,Rango_Admin_Clas_Primera,0)+1),"-")</f>
        <v>43</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26</v>
      </c>
      <c r="C32" s="18" t="str">
        <f ca="1">IFERROR(HLOOKUP(A32,Rango_Admin_Clas,5,FALSE),"-")</f>
        <v>Vicuinho</v>
      </c>
      <c r="D32" s="91">
        <f ca="1">IFERROR(HLOOKUP(A32,Rango_Admin_Clas,4,FALSE),"-")</f>
        <v>43</v>
      </c>
      <c r="E32" s="92" cm="1">
        <f t="array" aca="1" ref="E32" ca="1">IFERROR(INDEX(Rango_Admin_Clas_Total,E$2,MATCH($A32,Rango_Admin_Clas_Primera,0)+1),"-")</f>
        <v>43</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Nacho Novo</v>
      </c>
      <c r="D33" s="91">
        <f ca="1">IFERROR(HLOOKUP(A33,Rango_Admin_Clas,4,FALSE),"-")</f>
        <v>42</v>
      </c>
      <c r="E33" s="92" cm="1">
        <f t="array" aca="1" ref="E33" ca="1">IFERROR(INDEX(Rango_Admin_Clas_Total,E$2,MATCH($A33,Rango_Admin_Clas_Primera,0)+1),"-")</f>
        <v>42</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29</v>
      </c>
      <c r="C34" s="18" t="str">
        <f ca="1">IFERROR(HLOOKUP(A34,Rango_Admin_Clas,5,FALSE),"-")</f>
        <v>Guillermo Murciano</v>
      </c>
      <c r="D34" s="91">
        <f ca="1">IFERROR(HLOOKUP(A34,Rango_Admin_Clas,4,FALSE),"-")</f>
        <v>42</v>
      </c>
      <c r="E34" s="92" cm="1">
        <f t="array" aca="1" ref="E34" ca="1">IFERROR(INDEX(Rango_Admin_Clas_Total,E$2,MATCH($A34,Rango_Admin_Clas_Primera,0)+1),"-")</f>
        <v>42</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29</v>
      </c>
      <c r="C35" s="18" t="str">
        <f ca="1">IFERROR(HLOOKUP(A35,Rango_Admin_Clas,5,FALSE),"-")</f>
        <v>Miguel Suárez-Zuloaga</v>
      </c>
      <c r="D35" s="91">
        <f ca="1">IFERROR(HLOOKUP(A35,Rango_Admin_Clas,4,FALSE),"-")</f>
        <v>42</v>
      </c>
      <c r="E35" s="92" cm="1">
        <f t="array" aca="1" ref="E35" ca="1">IFERROR(INDEX(Rango_Admin_Clas_Total,E$2,MATCH($A35,Rango_Admin_Clas_Primera,0)+1),"-")</f>
        <v>42</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Pastor</v>
      </c>
      <c r="D36" s="91">
        <f ca="1">IFERROR(HLOOKUP(A36,Rango_Admin_Clas,4,FALSE),"-")</f>
        <v>41</v>
      </c>
      <c r="E36" s="92" cm="1">
        <f t="array" aca="1" ref="E36" ca="1">IFERROR(INDEX(Rango_Admin_Clas_Total,E$2,MATCH($A36,Rango_Admin_Clas_Primera,0)+1),"-")</f>
        <v>41</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32</v>
      </c>
      <c r="C37" s="18" t="str">
        <f ca="1">IFERROR(HLOOKUP(A37,Rango_Admin_Clas,5,FALSE),"-")</f>
        <v>BeliBeltrán</v>
      </c>
      <c r="D37" s="91">
        <f ca="1">IFERROR(HLOOKUP(A37,Rango_Admin_Clas,4,FALSE),"-")</f>
        <v>41</v>
      </c>
      <c r="E37" s="92" cm="1">
        <f t="array" aca="1" ref="E37" ca="1">IFERROR(INDEX(Rango_Admin_Clas_Total,E$2,MATCH($A37,Rango_Admin_Clas_Primera,0)+1),"-")</f>
        <v>41</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32</v>
      </c>
      <c r="C38" s="18" t="str">
        <f ca="1">IFERROR(HLOOKUP(A38,Rango_Admin_Clas,5,FALSE),"-")</f>
        <v>DIDI</v>
      </c>
      <c r="D38" s="91">
        <f ca="1">IFERROR(HLOOKUP(A38,Rango_Admin_Clas,4,FALSE),"-")</f>
        <v>41</v>
      </c>
      <c r="E38" s="92" cm="1">
        <f t="array" aca="1" ref="E38" ca="1">IFERROR(INDEX(Rango_Admin_Clas_Total,E$2,MATCH($A38,Rango_Admin_Clas_Primera,0)+1),"-")</f>
        <v>41</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Chente Muñoz</v>
      </c>
      <c r="D39" s="91">
        <f ca="1">IFERROR(HLOOKUP(A39,Rango_Admin_Clas,4,FALSE),"-")</f>
        <v>40</v>
      </c>
      <c r="E39" s="92" cm="1">
        <f t="array" aca="1" ref="E39" ca="1">IFERROR(INDEX(Rango_Admin_Clas_Total,E$2,MATCH($A39,Rango_Admin_Clas_Primera,0)+1),"-")</f>
        <v>40</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Kurtischamp</v>
      </c>
      <c r="D40" s="91">
        <f ca="1">IFERROR(HLOOKUP(A40,Rango_Admin_Clas,4,FALSE),"-")</f>
        <v>40</v>
      </c>
      <c r="E40" s="92" cm="1">
        <f t="array" aca="1" ref="E40" ca="1">IFERROR(INDEX(Rango_Admin_Clas_Total,E$2,MATCH($A40,Rango_Admin_Clas_Primera,0)+1),"-")</f>
        <v>40</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Fercho Muro Matosex</v>
      </c>
      <c r="D41" s="91">
        <f ca="1">IFERROR(HLOOKUP(A41,Rango_Admin_Clas,4,FALSE),"-")</f>
        <v>38</v>
      </c>
      <c r="E41" s="92" cm="1">
        <f t="array" aca="1" ref="E41" ca="1">IFERROR(INDEX(Rango_Admin_Clas_Total,E$2,MATCH($A41,Rango_Admin_Clas_Primera,0)+1),"-")</f>
        <v>38</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37</v>
      </c>
      <c r="C42" s="18" t="str">
        <f ca="1">IFERROR(HLOOKUP(A42,Rango_Admin_Clas,5,FALSE),"-")</f>
        <v>Hulk Rexach</v>
      </c>
      <c r="D42" s="91">
        <f ca="1">IFERROR(HLOOKUP(A42,Rango_Admin_Clas,4,FALSE),"-")</f>
        <v>38</v>
      </c>
      <c r="E42" s="92" cm="1">
        <f t="array" aca="1" ref="E42" ca="1">IFERROR(INDEX(Rango_Admin_Clas_Total,E$2,MATCH($A42,Rango_Admin_Clas_Primera,0)+1),"-")</f>
        <v>38</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Florentino Netanyahu</v>
      </c>
      <c r="D43" s="91">
        <f ca="1">IFERROR(HLOOKUP(A43,Rango_Admin_Clas,4,FALSE),"-")</f>
        <v>37</v>
      </c>
      <c r="E43" s="92" cm="1">
        <f t="array" aca="1" ref="E43" ca="1">IFERROR(INDEX(Rango_Admin_Clas_Total,E$2,MATCH($A43,Rango_Admin_Clas_Primera,0)+1),"-")</f>
        <v>37</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AD Monchus</v>
      </c>
      <c r="D44" s="91">
        <f ca="1">IFERROR(HLOOKUP(A44,Rango_Admin_Clas,4,FALSE),"-")</f>
        <v>36</v>
      </c>
      <c r="E44" s="92" cm="1">
        <f t="array" aca="1" ref="E44" ca="1">IFERROR(INDEX(Rango_Admin_Clas_Total,E$2,MATCH($A44,Rango_Admin_Clas_Primera,0)+1),"-")</f>
        <v>36</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28</v>
      </c>
      <c r="E45" s="92" cm="1">
        <f t="array" aca="1" ref="E45" ca="1">IFERROR(INDEX(Rango_Admin_Clas_Total,E$2,MATCH($A45,Rango_Admin_Clas_Primera,0)+1),"-")</f>
        <v>28</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46196</v>
      </c>
      <c r="I1" s="297"/>
      <c r="J1" s="19">
        <f ca="1">VLOOKUP($H$1,Equipos!$Q$2:$R$37,2,0)</f>
        <v>13</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Francia-Irak</v>
      </c>
      <c r="H2" s="19" t="str">
        <f ca="1"/>
        <v>Noruega-Senegal</v>
      </c>
      <c r="I2" s="19" t="str">
        <f ca="1"/>
        <v>Jordania-Argelia</v>
      </c>
      <c r="J2" s="19" t="str">
        <f ca="1"/>
        <v>Portugal-Uzbekistán</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Francia-Irak
 (1|3-0)</v>
      </c>
      <c r="H3" s="449" t="str">
        <f ca="1"/>
        <v>Noruega-Senegal
 (1|3-2)</v>
      </c>
      <c r="I3" s="449" t="str">
        <f ca="1"/>
        <v>Jordania-Argelia
 (2|1-2)</v>
      </c>
      <c r="J3" s="449" t="str">
        <f ca="1"/>
        <v>Portugal-Uzbekistán
 (1|5-0)</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Francia-Irak</v>
      </c>
      <c r="B4" s="8" t="str">
        <f ca="1">A4&amp;CHAR(10)&amp;C4</f>
        <v>Francia-Irak
 (1|3-0)</v>
      </c>
      <c r="C4" s="8" t="str" cm="1">
        <f t="array" aca="1" ref="C4" ca="1">IFERROR(IF(INDEX(ADMIN!$M$6:$M$258,SMALL(IF(ADMIN!$G$6:$G$258=$J$1,ROW(ADMIN!$G$6:$G$258)-ROW(ADMIN!$G$6)+1),ROWS($A$1:A1)))="-",""," ("&amp;INDEX(ADMIN!$M$6:$M$258,SMALL(IF(ADMIN!$G$6:$G$258=$J$1,ROW(ADMIN!$G$6:$G$258)-ROW(ADMIN!$G$6)+1),ROWS($A$1:A1)))&amp;")"),"")</f>
        <v xml:space="preserve"> (1|3-0)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1|4-1</v>
      </c>
      <c r="H4" s="429" t="str">
        <f ca="1">IFERROR(VLOOKUP(H$2,Rango_Admin_DailyPred,MATCH($F4,Rango_Admin_DailyPred_Primera,0),0),"-")</f>
        <v>1|2-0</v>
      </c>
      <c r="I4" s="429" t="str">
        <f ca="1">IFERROR(VLOOKUP(I$2,Rango_Admin_DailyPred,MATCH($F4,Rango_Admin_DailyPred_Primera,0),0),"-")</f>
        <v>2|0-1</v>
      </c>
      <c r="J4" s="429" t="str">
        <f ca="1">IFERROR(VLOOKUP(J$2,Rango_Admin_DailyPred,MATCH($F4,Rango_Admin_DailyPred_Primera,0),0),"-")</f>
        <v>1|3-1</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Noruega-Senegal</v>
      </c>
      <c r="B5" s="8" t="str">
        <f t="shared" ref="B5:B35" ca="1" si="0">A5&amp;CHAR(10)&amp;C5</f>
        <v>Noruega-Senegal
 (1|3-2)</v>
      </c>
      <c r="C5" s="8" t="str" cm="1">
        <f t="array" aca="1" ref="C5" ca="1">IFERROR(IF(INDEX(ADMIN!$M$6:$M$258,SMALL(IF(ADMIN!$G$6:$G$258=$J$1,ROW(ADMIN!$G$6:$G$258)-ROW(ADMIN!$G$6)+1),ROWS($A$1:A2)))="-", "", " ("&amp;INDEX(ADMIN!$M$6:$M$258,SMALL(IF(ADMIN!$G$6:$G$258=$J$1,ROW(ADMIN!$G$6:$G$258)-ROW(ADMIN!$G$6)+1),ROWS($A$1:A2)))&amp;")"),"")</f>
        <v xml:space="preserve"> (1|3-2)</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1|4-0</v>
      </c>
      <c r="H5" s="429" t="str">
        <f ca="1">IFERROR(VLOOKUP(H$2,Rango_Admin_DailyPred,MATCH($F5,Rango_Admin_DailyPred_Primera,0),0),"-")</f>
        <v>2|2-3</v>
      </c>
      <c r="I5" s="429" t="str">
        <f ca="1">IFERROR(VLOOKUP(I$2,Rango_Admin_DailyPred,MATCH($F5,Rango_Admin_DailyPred_Primera,0),0),"-")</f>
        <v>2|1-2</v>
      </c>
      <c r="J5" s="429" t="str">
        <f ca="1">IFERROR(VLOOKUP(J$2,Rango_Admin_DailyPred,MATCH($F5,Rango_Admin_DailyPred_Primera,0),0),"-")</f>
        <v>1|3-1</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Jordania-Argelia</v>
      </c>
      <c r="B6" s="8" t="str">
        <f t="shared" ca="1" si="0"/>
        <v>Jordania-Argelia
 (2|1-2)</v>
      </c>
      <c r="C6" s="8" t="str" cm="1">
        <f t="array" aca="1" ref="C6" ca="1">IFERROR(IF(INDEX(ADMIN!$M$6:$M$258,SMALL(IF(ADMIN!$G$6:$G$258=$J$1,ROW(ADMIN!$G$6:$G$258)-ROW(ADMIN!$G$6)+1),ROWS($A$1:A3)))="-", "", " ("&amp;INDEX(ADMIN!$M$6:$M$258,SMALL(IF(ADMIN!$G$6:$G$258=$J$1,ROW(ADMIN!$G$6:$G$258)-ROW(ADMIN!$G$6)+1),ROWS($A$1:A3)))&amp;")"),"")</f>
        <v xml:space="preserve"> (2|1-2)</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1|5-0</v>
      </c>
      <c r="H6" s="429" t="str">
        <f ca="1">IFERROR(VLOOKUP(H$2,Rango_Admin_DailyPred,MATCH($F6,Rango_Admin_DailyPred_Primera,0),0),"-")</f>
        <v>1|3-1</v>
      </c>
      <c r="I6" s="429" t="str">
        <f ca="1">IFERROR(VLOOKUP(I$2,Rango_Admin_DailyPred,MATCH($F6,Rango_Admin_DailyPred_Primera,0),0),"-")</f>
        <v>2|1-2</v>
      </c>
      <c r="J6" s="429" t="str">
        <f ca="1">IFERROR(VLOOKUP(J$2,Rango_Admin_DailyPred,MATCH($F6,Rango_Admin_DailyPred_Primera,0),0),"-")</f>
        <v>1|2-0</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Portugal-Uzbekistán</v>
      </c>
      <c r="B7" s="8" t="str">
        <f t="shared" ca="1" si="0"/>
        <v>Portugal-Uzbekistán
 (1|5-0)</v>
      </c>
      <c r="C7" s="8" t="str" cm="1">
        <f t="array" aca="1" ref="C7" ca="1">IFERROR(IF(INDEX(ADMIN!$M$6:$M$258,SMALL(IF(ADMIN!$G$6:$G$258=$J$1,ROW(ADMIN!$G$6:$G$258)-ROW(ADMIN!$G$6)+1),ROWS($A$1:A4)))="-", "", " ("&amp;INDEX(ADMIN!$M$6:$M$258,SMALL(IF(ADMIN!$G$6:$G$258=$J$1,ROW(ADMIN!$G$6:$G$258)-ROW(ADMIN!$G$6)+1),ROWS($A$1:A4)))&amp;")"),"")</f>
        <v xml:space="preserve"> (1|5-0)</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1|4-1</v>
      </c>
      <c r="H7" s="429" t="str">
        <f ca="1">IFERROR(VLOOKUP(H$2,Rango_Admin_DailyPred,MATCH($F7,Rango_Admin_DailyPred_Primera,0),0),"-")</f>
        <v>X|1-1</v>
      </c>
      <c r="I7" s="429" t="str">
        <f ca="1">IFERROR(VLOOKUP(I$2,Rango_Admin_DailyPred,MATCH($F7,Rango_Admin_DailyPred_Primera,0),0),"-")</f>
        <v>X|0-0</v>
      </c>
      <c r="J7" s="429" t="str">
        <f ca="1">IFERROR(VLOOKUP(J$2,Rango_Admin_DailyPred,MATCH($F7,Rango_Admin_DailyPred_Primera,0),0),"-")</f>
        <v>1|2-1</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1|3-1</v>
      </c>
      <c r="H8" s="429" t="str">
        <f ca="1">IFERROR(VLOOKUP(H$2,Rango_Admin_DailyPred,MATCH($F8,Rango_Admin_DailyPred_Primera,0),0),"-")</f>
        <v>X|1-1</v>
      </c>
      <c r="I8" s="429" t="str">
        <f ca="1">IFERROR(VLOOKUP(I$2,Rango_Admin_DailyPred,MATCH($F8,Rango_Admin_DailyPred_Primera,0),0),"-")</f>
        <v>X|1-1</v>
      </c>
      <c r="J8" s="429" t="str">
        <f ca="1">IFERROR(VLOOKUP(J$2,Rango_Admin_DailyPred,MATCH($F8,Rango_Admin_DailyPred_Primera,0),0),"-")</f>
        <v>1|2-1</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1|4-1</v>
      </c>
      <c r="H9" s="429" t="str">
        <f ca="1">IFERROR(VLOOKUP(H$2,Rango_Admin_DailyPred,MATCH($F9,Rango_Admin_DailyPred_Primera,0),0),"-")</f>
        <v>X|2-2</v>
      </c>
      <c r="I9" s="429" t="str">
        <f ca="1">IFERROR(VLOOKUP(I$2,Rango_Admin_DailyPred,MATCH($F9,Rango_Admin_DailyPred_Primera,0),0),"-")</f>
        <v>2|0-1</v>
      </c>
      <c r="J9" s="429" t="str">
        <f ca="1">IFERROR(VLOOKUP(J$2,Rango_Admin_DailyPred,MATCH($F9,Rango_Admin_DailyPred_Primera,0),0),"-")</f>
        <v>1|3-1</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1|3-0</v>
      </c>
      <c r="H10" s="429" t="str">
        <f ca="1">IFERROR(VLOOKUP(H$2,Rango_Admin_DailyPred,MATCH($F10,Rango_Admin_DailyPred_Primera,0),0),"-")</f>
        <v>X|2-2</v>
      </c>
      <c r="I10" s="429" t="str">
        <f ca="1">IFERROR(VLOOKUP(I$2,Rango_Admin_DailyPred,MATCH($F10,Rango_Admin_DailyPred_Primera,0),0),"-")</f>
        <v>2|0-2</v>
      </c>
      <c r="J10" s="429" t="str">
        <f ca="1">IFERROR(VLOOKUP(J$2,Rango_Admin_DailyPred,MATCH($F10,Rango_Admin_DailyPred_Primera,0),0),"-")</f>
        <v>1|5-0</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1|3-0</v>
      </c>
      <c r="H11" s="429" t="str">
        <f ca="1">IFERROR(VLOOKUP(H$2,Rango_Admin_DailyPred,MATCH($F11,Rango_Admin_DailyPred_Primera,0),0),"-")</f>
        <v>1|1-0</v>
      </c>
      <c r="I11" s="429" t="str">
        <f ca="1">IFERROR(VLOOKUP(I$2,Rango_Admin_DailyPred,MATCH($F11,Rango_Admin_DailyPred_Primera,0),0),"-")</f>
        <v>2|1-3</v>
      </c>
      <c r="J11" s="429" t="str">
        <f ca="1">IFERROR(VLOOKUP(J$2,Rango_Admin_DailyPred,MATCH($F11,Rango_Admin_DailyPred_Primera,0),0),"-")</f>
        <v>1|2-1</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1|4-0</v>
      </c>
      <c r="H12" s="429" t="str">
        <f ca="1">IFERROR(VLOOKUP(H$2,Rango_Admin_DailyPred,MATCH($F12,Rango_Admin_DailyPred_Primera,0),0),"-")</f>
        <v>X|2-2</v>
      </c>
      <c r="I12" s="429" t="str">
        <f ca="1">IFERROR(VLOOKUP(I$2,Rango_Admin_DailyPred,MATCH($F12,Rango_Admin_DailyPred_Primera,0),0),"-")</f>
        <v>2|1-3</v>
      </c>
      <c r="J12" s="429" t="str">
        <f ca="1">IFERROR(VLOOKUP(J$2,Rango_Admin_DailyPred,MATCH($F12,Rango_Admin_DailyPred_Primera,0),0),"-")</f>
        <v>1|4-0</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1|4-0</v>
      </c>
      <c r="H13" s="429" t="str">
        <f ca="1">IFERROR(VLOOKUP(H$2,Rango_Admin_DailyPred,MATCH($F13,Rango_Admin_DailyPred_Primera,0),0),"-")</f>
        <v>X|1-1</v>
      </c>
      <c r="I13" s="429" t="str">
        <f ca="1">IFERROR(VLOOKUP(I$2,Rango_Admin_DailyPred,MATCH($F13,Rango_Admin_DailyPred_Primera,0),0),"-")</f>
        <v>2|0-2</v>
      </c>
      <c r="J13" s="429" t="str">
        <f ca="1">IFERROR(VLOOKUP(J$2,Rango_Admin_DailyPred,MATCH($F13,Rango_Admin_DailyPred_Primera,0),0),"-")</f>
        <v>1|3-1</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1|5-0</v>
      </c>
      <c r="H14" s="429" t="str">
        <f ca="1">IFERROR(VLOOKUP(H$2,Rango_Admin_DailyPred,MATCH($F14,Rango_Admin_DailyPred_Primera,0),0),"-")</f>
        <v>X|2-2</v>
      </c>
      <c r="I14" s="429" t="str">
        <f ca="1">IFERROR(VLOOKUP(I$2,Rango_Admin_DailyPred,MATCH($F14,Rango_Admin_DailyPred_Primera,0),0),"-")</f>
        <v>2|0-2</v>
      </c>
      <c r="J14" s="429" t="str">
        <f ca="1">IFERROR(VLOOKUP(J$2,Rango_Admin_DailyPred,MATCH($F14,Rango_Admin_DailyPred_Primera,0),0),"-")</f>
        <v>1|4-0</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1|4-0</v>
      </c>
      <c r="H15" s="429" t="str">
        <f ca="1">IFERROR(VLOOKUP(H$2,Rango_Admin_DailyPred,MATCH($F15,Rango_Admin_DailyPred_Primera,0),0),"-")</f>
        <v>X|2-2</v>
      </c>
      <c r="I15" s="429" t="str">
        <f ca="1">IFERROR(VLOOKUP(I$2,Rango_Admin_DailyPred,MATCH($F15,Rango_Admin_DailyPred_Primera,0),0),"-")</f>
        <v>2|0-1</v>
      </c>
      <c r="J15" s="429" t="str">
        <f ca="1">IFERROR(VLOOKUP(J$2,Rango_Admin_DailyPred,MATCH($F15,Rango_Admin_DailyPred_Primera,0),0),"-")</f>
        <v>1|3-0</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1|3-0</v>
      </c>
      <c r="H16" s="429" t="str">
        <f ca="1">IFERROR(VLOOKUP(H$2,Rango_Admin_DailyPred,MATCH($F16,Rango_Admin_DailyPred_Primera,0),0),"-")</f>
        <v>1|1-0</v>
      </c>
      <c r="I16" s="429" t="str">
        <f ca="1">IFERROR(VLOOKUP(I$2,Rango_Admin_DailyPred,MATCH($F16,Rango_Admin_DailyPred_Primera,0),0),"-")</f>
        <v>X|0-0</v>
      </c>
      <c r="J16" s="429" t="str">
        <f ca="1">IFERROR(VLOOKUP(J$2,Rango_Admin_DailyPred,MATCH($F16,Rango_Admin_DailyPred_Primera,0),0),"-")</f>
        <v>1|3-0</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1|2-0</v>
      </c>
      <c r="I17" s="429" t="str">
        <f ca="1">IFERROR(VLOOKUP(I$2,Rango_Admin_DailyPred,MATCH($F17,Rango_Admin_DailyPred_Primera,0),0),"-")</f>
        <v>X|1-1</v>
      </c>
      <c r="J17" s="429" t="str">
        <f ca="1">IFERROR(VLOOKUP(J$2,Rango_Admin_DailyPred,MATCH($F17,Rango_Admin_DailyPred_Primera,0),0),"-")</f>
        <v>1|2-0</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1|5-0</v>
      </c>
      <c r="H18" s="429" t="str">
        <f ca="1">IFERROR(VLOOKUP(H$2,Rango_Admin_DailyPred,MATCH($F18,Rango_Admin_DailyPred_Primera,0),0),"-")</f>
        <v>1|3-1</v>
      </c>
      <c r="I18" s="429" t="str">
        <f ca="1">IFERROR(VLOOKUP(I$2,Rango_Admin_DailyPred,MATCH($F18,Rango_Admin_DailyPred_Primera,0),0),"-")</f>
        <v>2|1-2</v>
      </c>
      <c r="J18" s="429" t="str">
        <f ca="1">IFERROR(VLOOKUP(J$2,Rango_Admin_DailyPred,MATCH($F18,Rango_Admin_DailyPred_Primera,0),0),"-")</f>
        <v>1|2-0</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1|3-0</v>
      </c>
      <c r="H19" s="429" t="str">
        <f ca="1">IFERROR(VLOOKUP(H$2,Rango_Admin_DailyPred,MATCH($F19,Rango_Admin_DailyPred_Primera,0),0),"-")</f>
        <v>X|1-1</v>
      </c>
      <c r="I19" s="429" t="str">
        <f ca="1">IFERROR(VLOOKUP(I$2,Rango_Admin_DailyPred,MATCH($F19,Rango_Admin_DailyPred_Primera,0),0),"-")</f>
        <v>2|0-1</v>
      </c>
      <c r="J19" s="429" t="str">
        <f ca="1">IFERROR(VLOOKUP(J$2,Rango_Admin_DailyPred,MATCH($F19,Rango_Admin_DailyPred_Primera,0),0),"-")</f>
        <v>1|2-0</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1|3-0</v>
      </c>
      <c r="H20" s="429" t="str">
        <f ca="1">IFERROR(VLOOKUP(H$2,Rango_Admin_DailyPred,MATCH($F20,Rango_Admin_DailyPred_Primera,0),0),"-")</f>
        <v>X|1-1</v>
      </c>
      <c r="I20" s="429" t="str">
        <f ca="1">IFERROR(VLOOKUP(I$2,Rango_Admin_DailyPred,MATCH($F20,Rango_Admin_DailyPred_Primera,0),0),"-")</f>
        <v>2|0-2</v>
      </c>
      <c r="J20" s="429" t="str">
        <f ca="1">IFERROR(VLOOKUP(J$2,Rango_Admin_DailyPred,MATCH($F20,Rango_Admin_DailyPred_Primera,0),0),"-")</f>
        <v>1|1-0</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1|3-0</v>
      </c>
      <c r="H21" s="429" t="str">
        <f ca="1">IFERROR(VLOOKUP(H$2,Rango_Admin_DailyPred,MATCH($F21,Rango_Admin_DailyPred_Primera,0),0),"-")</f>
        <v>X|1-1</v>
      </c>
      <c r="I21" s="429" t="str">
        <f ca="1">IFERROR(VLOOKUP(I$2,Rango_Admin_DailyPred,MATCH($F21,Rango_Admin_DailyPred_Primera,0),0),"-")</f>
        <v>X|1-1</v>
      </c>
      <c r="J21" s="429" t="str">
        <f ca="1">IFERROR(VLOOKUP(J$2,Rango_Admin_DailyPred,MATCH($F21,Rango_Admin_DailyPred_Primera,0),0),"-")</f>
        <v>1|2-0</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1|4-0</v>
      </c>
      <c r="H22" s="429" t="str">
        <f ca="1">IFERROR(VLOOKUP(H$2,Rango_Admin_DailyPred,MATCH($F22,Rango_Admin_DailyPred_Primera,0),0),"-")</f>
        <v>2|1-2</v>
      </c>
      <c r="I22" s="429" t="str">
        <f ca="1">IFERROR(VLOOKUP(I$2,Rango_Admin_DailyPred,MATCH($F22,Rango_Admin_DailyPred_Primera,0),0),"-")</f>
        <v>2|1-2</v>
      </c>
      <c r="J22" s="429" t="str">
        <f ca="1">IFERROR(VLOOKUP(J$2,Rango_Admin_DailyPred,MATCH($F22,Rango_Admin_DailyPred_Primera,0),0),"-")</f>
        <v>1|4-0</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1|3-0</v>
      </c>
      <c r="H23" s="429" t="str">
        <f ca="1">IFERROR(VLOOKUP(H$2,Rango_Admin_DailyPred,MATCH($F23,Rango_Admin_DailyPred_Primera,0),0),"-")</f>
        <v>X|1-1</v>
      </c>
      <c r="I23" s="429" t="str">
        <f ca="1">IFERROR(VLOOKUP(I$2,Rango_Admin_DailyPred,MATCH($F23,Rango_Admin_DailyPred_Primera,0),0),"-")</f>
        <v>2|0-1</v>
      </c>
      <c r="J23" s="429" t="str">
        <f ca="1">IFERROR(VLOOKUP(J$2,Rango_Admin_DailyPred,MATCH($F23,Rango_Admin_DailyPred_Primera,0),0),"-")</f>
        <v>1|2-1</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1|4-0</v>
      </c>
      <c r="H24" s="429" t="str">
        <f ca="1">IFERROR(VLOOKUP(H$2,Rango_Admin_DailyPred,MATCH($F24,Rango_Admin_DailyPred_Primera,0),0),"-")</f>
        <v>2|1-3</v>
      </c>
      <c r="I24" s="429" t="str">
        <f ca="1">IFERROR(VLOOKUP(I$2,Rango_Admin_DailyPred,MATCH($F24,Rango_Admin_DailyPred_Primera,0),0),"-")</f>
        <v>X|0-0</v>
      </c>
      <c r="J24" s="429" t="str">
        <f ca="1">IFERROR(VLOOKUP(J$2,Rango_Admin_DailyPred,MATCH($F24,Rango_Admin_DailyPred_Primera,0),0),"-")</f>
        <v>1|1-0</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1|1-0</v>
      </c>
      <c r="H25" s="429" t="str">
        <f ca="1">IFERROR(VLOOKUP(H$2,Rango_Admin_DailyPred,MATCH($F25,Rango_Admin_DailyPred_Primera,0),0),"-")</f>
        <v>X|1-1</v>
      </c>
      <c r="I25" s="429" t="str">
        <f ca="1">IFERROR(VLOOKUP(I$2,Rango_Admin_DailyPred,MATCH($F25,Rango_Admin_DailyPred_Primera,0),0),"-")</f>
        <v>X|1-1</v>
      </c>
      <c r="J25" s="429" t="str">
        <f ca="1">IFERROR(VLOOKUP(J$2,Rango_Admin_DailyPred,MATCH($F25,Rango_Admin_DailyPred_Primera,0),0),"-")</f>
        <v>1|3-0</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1|3-0</v>
      </c>
      <c r="H26" s="429" t="str">
        <f ca="1">IFERROR(VLOOKUP(H$2,Rango_Admin_DailyPred,MATCH($F26,Rango_Admin_DailyPred_Primera,0),0),"-")</f>
        <v>X|1-1</v>
      </c>
      <c r="I26" s="429" t="str">
        <f ca="1">IFERROR(VLOOKUP(I$2,Rango_Admin_DailyPred,MATCH($F26,Rango_Admin_DailyPred_Primera,0),0),"-")</f>
        <v>1|2-1</v>
      </c>
      <c r="J26" s="429" t="str">
        <f ca="1">IFERROR(VLOOKUP(J$2,Rango_Admin_DailyPred,MATCH($F26,Rango_Admin_DailyPred_Primera,0),0),"-")</f>
        <v>1|3-1</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1|3-1</v>
      </c>
      <c r="H27" s="429" t="str">
        <f ca="1">IFERROR(VLOOKUP(H$2,Rango_Admin_DailyPred,MATCH($F27,Rango_Admin_DailyPred_Primera,0),0),"-")</f>
        <v>1|2-1</v>
      </c>
      <c r="I27" s="429" t="str">
        <f ca="1">IFERROR(VLOOKUP(I$2,Rango_Admin_DailyPred,MATCH($F27,Rango_Admin_DailyPred_Primera,0),0),"-")</f>
        <v>X|0-0</v>
      </c>
      <c r="J27" s="429" t="str">
        <f ca="1">IFERROR(VLOOKUP(J$2,Rango_Admin_DailyPred,MATCH($F27,Rango_Admin_DailyPred_Primera,0),0),"-")</f>
        <v>1|2-0</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1|4-0</v>
      </c>
      <c r="H28" s="429" t="str">
        <f ca="1">IFERROR(VLOOKUP(H$2,Rango_Admin_DailyPred,MATCH($F28,Rango_Admin_DailyPred_Primera,0),0),"-")</f>
        <v>1|2-1</v>
      </c>
      <c r="I28" s="429" t="str">
        <f ca="1">IFERROR(VLOOKUP(I$2,Rango_Admin_DailyPred,MATCH($F28,Rango_Admin_DailyPred_Primera,0),0),"-")</f>
        <v>X|0-0</v>
      </c>
      <c r="J28" s="429" t="str">
        <f ca="1">IFERROR(VLOOKUP(J$2,Rango_Admin_DailyPred,MATCH($F28,Rango_Admin_DailyPred_Primera,0),0),"-")</f>
        <v>1|5-0</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1|4-0</v>
      </c>
      <c r="H29" s="429" t="str">
        <f ca="1">IFERROR(VLOOKUP(H$2,Rango_Admin_DailyPred,MATCH($F29,Rango_Admin_DailyPred_Primera,0),0),"-")</f>
        <v>X|2-2</v>
      </c>
      <c r="I29" s="429" t="str">
        <f ca="1">IFERROR(VLOOKUP(I$2,Rango_Admin_DailyPred,MATCH($F29,Rango_Admin_DailyPred_Primera,0),0),"-")</f>
        <v>2|0-2</v>
      </c>
      <c r="J29" s="429" t="str">
        <f ca="1">IFERROR(VLOOKUP(J$2,Rango_Admin_DailyPred,MATCH($F29,Rango_Admin_DailyPred_Primera,0),0),"-")</f>
        <v>1|3-0</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1|4-0</v>
      </c>
      <c r="H30" s="429" t="str">
        <f ca="1">IFERROR(VLOOKUP(H$2,Rango_Admin_DailyPred,MATCH($F30,Rango_Admin_DailyPred_Primera,0),0),"-")</f>
        <v>X|1-1</v>
      </c>
      <c r="I30" s="429" t="str">
        <f ca="1">IFERROR(VLOOKUP(I$2,Rango_Admin_DailyPred,MATCH($F30,Rango_Admin_DailyPred_Primera,0),0),"-")</f>
        <v>2|0-2</v>
      </c>
      <c r="J30" s="429" t="str">
        <f ca="1">IFERROR(VLOOKUP(J$2,Rango_Admin_DailyPred,MATCH($F30,Rango_Admin_DailyPred_Primera,0),0),"-")</f>
        <v>1|3-1</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1|4-0</v>
      </c>
      <c r="H31" s="429" t="str">
        <f ca="1">IFERROR(VLOOKUP(H$2,Rango_Admin_DailyPred,MATCH($F31,Rango_Admin_DailyPred_Primera,0),0),"-")</f>
        <v>X|1-1</v>
      </c>
      <c r="I31" s="429" t="str">
        <f ca="1">IFERROR(VLOOKUP(I$2,Rango_Admin_DailyPred,MATCH($F31,Rango_Admin_DailyPred_Primera,0),0),"-")</f>
        <v>2|0-1</v>
      </c>
      <c r="J31" s="429" t="str">
        <f ca="1">IFERROR(VLOOKUP(J$2,Rango_Admin_DailyPred,MATCH($F31,Rango_Admin_DailyPred_Primera,0),0),"-")</f>
        <v>1|2-0</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1|4-0</v>
      </c>
      <c r="H32" s="429" t="str">
        <f ca="1">IFERROR(VLOOKUP(H$2,Rango_Admin_DailyPred,MATCH($F32,Rango_Admin_DailyPred_Primera,0),0),"-")</f>
        <v>1|3-1</v>
      </c>
      <c r="I32" s="429" t="str">
        <f ca="1">IFERROR(VLOOKUP(I$2,Rango_Admin_DailyPred,MATCH($F32,Rango_Admin_DailyPred_Primera,0),0),"-")</f>
        <v>2|0-1</v>
      </c>
      <c r="J32" s="429" t="str">
        <f ca="1">IFERROR(VLOOKUP(J$2,Rango_Admin_DailyPred,MATCH($F32,Rango_Admin_DailyPred_Primera,0),0),"-")</f>
        <v>1|3-1</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1|3-0</v>
      </c>
      <c r="H33" s="429" t="str">
        <f ca="1">IFERROR(VLOOKUP(H$2,Rango_Admin_DailyPred,MATCH($F33,Rango_Admin_DailyPred_Primera,0),0),"-")</f>
        <v>X|1-1</v>
      </c>
      <c r="I33" s="429" t="str">
        <f ca="1">IFERROR(VLOOKUP(I$2,Rango_Admin_DailyPred,MATCH($F33,Rango_Admin_DailyPred_Primera,0),0),"-")</f>
        <v>2|0-1</v>
      </c>
      <c r="J33" s="429" t="str">
        <f ca="1">IFERROR(VLOOKUP(J$2,Rango_Admin_DailyPred,MATCH($F33,Rango_Admin_DailyPred_Primera,0),0),"-")</f>
        <v>1|2-0</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1|4-0</v>
      </c>
      <c r="H34" s="429" t="str">
        <f ca="1">IFERROR(VLOOKUP(H$2,Rango_Admin_DailyPred,MATCH($F34,Rango_Admin_DailyPred_Primera,0),0),"-")</f>
        <v>X|1-1</v>
      </c>
      <c r="I34" s="429" t="str">
        <f ca="1">IFERROR(VLOOKUP(I$2,Rango_Admin_DailyPred,MATCH($F34,Rango_Admin_DailyPred_Primera,0),0),"-")</f>
        <v>2|0-1</v>
      </c>
      <c r="J34" s="429" t="str">
        <f ca="1">IFERROR(VLOOKUP(J$2,Rango_Admin_DailyPred,MATCH($F34,Rango_Admin_DailyPred_Primera,0),0),"-")</f>
        <v>1|2-0</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1|3-1</v>
      </c>
      <c r="H35" s="429" t="str">
        <f ca="1">IFERROR(VLOOKUP(H$2,Rango_Admin_DailyPred,MATCH($F35,Rango_Admin_DailyPred_Primera,0),0),"-")</f>
        <v>X|2-2</v>
      </c>
      <c r="I35" s="429" t="str">
        <f ca="1">IFERROR(VLOOKUP(I$2,Rango_Admin_DailyPred,MATCH($F35,Rango_Admin_DailyPred_Primera,0),0),"-")</f>
        <v>2|0-2</v>
      </c>
      <c r="J35" s="429" t="str">
        <f ca="1">IFERROR(VLOOKUP(J$2,Rango_Admin_DailyPred,MATCH($F35,Rango_Admin_DailyPred_Primera,0),0),"-")</f>
        <v>1|3-1</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1|4-0</v>
      </c>
      <c r="H36" s="429" t="str">
        <f ca="1">IFERROR(VLOOKUP(H$2,Rango_Admin_DailyPred,MATCH($F36,Rango_Admin_DailyPred_Primera,0),0),"-")</f>
        <v>1|1-0</v>
      </c>
      <c r="I36" s="429" t="str">
        <f ca="1">IFERROR(VLOOKUP(I$2,Rango_Admin_DailyPred,MATCH($F36,Rango_Admin_DailyPred_Primera,0),0),"-")</f>
        <v>2|1-2</v>
      </c>
      <c r="J36" s="429" t="str">
        <f ca="1">IFERROR(VLOOKUP(J$2,Rango_Admin_DailyPred,MATCH($F36,Rango_Admin_DailyPred_Primera,0),0),"-")</f>
        <v>1|3-0</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1|6-1</v>
      </c>
      <c r="H37" s="429" t="str">
        <f ca="1">IFERROR(VLOOKUP(H$2,Rango_Admin_DailyPred,MATCH($F37,Rango_Admin_DailyPred_Primera,0),0),"-")</f>
        <v>1|2-1</v>
      </c>
      <c r="I37" s="429" t="str">
        <f ca="1">IFERROR(VLOOKUP(I$2,Rango_Admin_DailyPred,MATCH($F37,Rango_Admin_DailyPred_Primera,0),0),"-")</f>
        <v>2|0-3</v>
      </c>
      <c r="J37" s="429" t="str">
        <f ca="1">IFERROR(VLOOKUP(J$2,Rango_Admin_DailyPred,MATCH($F37,Rango_Admin_DailyPred_Primera,0),0),"-")</f>
        <v>1|4-0</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1|3-1</v>
      </c>
      <c r="H38" s="429" t="str">
        <f ca="1">IFERROR(VLOOKUP(H$2,Rango_Admin_DailyPred,MATCH($F38,Rango_Admin_DailyPred_Primera,0),0),"-")</f>
        <v>1|2-0</v>
      </c>
      <c r="I38" s="429" t="str">
        <f ca="1">IFERROR(VLOOKUP(I$2,Rango_Admin_DailyPred,MATCH($F38,Rango_Admin_DailyPred_Primera,0),0),"-")</f>
        <v>2|1-3</v>
      </c>
      <c r="J38" s="429" t="str">
        <f ca="1">IFERROR(VLOOKUP(J$2,Rango_Admin_DailyPred,MATCH($F38,Rango_Admin_DailyPred_Primera,0),0),"-")</f>
        <v>1|1-0</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1|2-1</v>
      </c>
      <c r="H39" s="429" t="str">
        <f ca="1">IFERROR(VLOOKUP(H$2,Rango_Admin_DailyPred,MATCH($F39,Rango_Admin_DailyPred_Primera,0),0),"-")</f>
        <v>1|3-2</v>
      </c>
      <c r="I39" s="429" t="str">
        <f ca="1">IFERROR(VLOOKUP(I$2,Rango_Admin_DailyPred,MATCH($F39,Rango_Admin_DailyPred_Primera,0),0),"-")</f>
        <v>2|0-1</v>
      </c>
      <c r="J39" s="429" t="str">
        <f ca="1">IFERROR(VLOOKUP(J$2,Rango_Admin_DailyPred,MATCH($F39,Rango_Admin_DailyPred_Primera,0),0),"-")</f>
        <v>1|3-1</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X|1-1</v>
      </c>
      <c r="I40" s="429" t="str">
        <f ca="1">IFERROR(VLOOKUP(I$2,Rango_Admin_DailyPred,MATCH($F40,Rango_Admin_DailyPred_Primera,0),0),"-")</f>
        <v>2|0-2</v>
      </c>
      <c r="J40" s="429" t="str">
        <f ca="1">IFERROR(VLOOKUP(J$2,Rango_Admin_DailyPred,MATCH($F40,Rango_Admin_DailyPred_Primera,0),0),"-")</f>
        <v>1|4-0</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1|3-0</v>
      </c>
      <c r="H41" s="429" t="str">
        <f ca="1">IFERROR(VLOOKUP(H$2,Rango_Admin_DailyPred,MATCH($F41,Rango_Admin_DailyPred_Primera,0),0),"-")</f>
        <v>1|2-1</v>
      </c>
      <c r="I41" s="429" t="str">
        <f ca="1">IFERROR(VLOOKUP(I$2,Rango_Admin_DailyPred,MATCH($F41,Rango_Admin_DailyPred_Primera,0),0),"-")</f>
        <v>2|0-1</v>
      </c>
      <c r="J41" s="429" t="str">
        <f ca="1">IFERROR(VLOOKUP(J$2,Rango_Admin_DailyPred,MATCH($F41,Rango_Admin_DailyPred_Primera,0),0),"-")</f>
        <v>1|3-0</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1|4-1</v>
      </c>
      <c r="H42" s="429" t="str">
        <f ca="1">IFERROR(VLOOKUP(H$2,Rango_Admin_DailyPred,MATCH($F42,Rango_Admin_DailyPred_Primera,0),0),"-")</f>
        <v>X|2-2</v>
      </c>
      <c r="I42" s="429" t="str">
        <f ca="1">IFERROR(VLOOKUP(I$2,Rango_Admin_DailyPred,MATCH($F42,Rango_Admin_DailyPred_Primera,0),0),"-")</f>
        <v>2|1-3</v>
      </c>
      <c r="J42" s="429" t="str">
        <f ca="1">IFERROR(VLOOKUP(J$2,Rango_Admin_DailyPred,MATCH($F42,Rango_Admin_DailyPred_Primera,0),0),"-")</f>
        <v>1|3-0</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1|3-1</v>
      </c>
      <c r="H43" s="429" t="str">
        <f ca="1">IFERROR(VLOOKUP(H$2,Rango_Admin_DailyPred,MATCH($F43,Rango_Admin_DailyPred_Primera,0),0),"-")</f>
        <v>2|0-1</v>
      </c>
      <c r="I43" s="429" t="str">
        <f ca="1">IFERROR(VLOOKUP(I$2,Rango_Admin_DailyPred,MATCH($F43,Rango_Admin_DailyPred_Primera,0),0),"-")</f>
        <v>2|1-2</v>
      </c>
      <c r="J43" s="429" t="str">
        <f ca="1">IFERROR(VLOOKUP(J$2,Rango_Admin_DailyPred,MATCH($F43,Rango_Admin_DailyPred_Primera,0),0),"-")</f>
        <v>1|2-1</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1|4-0</v>
      </c>
      <c r="H44" s="429" t="str">
        <f ca="1">IFERROR(VLOOKUP(H$2,Rango_Admin_DailyPred,MATCH($F44,Rango_Admin_DailyPred_Primera,0),0),"-")</f>
        <v>X|2-2</v>
      </c>
      <c r="I44" s="429" t="str">
        <f ca="1">IFERROR(VLOOKUP(I$2,Rango_Admin_DailyPred,MATCH($F44,Rango_Admin_DailyPred_Primera,0),0),"-")</f>
        <v>2|0-2</v>
      </c>
      <c r="J44" s="429" t="str">
        <f ca="1">IFERROR(VLOOKUP(J$2,Rango_Admin_DailyPred,MATCH($F44,Rango_Admin_DailyPred_Primera,0),0),"-")</f>
        <v>1|2-0</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f ca="1">IFERROR(VLOOKUP(G$2,Rango_Admin_DailyPred,MATCH($F45,Rango_Admin_DailyPred_Primera,0),0),"-")</f>
        <v>0</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f ca="1">IFERROR(VLOOKUP(G$2,Rango_Admin_DailyPred,MATCH($F46,Rango_Admin_DailyPred_Primera,0),0),"-")</f>
        <v>0</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f ca="1">IFERROR(VLOOKUP(G$2,Rango_Admin_DailyPred,MATCH($F47,Rango_Admin_DailyPred_Primera,0),0),"-")</f>
        <v>0</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f ca="1">IFERROR(VLOOKUP(G$2,Rango_Admin_DailyPred,MATCH($F48,Rango_Admin_DailyPred_Primera,0),0),"-")</f>
        <v>0</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f ca="1">IFERROR(VLOOKUP(G$2,Rango_Admin_DailyPred,MATCH($F49,Rango_Admin_DailyPred_Primera,0),0),"-")</f>
        <v>0</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f ca="1">IFERROR(VLOOKUP(G$2,Rango_Admin_DailyPred,MATCH($F50,Rango_Admin_DailyPred_Primera,0),0),"-")</f>
        <v>0</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f ca="1">IFERROR(VLOOKUP(G$2,Rango_Admin_DailyPred,MATCH($F51,Rango_Admin_DailyPred_Primera,0),0),"-")</f>
        <v>0</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f ca="1">IFERROR(VLOOKUP(G$2,Rango_Admin_DailyPred,MATCH($F52,Rango_Admin_DailyPred_Primera,0),0),"-")</f>
        <v>0</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f ca="1">IFERROR(VLOOKUP(G$2,Rango_Admin_DailyPred,MATCH($F53,Rango_Admin_DailyPred_Primera,0),0),"-")</f>
        <v>0</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46196</v>
      </c>
      <c r="J1" s="297"/>
      <c r="K1" s="19">
        <f ca="1">VLOOKUP($I$1,Equipos!$Q$2:$R$37,2,0)</f>
        <v>13</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Francia-Irak</v>
      </c>
      <c r="I2" s="19" t="str">
        <f ca="1"/>
        <v>Noruega-Senegal</v>
      </c>
      <c r="J2" s="19" t="str">
        <f ca="1"/>
        <v>Jordania-Argelia</v>
      </c>
      <c r="K2" s="19" t="str">
        <f ca="1"/>
        <v>Portugal-Uzbekistán</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Francia-Irak
 (1|3-0)</v>
      </c>
      <c r="I3" s="449" t="str">
        <f ca="1"/>
        <v>Noruega-Senegal
 (1|3-2)</v>
      </c>
      <c r="J3" s="449" t="str">
        <f ca="1"/>
        <v>Jordania-Argelia
 (2|1-2)</v>
      </c>
      <c r="K3" s="449" t="str">
        <f ca="1"/>
        <v>Portugal-Uzbekistán
 (1|5-0)</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Francia-Irak</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Francia-Irak
 (1|3-0)</v>
      </c>
      <c r="C4" s="8">
        <v>1</v>
      </c>
      <c r="D4" s="90"/>
      <c r="E4" s="409">
        <f ca="1">IFERROR(HLOOKUP(C4,Rango_Admin_DailyClas,3,FALSE),"-")</f>
        <v>1</v>
      </c>
      <c r="F4" s="448" t="str">
        <f ca="1">IFERROR(HLOOKUP(C4,Rango_Admin_DailyClas,5,FALSE),"-")</f>
        <v>Nacho Novo</v>
      </c>
      <c r="G4" s="22">
        <f ca="1">IFERROR(HLOOKUP(C4,Rango_Admin_DailyClas,4,FALSE),"-")</f>
        <v>9</v>
      </c>
      <c r="H4" s="429">
        <f ca="1">IFERROR(VLOOKUP(H$2,Rango_Admin_DailyPred,MATCH($F4,Rango_Admin_DailyPred_Primera,0)+1,0),"-")</f>
        <v>4</v>
      </c>
      <c r="I4" s="429">
        <f ca="1">IFERROR(VLOOKUP(I$2,Rango_Admin_DailyPred,MATCH($F4,Rango_Admin_DailyPred_Primera,0)+1,0),"-")</f>
        <v>0</v>
      </c>
      <c r="J4" s="429">
        <f ca="1">IFERROR(VLOOKUP(J$2,Rango_Admin_DailyPred,MATCH($F4,Rango_Admin_DailyPred_Primera,0)+1,0),"-")</f>
        <v>1</v>
      </c>
      <c r="K4" s="429">
        <f ca="1">IFERROR(VLOOKUP(K$2,Rango_Admin_DailyPred,MATCH($F4,Rango_Admin_DailyPred_Primera,0)+1,0),"-")</f>
        <v>4</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Noruega-Senegal</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Noruega-Senegal
 (1|3-2)</v>
      </c>
      <c r="C5" s="8">
        <v>2</v>
      </c>
      <c r="D5" s="90"/>
      <c r="E5" s="409">
        <f ca="1">IFERROR(HLOOKUP(C5,Rango_Admin_DailyClas,3,FALSE),"-")</f>
        <v>1</v>
      </c>
      <c r="F5" s="448" t="str">
        <f ca="1">IFERROR(HLOOKUP(C5,Rango_Admin_DailyClas,5,FALSE),"-")</f>
        <v>DIDI</v>
      </c>
      <c r="G5" s="22">
        <f ca="1">IFERROR(HLOOKUP(C5,Rango_Admin_DailyClas,4,FALSE),"-")</f>
        <v>9</v>
      </c>
      <c r="H5" s="429">
        <f ca="1">IFERROR(VLOOKUP(H$2,Rango_Admin_DailyPred,MATCH($F5,Rango_Admin_DailyPred_Primera,0)+1,0),"-")</f>
        <v>4</v>
      </c>
      <c r="I5" s="429">
        <f ca="1">IFERROR(VLOOKUP(I$2,Rango_Admin_DailyPred,MATCH($F5,Rango_Admin_DailyPred_Primera,0)+1,0),"-")</f>
        <v>2</v>
      </c>
      <c r="J5" s="429">
        <f ca="1">IFERROR(VLOOKUP(J$2,Rango_Admin_DailyPred,MATCH($F5,Rango_Admin_DailyPred_Primera,0)+1,0),"-")</f>
        <v>2</v>
      </c>
      <c r="K5" s="429">
        <f ca="1">IFERROR(VLOOKUP(K$2,Rango_Admin_DailyPred,MATCH($F5,Rango_Admin_DailyPred_Primera,0)+1,0),"-")</f>
        <v>1</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Jordania-Argelia</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Jordania-Argelia
 (2|1-2)</v>
      </c>
      <c r="C6" s="8">
        <v>3</v>
      </c>
      <c r="D6" s="90"/>
      <c r="E6" s="409">
        <f ca="1">IFERROR(HLOOKUP(C6,Rango_Admin_DailyClas,3,FALSE),"-")</f>
        <v>3</v>
      </c>
      <c r="F6" s="448" t="str">
        <f ca="1">IFERROR(HLOOKUP(C6,Rango_Admin_DailyClas,5,FALSE),"-")</f>
        <v>Antonio Zulueta Ramos</v>
      </c>
      <c r="G6" s="22">
        <f ca="1">IFERROR(HLOOKUP(C6,Rango_Admin_DailyClas,4,FALSE),"-")</f>
        <v>8</v>
      </c>
      <c r="H6" s="429">
        <f ca="1">IFERROR(VLOOKUP(H$2,Rango_Admin_DailyPred,MATCH($F6,Rango_Admin_DailyPred_Primera,0)+1,0),"-")</f>
        <v>4</v>
      </c>
      <c r="I6" s="429">
        <f ca="1">IFERROR(VLOOKUP(I$2,Rango_Admin_DailyPred,MATCH($F6,Rango_Admin_DailyPred_Primera,0)+1,0),"-")</f>
        <v>2</v>
      </c>
      <c r="J6" s="429">
        <f ca="1">IFERROR(VLOOKUP(J$2,Rango_Admin_DailyPred,MATCH($F6,Rango_Admin_DailyPred_Primera,0)+1,0),"-")</f>
        <v>1</v>
      </c>
      <c r="K6" s="429">
        <f ca="1">IFERROR(VLOOKUP(K$2,Rango_Admin_DailyPred,MATCH($F6,Rango_Admin_DailyPred_Primera,0)+1,0),"-")</f>
        <v>1</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Portugal-Uzbekistán</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Portugal-Uzbekistán
 (1|5-0)</v>
      </c>
      <c r="C7" s="8">
        <v>4</v>
      </c>
      <c r="D7" s="90"/>
      <c r="E7" s="409">
        <f ca="1">IFERROR(HLOOKUP(C7,Rango_Admin_DailyClas,3,FALSE),"-")</f>
        <v>3</v>
      </c>
      <c r="F7" s="448" t="str">
        <f ca="1">IFERROR(HLOOKUP(C7,Rango_Admin_DailyClas,5,FALSE),"-")</f>
        <v>Gratacós</v>
      </c>
      <c r="G7" s="22">
        <f ca="1">IFERROR(HLOOKUP(C7,Rango_Admin_DailyClas,4,FALSE),"-")</f>
        <v>8</v>
      </c>
      <c r="H7" s="429">
        <f ca="1">IFERROR(VLOOKUP(H$2,Rango_Admin_DailyPred,MATCH($F7,Rango_Admin_DailyPred_Primera,0)+1,0),"-")</f>
        <v>1</v>
      </c>
      <c r="I7" s="429">
        <f ca="1">IFERROR(VLOOKUP(I$2,Rango_Admin_DailyPred,MATCH($F7,Rango_Admin_DailyPred_Primera,0)+1,0),"-")</f>
        <v>2</v>
      </c>
      <c r="J7" s="429">
        <f ca="1">IFERROR(VLOOKUP(J$2,Rango_Admin_DailyPred,MATCH($F7,Rango_Admin_DailyPred_Primera,0)+1,0),"-")</f>
        <v>4</v>
      </c>
      <c r="K7" s="429">
        <f ca="1">IFERROR(VLOOKUP(K$2,Rango_Admin_DailyPred,MATCH($F7,Rango_Admin_DailyPred_Primera,0)+1,0),"-")</f>
        <v>1</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3</v>
      </c>
      <c r="F8" s="448" t="str">
        <f ca="1">IFERROR(HLOOKUP(C8,Rango_Admin_DailyClas,5,FALSE),"-")</f>
        <v xml:space="preserve">Martín Matoses </v>
      </c>
      <c r="G8" s="22">
        <f ca="1">IFERROR(HLOOKUP(C8,Rango_Admin_DailyClas,4,FALSE),"-")</f>
        <v>8</v>
      </c>
      <c r="H8" s="429">
        <f ca="1">IFERROR(VLOOKUP(H$2,Rango_Admin_DailyPred,MATCH($F8,Rango_Admin_DailyPred_Primera,0)+1,0),"-")</f>
        <v>1</v>
      </c>
      <c r="I8" s="429">
        <f ca="1">IFERROR(VLOOKUP(I$2,Rango_Admin_DailyPred,MATCH($F8,Rango_Admin_DailyPred_Primera,0)+1,0),"-")</f>
        <v>4</v>
      </c>
      <c r="J8" s="429">
        <f ca="1">IFERROR(VLOOKUP(J$2,Rango_Admin_DailyPred,MATCH($F8,Rango_Admin_DailyPred_Primera,0)+1,0),"-")</f>
        <v>2</v>
      </c>
      <c r="K8" s="429">
        <f ca="1">IFERROR(VLOOKUP(K$2,Rango_Admin_DailyPred,MATCH($F8,Rango_Admin_DailyPred_Primera,0)+1,0),"-")</f>
        <v>1</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6</v>
      </c>
      <c r="F9" s="448" t="str">
        <f ca="1">IFERROR(HLOOKUP(C9,Rango_Admin_DailyClas,5,FALSE),"-")</f>
        <v>Alejandro Lafuente</v>
      </c>
      <c r="G9" s="22">
        <f ca="1">IFERROR(HLOOKUP(C9,Rango_Admin_DailyClas,4,FALSE),"-")</f>
        <v>7</v>
      </c>
      <c r="H9" s="429">
        <f ca="1">IFERROR(VLOOKUP(H$2,Rango_Admin_DailyPred,MATCH($F9,Rango_Admin_DailyPred_Primera,0)+1,0),"-")</f>
        <v>1</v>
      </c>
      <c r="I9" s="429">
        <f ca="1">IFERROR(VLOOKUP(I$2,Rango_Admin_DailyPred,MATCH($F9,Rango_Admin_DailyPred_Primera,0)+1,0),"-")</f>
        <v>1</v>
      </c>
      <c r="J9" s="429">
        <f ca="1">IFERROR(VLOOKUP(J$2,Rango_Admin_DailyPred,MATCH($F9,Rango_Admin_DailyPred_Primera,0)+1,0),"-")</f>
        <v>4</v>
      </c>
      <c r="K9" s="429">
        <f ca="1">IFERROR(VLOOKUP(K$2,Rango_Admin_DailyPred,MATCH($F9,Rango_Admin_DailyPred_Primera,0)+1,0),"-")</f>
        <v>1</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6</v>
      </c>
      <c r="F10" s="448" t="str">
        <f ca="1">IFERROR(HLOOKUP(C10,Rango_Admin_DailyClas,5,FALSE),"-")</f>
        <v>Ignacio de Lecea</v>
      </c>
      <c r="G10" s="22">
        <f ca="1">IFERROR(HLOOKUP(C10,Rango_Admin_DailyClas,4,FALSE),"-")</f>
        <v>7</v>
      </c>
      <c r="H10" s="429">
        <f ca="1">IFERROR(VLOOKUP(H$2,Rango_Admin_DailyPred,MATCH($F10,Rango_Admin_DailyPred_Primera,0)+1,0),"-")</f>
        <v>4</v>
      </c>
      <c r="I10" s="429">
        <f ca="1">IFERROR(VLOOKUP(I$2,Rango_Admin_DailyPred,MATCH($F10,Rango_Admin_DailyPred_Primera,0)+1,0),"-")</f>
        <v>2</v>
      </c>
      <c r="J10" s="429">
        <f ca="1">IFERROR(VLOOKUP(J$2,Rango_Admin_DailyPred,MATCH($F10,Rango_Admin_DailyPred_Primera,0)+1,0),"-")</f>
        <v>0</v>
      </c>
      <c r="K10" s="429">
        <f ca="1">IFERROR(VLOOKUP(K$2,Rango_Admin_DailyPred,MATCH($F10,Rango_Admin_DailyPred_Primera,0)+1,0),"-")</f>
        <v>1</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6</v>
      </c>
      <c r="F11" s="448" t="str">
        <f ca="1">IFERROR(HLOOKUP(C11,Rango_Admin_DailyClas,5,FALSE),"-")</f>
        <v>Joserra</v>
      </c>
      <c r="G11" s="22">
        <f ca="1">IFERROR(HLOOKUP(C11,Rango_Admin_DailyClas,4,FALSE),"-")</f>
        <v>7</v>
      </c>
      <c r="H11" s="429">
        <f ca="1">IFERROR(VLOOKUP(H$2,Rango_Admin_DailyPred,MATCH($F11,Rango_Admin_DailyPred_Primera,0)+1,0),"-")</f>
        <v>1</v>
      </c>
      <c r="I11" s="429">
        <f ca="1">IFERROR(VLOOKUP(I$2,Rango_Admin_DailyPred,MATCH($F11,Rango_Admin_DailyPred_Primera,0)+1,0),"-")</f>
        <v>1</v>
      </c>
      <c r="J11" s="429">
        <f ca="1">IFERROR(VLOOKUP(J$2,Rango_Admin_DailyPred,MATCH($F11,Rango_Admin_DailyPred_Primera,0)+1,0),"-")</f>
        <v>4</v>
      </c>
      <c r="K11" s="429">
        <f ca="1">IFERROR(VLOOKUP(K$2,Rango_Admin_DailyPred,MATCH($F11,Rango_Admin_DailyPred_Primera,0)+1,0),"-")</f>
        <v>1</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6</v>
      </c>
      <c r="F12" s="448" t="str">
        <f ca="1">IFERROR(HLOOKUP(C12,Rango_Admin_DailyClas,5,FALSE),"-")</f>
        <v>Migay Marcos</v>
      </c>
      <c r="G12" s="22">
        <f ca="1">IFERROR(HLOOKUP(C12,Rango_Admin_DailyClas,4,FALSE),"-")</f>
        <v>7</v>
      </c>
      <c r="H12" s="429">
        <f ca="1">IFERROR(VLOOKUP(H$2,Rango_Admin_DailyPred,MATCH($F12,Rango_Admin_DailyPred_Primera,0)+1,0),"-")</f>
        <v>4</v>
      </c>
      <c r="I12" s="429">
        <f ca="1">IFERROR(VLOOKUP(I$2,Rango_Admin_DailyPred,MATCH($F12,Rango_Admin_DailyPred_Primera,0)+1,0),"-")</f>
        <v>0</v>
      </c>
      <c r="J12" s="429">
        <f ca="1">IFERROR(VLOOKUP(J$2,Rango_Admin_DailyPred,MATCH($F12,Rango_Admin_DailyPred_Primera,0)+1,0),"-")</f>
        <v>2</v>
      </c>
      <c r="K12" s="429">
        <f ca="1">IFERROR(VLOOKUP(K$2,Rango_Admin_DailyPred,MATCH($F12,Rango_Admin_DailyPred_Primera,0)+1,0),"-")</f>
        <v>1</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6</v>
      </c>
      <c r="F13" s="448" t="str">
        <f ca="1">IFERROR(HLOOKUP(C13,Rango_Admin_DailyClas,5,FALSE),"-")</f>
        <v>Miguel San Martín</v>
      </c>
      <c r="G13" s="22">
        <f ca="1">IFERROR(HLOOKUP(C13,Rango_Admin_DailyClas,4,FALSE),"-")</f>
        <v>7</v>
      </c>
      <c r="H13" s="429">
        <f ca="1">IFERROR(VLOOKUP(H$2,Rango_Admin_DailyPred,MATCH($F13,Rango_Admin_DailyPred_Primera,0)+1,0),"-")</f>
        <v>4</v>
      </c>
      <c r="I13" s="429">
        <f ca="1">IFERROR(VLOOKUP(I$2,Rango_Admin_DailyPred,MATCH($F13,Rango_Admin_DailyPred_Primera,0)+1,0),"-")</f>
        <v>0</v>
      </c>
      <c r="J13" s="429">
        <f ca="1">IFERROR(VLOOKUP(J$2,Rango_Admin_DailyPred,MATCH($F13,Rango_Admin_DailyPred_Primera,0)+1,0),"-")</f>
        <v>2</v>
      </c>
      <c r="K13" s="429">
        <f ca="1">IFERROR(VLOOKUP(K$2,Rango_Admin_DailyPred,MATCH($F13,Rango_Admin_DailyPred_Primera,0)+1,0),"-")</f>
        <v>1</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6</v>
      </c>
      <c r="F14" s="448" t="str">
        <f ca="1">IFERROR(HLOOKUP(C14,Rango_Admin_DailyClas,5,FALSE),"-")</f>
        <v>YTD</v>
      </c>
      <c r="G14" s="22">
        <f ca="1">IFERROR(HLOOKUP(C14,Rango_Admin_DailyClas,4,FALSE),"-")</f>
        <v>7</v>
      </c>
      <c r="H14" s="429">
        <f ca="1">IFERROR(VLOOKUP(H$2,Rango_Admin_DailyPred,MATCH($F14,Rango_Admin_DailyPred_Primera,0)+1,0),"-")</f>
        <v>1</v>
      </c>
      <c r="I14" s="429">
        <f ca="1">IFERROR(VLOOKUP(I$2,Rango_Admin_DailyPred,MATCH($F14,Rango_Admin_DailyPred_Primera,0)+1,0),"-")</f>
        <v>2</v>
      </c>
      <c r="J14" s="429">
        <f ca="1">IFERROR(VLOOKUP(J$2,Rango_Admin_DailyPred,MATCH($F14,Rango_Admin_DailyPred_Primera,0)+1,0),"-")</f>
        <v>0</v>
      </c>
      <c r="K14" s="429">
        <f ca="1">IFERROR(VLOOKUP(K$2,Rango_Admin_DailyPred,MATCH($F14,Rango_Admin_DailyPred_Primera,0)+1,0),"-")</f>
        <v>4</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6</v>
      </c>
      <c r="F15" s="448" t="str">
        <f ca="1">IFERROR(HLOOKUP(C15,Rango_Admin_DailyClas,5,FALSE),"-")</f>
        <v>Fernando Carlos García-Ramos Redondo</v>
      </c>
      <c r="G15" s="22">
        <f ca="1">IFERROR(HLOOKUP(C15,Rango_Admin_DailyClas,4,FALSE),"-")</f>
        <v>7</v>
      </c>
      <c r="H15" s="429">
        <f ca="1">IFERROR(VLOOKUP(H$2,Rango_Admin_DailyPred,MATCH($F15,Rango_Admin_DailyPred_Primera,0)+1,0),"-")</f>
        <v>4</v>
      </c>
      <c r="I15" s="429">
        <f ca="1">IFERROR(VLOOKUP(I$2,Rango_Admin_DailyPred,MATCH($F15,Rango_Admin_DailyPred_Primera,0)+1,0),"-")</f>
        <v>0</v>
      </c>
      <c r="J15" s="429">
        <f ca="1">IFERROR(VLOOKUP(J$2,Rango_Admin_DailyPred,MATCH($F15,Rango_Admin_DailyPred_Primera,0)+1,0),"-")</f>
        <v>2</v>
      </c>
      <c r="K15" s="429">
        <f ca="1">IFERROR(VLOOKUP(K$2,Rango_Admin_DailyPred,MATCH($F15,Rango_Admin_DailyPred_Primera,0)+1,0),"-")</f>
        <v>1</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Admin</v>
      </c>
      <c r="G16" s="22">
        <f ca="1">IFERROR(HLOOKUP(C16,Rango_Admin_DailyClas,4,FALSE),"-")</f>
        <v>6</v>
      </c>
      <c r="H16" s="429">
        <f ca="1">IFERROR(VLOOKUP(H$2,Rango_Admin_DailyPred,MATCH($F16,Rango_Admin_DailyPred_Primera,0)+1,0),"-")</f>
        <v>2</v>
      </c>
      <c r="I16" s="429">
        <f ca="1">IFERROR(VLOOKUP(I$2,Rango_Admin_DailyPred,MATCH($F16,Rango_Admin_DailyPred_Primera,0)+1,0),"-")</f>
        <v>1</v>
      </c>
      <c r="J16" s="429">
        <f ca="1">IFERROR(VLOOKUP(J$2,Rango_Admin_DailyPred,MATCH($F16,Rango_Admin_DailyPred_Primera,0)+1,0),"-")</f>
        <v>2</v>
      </c>
      <c r="K16" s="429">
        <f ca="1">IFERROR(VLOOKUP(K$2,Rango_Admin_DailyPred,MATCH($F16,Rango_Admin_DailyPred_Primera,0)+1,0),"-")</f>
        <v>1</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Luis B</v>
      </c>
      <c r="G17" s="22">
        <f ca="1">IFERROR(HLOOKUP(C17,Rango_Admin_DailyClas,4,FALSE),"-")</f>
        <v>6</v>
      </c>
      <c r="H17" s="429">
        <f ca="1">IFERROR(VLOOKUP(H$2,Rango_Admin_DailyPred,MATCH($F17,Rango_Admin_DailyPred_Primera,0)+1,0),"-")</f>
        <v>1</v>
      </c>
      <c r="I17" s="429">
        <f ca="1">IFERROR(VLOOKUP(I$2,Rango_Admin_DailyPred,MATCH($F17,Rango_Admin_DailyPred_Primera,0)+1,0),"-")</f>
        <v>0</v>
      </c>
      <c r="J17" s="429">
        <f ca="1">IFERROR(VLOOKUP(J$2,Rango_Admin_DailyPred,MATCH($F17,Rango_Admin_DailyPred_Primera,0)+1,0),"-")</f>
        <v>4</v>
      </c>
      <c r="K17" s="429">
        <f ca="1">IFERROR(VLOOKUP(K$2,Rango_Admin_DailyPred,MATCH($F17,Rango_Admin_DailyPred_Primera,0)+1,0),"-")</f>
        <v>1</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Antonio del Ojo</v>
      </c>
      <c r="G18" s="22">
        <f ca="1">IFERROR(HLOOKUP(C18,Rango_Admin_DailyClas,4,FALSE),"-")</f>
        <v>6</v>
      </c>
      <c r="H18" s="429">
        <f ca="1">IFERROR(VLOOKUP(H$2,Rango_Admin_DailyPred,MATCH($F18,Rango_Admin_DailyPred_Primera,0)+1,0),"-")</f>
        <v>4</v>
      </c>
      <c r="I18" s="429">
        <f ca="1">IFERROR(VLOOKUP(I$2,Rango_Admin_DailyPred,MATCH($F18,Rango_Admin_DailyPred_Primera,0)+1,0),"-")</f>
        <v>0</v>
      </c>
      <c r="J18" s="429">
        <f ca="1">IFERROR(VLOOKUP(J$2,Rango_Admin_DailyPred,MATCH($F18,Rango_Admin_DailyPred_Primera,0)+1,0),"-")</f>
        <v>1</v>
      </c>
      <c r="K18" s="429">
        <f ca="1">IFERROR(VLOOKUP(K$2,Rango_Admin_DailyPred,MATCH($F18,Rango_Admin_DailyPred_Primera,0)+1,0),"-")</f>
        <v>1</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Hulk Rexach</v>
      </c>
      <c r="G19" s="22">
        <f ca="1">IFERROR(HLOOKUP(C19,Rango_Admin_DailyClas,4,FALSE),"-")</f>
        <v>6</v>
      </c>
      <c r="H19" s="429">
        <f ca="1">IFERROR(VLOOKUP(H$2,Rango_Admin_DailyPred,MATCH($F19,Rango_Admin_DailyPred_Primera,0)+1,0),"-")</f>
        <v>1</v>
      </c>
      <c r="I19" s="429">
        <f ca="1">IFERROR(VLOOKUP(I$2,Rango_Admin_DailyPred,MATCH($F19,Rango_Admin_DailyPred_Primera,0)+1,0),"-")</f>
        <v>0</v>
      </c>
      <c r="J19" s="429">
        <f ca="1">IFERROR(VLOOKUP(J$2,Rango_Admin_DailyPred,MATCH($F19,Rango_Admin_DailyPred_Primera,0)+1,0),"-")</f>
        <v>4</v>
      </c>
      <c r="K19" s="429">
        <f ca="1">IFERROR(VLOOKUP(K$2,Rango_Admin_DailyPred,MATCH($F19,Rango_Admin_DailyPred_Primera,0)+1,0),"-")</f>
        <v>1</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13</v>
      </c>
      <c r="F20" s="448" t="str">
        <f ca="1">IFERROR(HLOOKUP(C20,Rango_Admin_DailyClas,5,FALSE),"-")</f>
        <v>Ricardo Soto</v>
      </c>
      <c r="G20" s="22">
        <f ca="1">IFERROR(HLOOKUP(C20,Rango_Admin_DailyClas,4,FALSE),"-")</f>
        <v>6</v>
      </c>
      <c r="H20" s="429">
        <f ca="1">IFERROR(VLOOKUP(H$2,Rango_Admin_DailyPred,MATCH($F20,Rango_Admin_DailyPred_Primera,0)+1,0),"-")</f>
        <v>1</v>
      </c>
      <c r="I20" s="429">
        <f ca="1">IFERROR(VLOOKUP(I$2,Rango_Admin_DailyPred,MATCH($F20,Rango_Admin_DailyPred_Primera,0)+1,0),"-")</f>
        <v>0</v>
      </c>
      <c r="J20" s="429">
        <f ca="1">IFERROR(VLOOKUP(J$2,Rango_Admin_DailyPred,MATCH($F20,Rango_Admin_DailyPred_Primera,0)+1,0),"-")</f>
        <v>4</v>
      </c>
      <c r="K20" s="429">
        <f ca="1">IFERROR(VLOOKUP(K$2,Rango_Admin_DailyPred,MATCH($F20,Rango_Admin_DailyPred_Primera,0)+1,0),"-")</f>
        <v>1</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18</v>
      </c>
      <c r="F21" s="448" t="str">
        <f ca="1">IFERROR(HLOOKUP(C21,Rango_Admin_DailyClas,5,FALSE),"-")</f>
        <v>Jaime García de la Riva</v>
      </c>
      <c r="G21" s="22">
        <f ca="1">IFERROR(HLOOKUP(C21,Rango_Admin_DailyClas,4,FALSE),"-")</f>
        <v>5</v>
      </c>
      <c r="H21" s="429">
        <f ca="1">IFERROR(VLOOKUP(H$2,Rango_Admin_DailyPred,MATCH($F21,Rango_Admin_DailyPred_Primera,0)+1,0),"-")</f>
        <v>2</v>
      </c>
      <c r="I21" s="429">
        <f ca="1">IFERROR(VLOOKUP(I$2,Rango_Admin_DailyPred,MATCH($F21,Rango_Admin_DailyPred_Primera,0)+1,0),"-")</f>
        <v>0</v>
      </c>
      <c r="J21" s="429">
        <f ca="1">IFERROR(VLOOKUP(J$2,Rango_Admin_DailyPred,MATCH($F21,Rango_Admin_DailyPred_Primera,0)+1,0),"-")</f>
        <v>2</v>
      </c>
      <c r="K21" s="429">
        <f ca="1">IFERROR(VLOOKUP(K$2,Rango_Admin_DailyPred,MATCH($F21,Rango_Admin_DailyPred_Primera,0)+1,0),"-")</f>
        <v>1</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18</v>
      </c>
      <c r="F22" s="448" t="str">
        <f ca="1">IFERROR(HLOOKUP(C22,Rango_Admin_DailyClas,5,FALSE),"-")</f>
        <v>MURO 204</v>
      </c>
      <c r="G22" s="22">
        <f ca="1">IFERROR(HLOOKUP(C22,Rango_Admin_DailyClas,4,FALSE),"-")</f>
        <v>5</v>
      </c>
      <c r="H22" s="429">
        <f ca="1">IFERROR(VLOOKUP(H$2,Rango_Admin_DailyPred,MATCH($F22,Rango_Admin_DailyPred_Primera,0)+1,0),"-")</f>
        <v>4</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1</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18</v>
      </c>
      <c r="F23" s="448" t="str">
        <f ca="1">IFERROR(HLOOKUP(C23,Rango_Admin_DailyClas,5,FALSE),"-")</f>
        <v>Florentino Netanyahu</v>
      </c>
      <c r="G23" s="22">
        <f ca="1">IFERROR(HLOOKUP(C23,Rango_Admin_DailyClas,4,FALSE),"-")</f>
        <v>5</v>
      </c>
      <c r="H23" s="429">
        <f ca="1">IFERROR(VLOOKUP(H$2,Rango_Admin_DailyPred,MATCH($F23,Rango_Admin_DailyPred_Primera,0)+1,0),"-")</f>
        <v>4</v>
      </c>
      <c r="I23" s="429">
        <f ca="1">IFERROR(VLOOKUP(I$2,Rango_Admin_DailyPred,MATCH($F23,Rango_Admin_DailyPred_Primera,0)+1,0),"-")</f>
        <v>0</v>
      </c>
      <c r="J23" s="429">
        <f ca="1">IFERROR(VLOOKUP(J$2,Rango_Admin_DailyPred,MATCH($F23,Rango_Admin_DailyPred_Primera,0)+1,0),"-")</f>
        <v>0</v>
      </c>
      <c r="K23" s="429">
        <f ca="1">IFERROR(VLOOKUP(K$2,Rango_Admin_DailyPred,MATCH($F23,Rango_Admin_DailyPred_Primera,0)+1,0),"-")</f>
        <v>1</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18</v>
      </c>
      <c r="F24" s="448" t="str">
        <f ca="1">IFERROR(HLOOKUP(C24,Rango_Admin_DailyClas,5,FALSE),"-")</f>
        <v>BeliBeltrán</v>
      </c>
      <c r="G24" s="22">
        <f ca="1">IFERROR(HLOOKUP(C24,Rango_Admin_DailyClas,4,FALSE),"-")</f>
        <v>5</v>
      </c>
      <c r="H24" s="429">
        <f ca="1">IFERROR(VLOOKUP(H$2,Rango_Admin_DailyPred,MATCH($F24,Rango_Admin_DailyPred_Primera,0)+1,0),"-")</f>
        <v>1</v>
      </c>
      <c r="I24" s="429">
        <f ca="1">IFERROR(VLOOKUP(I$2,Rango_Admin_DailyPred,MATCH($F24,Rango_Admin_DailyPred_Primera,0)+1,0),"-")</f>
        <v>1</v>
      </c>
      <c r="J24" s="429">
        <f ca="1">IFERROR(VLOOKUP(J$2,Rango_Admin_DailyPred,MATCH($F24,Rango_Admin_DailyPred_Primera,0)+1,0),"-")</f>
        <v>2</v>
      </c>
      <c r="K24" s="429">
        <f ca="1">IFERROR(VLOOKUP(K$2,Rango_Admin_DailyPred,MATCH($F24,Rango_Admin_DailyPred_Primera,0)+1,0),"-")</f>
        <v>1</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18</v>
      </c>
      <c r="F25" s="448" t="str">
        <f ca="1">IFERROR(HLOOKUP(C25,Rango_Admin_DailyClas,5,FALSE),"-")</f>
        <v>AD Monchus</v>
      </c>
      <c r="G25" s="22">
        <f ca="1">IFERROR(HLOOKUP(C25,Rango_Admin_DailyClas,4,FALSE),"-")</f>
        <v>5</v>
      </c>
      <c r="H25" s="429">
        <f ca="1">IFERROR(VLOOKUP(H$2,Rango_Admin_DailyPred,MATCH($F25,Rango_Admin_DailyPred_Primera,0)+1,0),"-")</f>
        <v>1</v>
      </c>
      <c r="I25" s="429">
        <f ca="1">IFERROR(VLOOKUP(I$2,Rango_Admin_DailyPred,MATCH($F25,Rango_Admin_DailyPred_Primera,0)+1,0),"-")</f>
        <v>2</v>
      </c>
      <c r="J25" s="429">
        <f ca="1">IFERROR(VLOOKUP(J$2,Rango_Admin_DailyPred,MATCH($F25,Rango_Admin_DailyPred_Primera,0)+1,0),"-")</f>
        <v>1</v>
      </c>
      <c r="K25" s="429">
        <f ca="1">IFERROR(VLOOKUP(K$2,Rango_Admin_DailyPred,MATCH($F25,Rango_Admin_DailyPred_Primera,0)+1,0),"-")</f>
        <v>1</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23</v>
      </c>
      <c r="F26" s="448" t="str">
        <f ca="1">IFERROR(HLOOKUP(C26,Rango_Admin_DailyClas,5,FALSE),"-")</f>
        <v>Guillermo Murciano</v>
      </c>
      <c r="G26" s="22">
        <f ca="1">IFERROR(HLOOKUP(C26,Rango_Admin_DailyClas,4,FALSE),"-")</f>
        <v>4</v>
      </c>
      <c r="H26" s="429">
        <f ca="1">IFERROR(VLOOKUP(H$2,Rango_Admin_DailyPred,MATCH($F26,Rango_Admin_DailyPred_Primera,0)+1,0),"-")</f>
        <v>1</v>
      </c>
      <c r="I26" s="429">
        <f ca="1">IFERROR(VLOOKUP(I$2,Rango_Admin_DailyPred,MATCH($F26,Rango_Admin_DailyPred_Primera,0)+1,0),"-")</f>
        <v>0</v>
      </c>
      <c r="J26" s="429">
        <f ca="1">IFERROR(VLOOKUP(J$2,Rango_Admin_DailyPred,MATCH($F26,Rango_Admin_DailyPred_Primera,0)+1,0),"-")</f>
        <v>2</v>
      </c>
      <c r="K26" s="429">
        <f ca="1">IFERROR(VLOOKUP(K$2,Rango_Admin_DailyPred,MATCH($F26,Rango_Admin_DailyPred_Primera,0)+1,0),"-")</f>
        <v>1</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23</v>
      </c>
      <c r="F27" s="448" t="str">
        <f ca="1">IFERROR(HLOOKUP(C27,Rango_Admin_DailyClas,5,FALSE),"-")</f>
        <v>Lucas Oriol</v>
      </c>
      <c r="G27" s="22">
        <f ca="1">IFERROR(HLOOKUP(C27,Rango_Admin_DailyClas,4,FALSE),"-")</f>
        <v>4</v>
      </c>
      <c r="H27" s="429">
        <f ca="1">IFERROR(VLOOKUP(H$2,Rango_Admin_DailyPred,MATCH($F27,Rango_Admin_DailyPred_Primera,0)+1,0),"-")</f>
        <v>1</v>
      </c>
      <c r="I27" s="429">
        <f ca="1">IFERROR(VLOOKUP(I$2,Rango_Admin_DailyPred,MATCH($F27,Rango_Admin_DailyPred_Primera,0)+1,0),"-")</f>
        <v>2</v>
      </c>
      <c r="J27" s="429">
        <f ca="1">IFERROR(VLOOKUP(J$2,Rango_Admin_DailyPred,MATCH($F27,Rango_Admin_DailyPred_Primera,0)+1,0),"-")</f>
        <v>0</v>
      </c>
      <c r="K27" s="429">
        <f ca="1">IFERROR(VLOOKUP(K$2,Rango_Admin_DailyPred,MATCH($F27,Rango_Admin_DailyPred_Primera,0)+1,0),"-")</f>
        <v>1</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23</v>
      </c>
      <c r="F28" s="448" t="str">
        <f ca="1">IFERROR(HLOOKUP(C28,Rango_Admin_DailyClas,5,FALSE),"-")</f>
        <v>KIRICOCHO</v>
      </c>
      <c r="G28" s="22">
        <f ca="1">IFERROR(HLOOKUP(C28,Rango_Admin_DailyClas,4,FALSE),"-")</f>
        <v>4</v>
      </c>
      <c r="H28" s="429">
        <f ca="1">IFERROR(VLOOKUP(H$2,Rango_Admin_DailyPred,MATCH($F28,Rango_Admin_DailyPred_Primera,0)+1,0),"-")</f>
        <v>1</v>
      </c>
      <c r="I28" s="429">
        <f ca="1">IFERROR(VLOOKUP(I$2,Rango_Admin_DailyPred,MATCH($F28,Rango_Admin_DailyPred_Primera,0)+1,0),"-")</f>
        <v>0</v>
      </c>
      <c r="J28" s="429">
        <f ca="1">IFERROR(VLOOKUP(J$2,Rango_Admin_DailyPred,MATCH($F28,Rango_Admin_DailyPred_Primera,0)+1,0),"-")</f>
        <v>2</v>
      </c>
      <c r="K28" s="429">
        <f ca="1">IFERROR(VLOOKUP(K$2,Rango_Admin_DailyPred,MATCH($F28,Rango_Admin_DailyPred_Primera,0)+1,0),"-")</f>
        <v>1</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23</v>
      </c>
      <c r="F29" s="448" t="str">
        <f ca="1">IFERROR(HLOOKUP(C29,Rango_Admin_DailyClas,5,FALSE),"-")</f>
        <v>Vicuinho</v>
      </c>
      <c r="G29" s="22">
        <f ca="1">IFERROR(HLOOKUP(C29,Rango_Admin_DailyClas,4,FALSE),"-")</f>
        <v>4</v>
      </c>
      <c r="H29" s="429">
        <f ca="1">IFERROR(VLOOKUP(H$2,Rango_Admin_DailyPred,MATCH($F29,Rango_Admin_DailyPred_Primera,0)+1,0),"-")</f>
        <v>1</v>
      </c>
      <c r="I29" s="429">
        <f ca="1">IFERROR(VLOOKUP(I$2,Rango_Admin_DailyPred,MATCH($F29,Rango_Admin_DailyPred_Primera,0)+1,0),"-")</f>
        <v>0</v>
      </c>
      <c r="J29" s="429">
        <f ca="1">IFERROR(VLOOKUP(J$2,Rango_Admin_DailyPred,MATCH($F29,Rango_Admin_DailyPred_Primera,0)+1,0),"-")</f>
        <v>2</v>
      </c>
      <c r="K29" s="429">
        <f ca="1">IFERROR(VLOOKUP(K$2,Rango_Admin_DailyPred,MATCH($F29,Rango_Admin_DailyPred_Primera,0)+1,0),"-")</f>
        <v>1</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23</v>
      </c>
      <c r="F30" s="448" t="str">
        <f ca="1">IFERROR(HLOOKUP(C30,Rango_Admin_DailyClas,5,FALSE),"-")</f>
        <v>JUAN SOLAS</v>
      </c>
      <c r="G30" s="22">
        <f ca="1">IFERROR(HLOOKUP(C30,Rango_Admin_DailyClas,4,FALSE),"-")</f>
        <v>4</v>
      </c>
      <c r="H30" s="429">
        <f ca="1">IFERROR(VLOOKUP(H$2,Rango_Admin_DailyPred,MATCH($F30,Rango_Admin_DailyPred_Primera,0)+1,0),"-")</f>
        <v>1</v>
      </c>
      <c r="I30" s="429">
        <f ca="1">IFERROR(VLOOKUP(I$2,Rango_Admin_DailyPred,MATCH($F30,Rango_Admin_DailyPred_Primera,0)+1,0),"-")</f>
        <v>1</v>
      </c>
      <c r="J30" s="429">
        <f ca="1">IFERROR(VLOOKUP(J$2,Rango_Admin_DailyPred,MATCH($F30,Rango_Admin_DailyPred_Primera,0)+1,0),"-")</f>
        <v>1</v>
      </c>
      <c r="K30" s="429">
        <f ca="1">IFERROR(VLOOKUP(K$2,Rango_Admin_DailyPred,MATCH($F30,Rango_Admin_DailyPred_Primera,0)+1,0),"-")</f>
        <v>1</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23</v>
      </c>
      <c r="F31" s="448" t="str">
        <f ca="1">IFERROR(HLOOKUP(C31,Rango_Admin_DailyClas,5,FALSE),"-")</f>
        <v xml:space="preserve">Ignacio Núñez </v>
      </c>
      <c r="G31" s="22">
        <f ca="1">IFERROR(HLOOKUP(C31,Rango_Admin_DailyClas,4,FALSE),"-")</f>
        <v>4</v>
      </c>
      <c r="H31" s="429">
        <f ca="1">IFERROR(VLOOKUP(H$2,Rango_Admin_DailyPred,MATCH($F31,Rango_Admin_DailyPred_Primera,0)+1,0),"-")</f>
        <v>2</v>
      </c>
      <c r="I31" s="429">
        <f ca="1">IFERROR(VLOOKUP(I$2,Rango_Admin_DailyPred,MATCH($F31,Rango_Admin_DailyPred_Primera,0)+1,0),"-")</f>
        <v>0</v>
      </c>
      <c r="J31" s="429">
        <f ca="1">IFERROR(VLOOKUP(J$2,Rango_Admin_DailyPred,MATCH($F31,Rango_Admin_DailyPred_Primera,0)+1,0),"-")</f>
        <v>1</v>
      </c>
      <c r="K31" s="429">
        <f ca="1">IFERROR(VLOOKUP(K$2,Rango_Admin_DailyPred,MATCH($F31,Rango_Admin_DailyPred_Primera,0)+1,0),"-")</f>
        <v>1</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29</v>
      </c>
      <c r="F32" s="448" t="str">
        <f ca="1">IFERROR(HLOOKUP(C32,Rango_Admin_DailyClas,5,FALSE),"-")</f>
        <v>Jaime Lafuente</v>
      </c>
      <c r="G32" s="22">
        <f ca="1">IFERROR(HLOOKUP(C32,Rango_Admin_DailyClas,4,FALSE),"-")</f>
        <v>3</v>
      </c>
      <c r="H32" s="429">
        <f ca="1">IFERROR(VLOOKUP(H$2,Rango_Admin_DailyPred,MATCH($F32,Rango_Admin_DailyPred_Primera,0)+1,0),"-")</f>
        <v>2</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1</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29</v>
      </c>
      <c r="F33" s="448" t="str">
        <f ca="1">IFERROR(HLOOKUP(C33,Rango_Admin_DailyClas,5,FALSE),"-")</f>
        <v>Carlos Murciano</v>
      </c>
      <c r="G33" s="22">
        <f ca="1">IFERROR(HLOOKUP(C33,Rango_Admin_DailyClas,4,FALSE),"-")</f>
        <v>3</v>
      </c>
      <c r="H33" s="429">
        <f ca="1">IFERROR(VLOOKUP(H$2,Rango_Admin_DailyPred,MATCH($F33,Rango_Admin_DailyPred_Primera,0)+1,0),"-")</f>
        <v>1</v>
      </c>
      <c r="I33" s="429">
        <f ca="1">IFERROR(VLOOKUP(I$2,Rango_Admin_DailyPred,MATCH($F33,Rango_Admin_DailyPred_Primera,0)+1,0),"-")</f>
        <v>0</v>
      </c>
      <c r="J33" s="429">
        <f ca="1">IFERROR(VLOOKUP(J$2,Rango_Admin_DailyPred,MATCH($F33,Rango_Admin_DailyPred_Primera,0)+1,0),"-")</f>
        <v>1</v>
      </c>
      <c r="K33" s="429">
        <f ca="1">IFERROR(VLOOKUP(K$2,Rango_Admin_DailyPred,MATCH($F33,Rango_Admin_DailyPred_Primera,0)+1,0),"-")</f>
        <v>1</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29</v>
      </c>
      <c r="F34" s="448" t="str">
        <f ca="1">IFERROR(HLOOKUP(C34,Rango_Admin_DailyClas,5,FALSE),"-")</f>
        <v>Chente Muñoz</v>
      </c>
      <c r="G34" s="22">
        <f ca="1">IFERROR(HLOOKUP(C34,Rango_Admin_DailyClas,4,FALSE),"-")</f>
        <v>3</v>
      </c>
      <c r="H34" s="429">
        <f ca="1">IFERROR(VLOOKUP(H$2,Rango_Admin_DailyPred,MATCH($F34,Rango_Admin_DailyPred_Primera,0)+1,0),"-")</f>
        <v>1</v>
      </c>
      <c r="I34" s="429">
        <f ca="1">IFERROR(VLOOKUP(I$2,Rango_Admin_DailyPred,MATCH($F34,Rango_Admin_DailyPred_Primera,0)+1,0),"-")</f>
        <v>0</v>
      </c>
      <c r="J34" s="429">
        <f ca="1">IFERROR(VLOOKUP(J$2,Rango_Admin_DailyPred,MATCH($F34,Rango_Admin_DailyPred_Primera,0)+1,0),"-")</f>
        <v>1</v>
      </c>
      <c r="K34" s="429">
        <f ca="1">IFERROR(VLOOKUP(K$2,Rango_Admin_DailyPred,MATCH($F34,Rango_Admin_DailyPred_Primera,0)+1,0),"-")</f>
        <v>1</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29</v>
      </c>
      <c r="F35" s="448" t="str">
        <f ca="1">IFERROR(HLOOKUP(C35,Rango_Admin_DailyClas,5,FALSE),"-")</f>
        <v>Fercho Muro Matosex</v>
      </c>
      <c r="G35" s="22">
        <f ca="1">IFERROR(HLOOKUP(C35,Rango_Admin_DailyClas,4,FALSE),"-")</f>
        <v>3</v>
      </c>
      <c r="H35" s="429">
        <f ca="1">IFERROR(VLOOKUP(H$2,Rango_Admin_DailyPred,MATCH($F35,Rango_Admin_DailyPred_Primera,0)+1,0),"-")</f>
        <v>1</v>
      </c>
      <c r="I35" s="429">
        <f ca="1">IFERROR(VLOOKUP(I$2,Rango_Admin_DailyPred,MATCH($F35,Rango_Admin_DailyPred_Primera,0)+1,0),"-")</f>
        <v>0</v>
      </c>
      <c r="J35" s="429">
        <f ca="1">IFERROR(VLOOKUP(J$2,Rango_Admin_DailyPred,MATCH($F35,Rango_Admin_DailyPred_Primera,0)+1,0),"-")</f>
        <v>1</v>
      </c>
      <c r="K35" s="429">
        <f ca="1">IFERROR(VLOOKUP(K$2,Rango_Admin_DailyPred,MATCH($F35,Rango_Admin_DailyPred_Primera,0)+1,0),"-")</f>
        <v>1</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29</v>
      </c>
      <c r="F36" s="448" t="str">
        <f ca="1">IFERROR(HLOOKUP(C36,Rango_Admin_DailyClas,5,FALSE),"-")</f>
        <v>JCU</v>
      </c>
      <c r="G36" s="22">
        <f ca="1">IFERROR(HLOOKUP(C36,Rango_Admin_DailyClas,4,FALSE),"-")</f>
        <v>3</v>
      </c>
      <c r="H36" s="429">
        <f ca="1">IFERROR(VLOOKUP(H$2,Rango_Admin_DailyPred,MATCH($F36,Rango_Admin_DailyPred_Primera,0)+1,0),"-")</f>
        <v>1</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1</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29</v>
      </c>
      <c r="F37" s="448" t="str">
        <f ca="1">IFERROR(HLOOKUP(C37,Rango_Admin_DailyClas,5,FALSE),"-")</f>
        <v>William Hartley</v>
      </c>
      <c r="G37" s="22">
        <f ca="1">IFERROR(HLOOKUP(C37,Rango_Admin_DailyClas,4,FALSE),"-")</f>
        <v>3</v>
      </c>
      <c r="H37" s="429">
        <f ca="1">IFERROR(VLOOKUP(H$2,Rango_Admin_DailyPred,MATCH($F37,Rango_Admin_DailyPred_Primera,0)+1,0),"-")</f>
        <v>1</v>
      </c>
      <c r="I37" s="429">
        <f ca="1">IFERROR(VLOOKUP(I$2,Rango_Admin_DailyPred,MATCH($F37,Rango_Admin_DailyPred_Primera,0)+1,0),"-")</f>
        <v>0</v>
      </c>
      <c r="J37" s="429">
        <f ca="1">IFERROR(VLOOKUP(J$2,Rango_Admin_DailyPred,MATCH($F37,Rango_Admin_DailyPred_Primera,0)+1,0),"-")</f>
        <v>1</v>
      </c>
      <c r="K37" s="429">
        <f ca="1">IFERROR(VLOOKUP(K$2,Rango_Admin_DailyPred,MATCH($F37,Rango_Admin_DailyPred_Primera,0)+1,0),"-")</f>
        <v>1</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29</v>
      </c>
      <c r="F38" s="448" t="str">
        <f ca="1">IFERROR(HLOOKUP(C38,Rango_Admin_DailyClas,5,FALSE),"-")</f>
        <v>Kurtischamp</v>
      </c>
      <c r="G38" s="22">
        <f ca="1">IFERROR(HLOOKUP(C38,Rango_Admin_DailyClas,4,FALSE),"-")</f>
        <v>3</v>
      </c>
      <c r="H38" s="429">
        <f ca="1">IFERROR(VLOOKUP(H$2,Rango_Admin_DailyPred,MATCH($F38,Rango_Admin_DailyPred_Primera,0)+1,0),"-")</f>
        <v>1</v>
      </c>
      <c r="I38" s="429">
        <f ca="1">IFERROR(VLOOKUP(I$2,Rango_Admin_DailyPred,MATCH($F38,Rango_Admin_DailyPred_Primera,0)+1,0),"-")</f>
        <v>0</v>
      </c>
      <c r="J38" s="429">
        <f ca="1">IFERROR(VLOOKUP(J$2,Rango_Admin_DailyPred,MATCH($F38,Rango_Admin_DailyPred_Primera,0)+1,0),"-")</f>
        <v>1</v>
      </c>
      <c r="K38" s="429">
        <f ca="1">IFERROR(VLOOKUP(K$2,Rango_Admin_DailyPred,MATCH($F38,Rango_Admin_DailyPred_Primera,0)+1,0),"-")</f>
        <v>1</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29</v>
      </c>
      <c r="F39" s="448" t="str">
        <f ca="1">IFERROR(HLOOKUP(C39,Rango_Admin_DailyClas,5,FALSE),"-")</f>
        <v>Miguel Suárez-Zuloaga</v>
      </c>
      <c r="G39" s="22">
        <f ca="1">IFERROR(HLOOKUP(C39,Rango_Admin_DailyClas,4,FALSE),"-")</f>
        <v>3</v>
      </c>
      <c r="H39" s="429">
        <f ca="1">IFERROR(VLOOKUP(H$2,Rango_Admin_DailyPred,MATCH($F39,Rango_Admin_DailyPred_Primera,0)+1,0),"-")</f>
        <v>1</v>
      </c>
      <c r="I39" s="429">
        <f ca="1">IFERROR(VLOOKUP(I$2,Rango_Admin_DailyPred,MATCH($F39,Rango_Admin_DailyPred_Primera,0)+1,0),"-")</f>
        <v>0</v>
      </c>
      <c r="J39" s="429">
        <f ca="1">IFERROR(VLOOKUP(J$2,Rango_Admin_DailyPred,MATCH($F39,Rango_Admin_DailyPred_Primera,0)+1,0),"-")</f>
        <v>1</v>
      </c>
      <c r="K39" s="429">
        <f ca="1">IFERROR(VLOOKUP(K$2,Rango_Admin_DailyPred,MATCH($F39,Rango_Admin_DailyPred_Primera,0)+1,0),"-")</f>
        <v>1</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29</v>
      </c>
      <c r="F40" s="448" t="str">
        <f ca="1">IFERROR(HLOOKUP(C40,Rango_Admin_DailyClas,5,FALSE),"-")</f>
        <v>IGNACIO LAFUENTE</v>
      </c>
      <c r="G40" s="22">
        <f ca="1">IFERROR(HLOOKUP(C40,Rango_Admin_DailyClas,4,FALSE),"-")</f>
        <v>3</v>
      </c>
      <c r="H40" s="429">
        <f ca="1">IFERROR(VLOOKUP(H$2,Rango_Admin_DailyPred,MATCH($F40,Rango_Admin_DailyPred_Primera,0)+1,0),"-")</f>
        <v>1</v>
      </c>
      <c r="I40" s="429">
        <f ca="1">IFERROR(VLOOKUP(I$2,Rango_Admin_DailyPred,MATCH($F40,Rango_Admin_DailyPred_Primera,0)+1,0),"-")</f>
        <v>0</v>
      </c>
      <c r="J40" s="429">
        <f ca="1">IFERROR(VLOOKUP(J$2,Rango_Admin_DailyPred,MATCH($F40,Rango_Admin_DailyPred_Primera,0)+1,0),"-")</f>
        <v>1</v>
      </c>
      <c r="K40" s="429">
        <f ca="1">IFERROR(VLOOKUP(K$2,Rango_Admin_DailyPred,MATCH($F40,Rango_Admin_DailyPred_Primera,0)+1,0),"-")</f>
        <v>1</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29</v>
      </c>
      <c r="F41" s="448" t="str">
        <f ca="1">IFERROR(HLOOKUP(C41,Rango_Admin_DailyClas,5,FALSE),"-")</f>
        <v>Alexander Schulte</v>
      </c>
      <c r="G41" s="22">
        <f ca="1">IFERROR(HLOOKUP(C41,Rango_Admin_DailyClas,4,FALSE),"-")</f>
        <v>3</v>
      </c>
      <c r="H41" s="429">
        <f ca="1">IFERROR(VLOOKUP(H$2,Rango_Admin_DailyPred,MATCH($F41,Rango_Admin_DailyPred_Primera,0)+1,0),"-")</f>
        <v>1</v>
      </c>
      <c r="I41" s="429">
        <f ca="1">IFERROR(VLOOKUP(I$2,Rango_Admin_DailyPred,MATCH($F41,Rango_Admin_DailyPred_Primera,0)+1,0),"-")</f>
        <v>0</v>
      </c>
      <c r="J41" s="429">
        <f ca="1">IFERROR(VLOOKUP(J$2,Rango_Admin_DailyPred,MATCH($F41,Rango_Admin_DailyPred_Primera,0)+1,0),"-")</f>
        <v>1</v>
      </c>
      <c r="K41" s="429">
        <f ca="1">IFERROR(VLOOKUP(K$2,Rango_Admin_DailyPred,MATCH($F41,Rango_Admin_DailyPred_Primera,0)+1,0),"-")</f>
        <v>1</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Pastor</v>
      </c>
      <c r="G42" s="22">
        <f ca="1">IFERROR(HLOOKUP(C42,Rango_Admin_DailyClas,4,FALSE),"-")</f>
        <v>2</v>
      </c>
      <c r="H42" s="429">
        <f ca="1">IFERROR(VLOOKUP(H$2,Rango_Admin_DailyPred,MATCH($F42,Rango_Admin_DailyPred_Primera,0)+1,0),"-")</f>
        <v>1</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1</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2</v>
      </c>
      <c r="H43" s="429">
        <f ca="1">IFERROR(VLOOKUP(H$2,Rango_Admin_DailyPred,MATCH($F43,Rango_Admin_DailyPred_Primera,0)+1,0),"-")</f>
        <v>1</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1</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bau</v>
      </c>
      <c r="G44" s="22">
        <f ca="1">IFERROR(HLOOKUP(C44,Rango_Admin_DailyClas,4,FALSE),"-")</f>
        <v>2</v>
      </c>
      <c r="H44" s="429">
        <f ca="1">IFERROR(VLOOKUP(H$2,Rango_Admin_DailyPred,MATCH($F44,Rango_Admin_DailyPred_Primera,0)+1,0),"-")</f>
        <v>1</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1</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46196</v>
      </c>
      <c r="F5" s="404">
        <f ca="1">VLOOKUP($E$5,Equipos!$Q$2:$R$37,2,0)</f>
        <v>13</v>
      </c>
      <c r="G5" s="17"/>
      <c r="H5" s="476" t="str">
        <f>Idiomas!D501</f>
        <v>Selecciona un partido de hoy:↗</v>
      </c>
      <c r="I5" s="450" t="s">
        <v>1938</v>
      </c>
      <c r="J5" s="17"/>
      <c r="K5" s="17"/>
      <c r="L5" s="855">
        <f>SUM(WORLDCUP!AG4:AG147)/104</f>
        <v>0.46153846153846156</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23/06/26 (Individual)</v>
      </c>
      <c r="E8" s="455">
        <f ca="1">IFERROR(SUMIF(ADMIN!$G$6:$G$258,$F$5,ADMIN!$F$6:$F$258),"")</f>
        <v>16</v>
      </c>
      <c r="F8" s="456">
        <f ca="1">IFERROR(E8/$B$46,0)</f>
        <v>1.8327605956471937E-2</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23/06/26 (Individual)</v>
      </c>
      <c r="E9" s="455">
        <f ca="1">IFERROR(SUMIF($A$22:$A$45,"&lt;"&amp;$F$5,$B$22:$B$45),"")</f>
        <v>164</v>
      </c>
      <c r="F9" s="456">
        <f ca="1">IFERROR(E9/$B$46,0)</f>
        <v>0.18785796105383734</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23/06/26 (Individual)</v>
      </c>
      <c r="E10" s="455">
        <f ca="1">IFERROR(SUMIF($A$22:$A$45,"&lt;="&amp;$F$5,$B$22:$B$45),"")</f>
        <v>180</v>
      </c>
      <c r="F10" s="456">
        <f ca="1">IFERROR(E10/$B$46,0)</f>
        <v>0.20618556701030927</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693</v>
      </c>
      <c r="F11" s="456">
        <f ca="1">IFERROR(1-F10,0)</f>
        <v>0.79381443298969079</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800</v>
      </c>
      <c r="F12" s="456">
        <f ca="1">IFERROR(E12/B47,0)</f>
        <v>1.8327605956471937E-2</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206</v>
      </c>
      <c r="F13" s="456">
        <f ca="1">IFERROR(E13/E12,0)</f>
        <v>0.25750000000000001</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23/06/26?</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23/06/26?</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23/06/26?</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23/06/26?</v>
      </c>
      <c r="E17" s="459">
        <f ca="1">IFERROR(AVERAGE(DailyClas!$G$4:INDEX(DailyClas!$G$4:$G$100,ADMIN!$D$5)),0)</f>
        <v>4.12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38" ca="1">_xlfn.UNIQUE(_xlfn._xlws.FILTER(DailyPrediction!$A$4:$A$35,DailyPrediction!$A$4:$A$35&lt;&gt;""))</f>
        <v>Francia-Irak</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Noruega-Senegal</v>
      </c>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Jordania-Argelia</v>
      </c>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Portugal-Uzbekistán</v>
      </c>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141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49">
        <v>#VALUE!</v>
      </c>
      <c r="Y87" s="8">
        <v>3.5</v>
      </c>
    </row>
    <row r="88" spans="13:25">
      <c r="T88" s="700" t="s">
        <v>1796</v>
      </c>
      <c r="U88" s="8" t="s">
        <v>1755</v>
      </c>
      <c r="V88" s="8" t="s">
        <v>1756</v>
      </c>
      <c r="W88" s="8" t="s">
        <v>1760</v>
      </c>
      <c r="X88" s="700" t="e" vm="50">
        <v>#VALUE!</v>
      </c>
      <c r="Y88" s="8">
        <v>4</v>
      </c>
    </row>
    <row r="89" spans="13:25" ht="15.6">
      <c r="T89" s="700" t="s">
        <v>1797</v>
      </c>
      <c r="U89" s="8" t="s">
        <v>1786</v>
      </c>
      <c r="V89" s="8" t="s">
        <v>1786</v>
      </c>
      <c r="W89" s="701" t="s">
        <v>1787</v>
      </c>
      <c r="X89" s="700" t="e" vm="51">
        <v>#VALUE!</v>
      </c>
      <c r="Y89" s="8">
        <v>-4</v>
      </c>
    </row>
    <row r="90" spans="13:25" ht="15.6">
      <c r="T90" s="700" t="s">
        <v>1798</v>
      </c>
      <c r="U90" s="8" t="s">
        <v>1788</v>
      </c>
      <c r="V90" s="8" t="s">
        <v>1789</v>
      </c>
      <c r="W90" s="702" t="s">
        <v>1790</v>
      </c>
      <c r="X90" s="700" t="e" vm="52">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6</v>
      </c>
      <c r="J4" s="535">
        <f ca="1">+INDEX(WORLDCUP!$AT$6:$AT$97,MATCH(L4,WORLDCUP!$AI$6:$AI$97,0))</f>
        <v>3</v>
      </c>
      <c r="K4" s="536" t="str">
        <f ca="1">+INDEX(WORLDCUP!$AR$6:$AR$97,MATCH(L4,WORLDCUP!$AI$6:$AI$97,0))&amp;"-"&amp;INDEX(WORLDCUP!$AS$6:$AS$97,MATCH(L4,WORLDCUP!$AI$6:$AI$97,0))</f>
        <v>3-0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Egi</v>
      </c>
      <c r="U4" s="534">
        <f ca="1">+INDEX(WORLDCUP!$AM$6:$AM$97,MATCH(X4,WORLDCUP!$AI$6:$AI$97,0))</f>
        <v>4</v>
      </c>
      <c r="V4" s="535">
        <f ca="1">+INDEX(WORLDCUP!$AT$6:$AT$97,MATCH(X4,WORLDCUP!$AI$6:$AI$97,0))</f>
        <v>2</v>
      </c>
      <c r="W4" s="536" t="str">
        <f ca="1">+INDEX(WORLDCUP!$AR$6:$AR$97,MATCH(X4,WORLDCUP!$AI$6:$AI$97,0))&amp;"-"&amp;INDEX(WORLDCUP!$AS$6:$AS$97,MATCH(X4,WORLDCUP!$AI$6:$AI$97,0))</f>
        <v>4-2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0</v>
      </c>
      <c r="K5" s="225" t="str">
        <f ca="1">+INDEX(WORLDCUP!$AR$6:$AR$97,MATCH(L5,WORLDCUP!$AI$6:$AI$97,0))&amp;"-"&amp;INDEX(WORLDCUP!$AS$6:$AS$97,MATCH(L5,WORLDCUP!$AI$6:$AI$97,0))</f>
        <v>2-2</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Irá</v>
      </c>
      <c r="U5" s="223">
        <f ca="1">+INDEX(WORLDCUP!$AM$6:$AM$97,MATCH(X5,WORLDCUP!$AI$6:$AI$97,0))</f>
        <v>2</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Bél</v>
      </c>
      <c r="U6" s="223">
        <f ca="1">+INDEX(WORLDCUP!$AM$6:$AM$97,MATCH(X6,WORLDCUP!$AI$6:$AI$97,0))</f>
        <v>2</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-2</v>
      </c>
      <c r="W7" s="564" t="str">
        <f ca="1">+INDEX(WORLDCUP!$AR$6:$AR$97,MATCH(X7,WORLDCUP!$AI$6:$AI$97,0))&amp;"-"&amp;INDEX(WORLDCUP!$AS$6:$AS$97,MATCH(X7,WORLDCUP!$AI$6:$AI$97,0))</f>
        <v>3-5</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4</v>
      </c>
      <c r="J12" s="535">
        <f ca="1">+INDEX(WORLDCUP!$AT$6:$AT$97,MATCH(L12,WORLDCUP!$AI$6:$AI$97,0))</f>
        <v>6</v>
      </c>
      <c r="K12" s="536" t="str">
        <f ca="1">+INDEX(WORLDCUP!$AR$6:$AR$97,MATCH(L12,WORLDCUP!$AI$6:$AI$97,0))&amp;"-"&amp;INDEX(WORLDCUP!$AS$6:$AS$97,MATCH(L12,WORLDCUP!$AI$6:$AI$97,0))</f>
        <v>7-1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4</v>
      </c>
      <c r="V12" s="535">
        <f ca="1">+INDEX(WORLDCUP!$AT$6:$AT$97,MATCH(X12,WORLDCUP!$AI$6:$AI$97,0))</f>
        <v>4</v>
      </c>
      <c r="W12" s="536" t="str">
        <f ca="1">+INDEX(WORLDCUP!$AR$6:$AR$97,MATCH(X12,WORLDCUP!$AI$6:$AI$97,0))&amp;"-"&amp;INDEX(WORLDCUP!$AS$6:$AS$97,MATCH(X12,WORLDCUP!$AI$6:$AI$97,0))</f>
        <v>4-0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Sui</v>
      </c>
      <c r="I13" s="223">
        <f ca="1">+INDEX(WORLDCUP!$AM$6:$AM$97,MATCH(L13,WORLDCUP!$AI$6:$AI$97,0))</f>
        <v>4</v>
      </c>
      <c r="J13" s="224">
        <f ca="1">+INDEX(WORLDCUP!$AT$6:$AT$97,MATCH(L13,WORLDCUP!$AI$6:$AI$97,0))</f>
        <v>3</v>
      </c>
      <c r="K13" s="225" t="str">
        <f ca="1">+INDEX(WORLDCUP!$AR$6:$AR$97,MATCH(L13,WORLDCUP!$AI$6:$AI$97,0))&amp;"-"&amp;INDEX(WORLDCUP!$AS$6:$AS$97,MATCH(L13,WORLDCUP!$AI$6:$AI$97,0))</f>
        <v>5-2</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Uru</v>
      </c>
      <c r="U13" s="223">
        <f ca="1">+INDEX(WORLDCUP!$AM$6:$AM$97,MATCH(X13,WORLDCUP!$AI$6:$AI$97,0))</f>
        <v>2</v>
      </c>
      <c r="V13" s="224">
        <f ca="1">+INDEX(WORLDCUP!$AT$6:$AT$97,MATCH(X13,WORLDCUP!$AI$6:$AI$97,0))</f>
        <v>0</v>
      </c>
      <c r="W13" s="225" t="str">
        <f ca="1">+INDEX(WORLDCUP!$AR$6:$AR$97,MATCH(X13,WORLDCUP!$AI$6:$AI$97,0))&amp;"-"&amp;INDEX(WORLDCUP!$AS$6:$AS$97,MATCH(X13,WORLDCUP!$AI$6:$AI$97,0))</f>
        <v>3-3</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1</v>
      </c>
      <c r="J14" s="224">
        <f ca="1">+INDEX(WORLDCUP!$AT$6:$AT$97,MATCH(L14,WORLDCUP!$AI$6:$AI$97,0))</f>
        <v>-3</v>
      </c>
      <c r="K14" s="225" t="str">
        <f ca="1">+INDEX(WORLDCUP!$AR$6:$AR$97,MATCH(L14,WORLDCUP!$AI$6:$AI$97,0))&amp;"-"&amp;INDEX(WORLDCUP!$AS$6:$AS$97,MATCH(L14,WORLDCUP!$AI$6:$AI$97,0))</f>
        <v>2-5</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Cab</v>
      </c>
      <c r="U14" s="223">
        <f ca="1">+INDEX(WORLDCUP!$AM$6:$AM$97,MATCH(X14,WORLDCUP!$AI$6:$AI$97,0))</f>
        <v>2</v>
      </c>
      <c r="V14" s="224">
        <f ca="1">+INDEX(WORLDCUP!$AT$6:$AT$97,MATCH(X14,WORLDCUP!$AI$6:$AI$97,0))</f>
        <v>0</v>
      </c>
      <c r="W14" s="225" t="str">
        <f ca="1">+INDEX(WORLDCUP!$AR$6:$AR$97,MATCH(X14,WORLDCUP!$AI$6:$AI$97,0))&amp;"-"&amp;INDEX(WORLDCUP!$AS$6:$AS$97,MATCH(X14,WORLDCUP!$AI$6:$AI$97,0))</f>
        <v>2-2</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-6</v>
      </c>
      <c r="K15" s="564" t="str">
        <f ca="1">+INDEX(WORLDCUP!$AR$6:$AR$97,MATCH(L15,WORLDCUP!$AI$6:$AI$97,0))&amp;"-"&amp;INDEX(WORLDCUP!$AS$6:$AS$97,MATCH(L15,WORLDCUP!$AI$6:$AI$97,0))</f>
        <v>1-7</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Ara</v>
      </c>
      <c r="U15" s="562">
        <f ca="1">+INDEX(WORLDCUP!$AM$6:$AM$97,MATCH(X15,WORLDCUP!$AI$6:$AI$97,0))</f>
        <v>1</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4</v>
      </c>
      <c r="J20" s="535">
        <f ca="1">+INDEX(WORLDCUP!$AT$6:$AT$97,MATCH(L20,WORLDCUP!$AI$6:$AI$97,0))</f>
        <v>3</v>
      </c>
      <c r="K20" s="536" t="str">
        <f ca="1">+INDEX(WORLDCUP!$AR$6:$AR$97,MATCH(L20,WORLDCUP!$AI$6:$AI$97,0))&amp;"-"&amp;INDEX(WORLDCUP!$AS$6:$AS$97,MATCH(L20,WORLDCUP!$AI$6:$AI$97,0))</f>
        <v>4-1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6</v>
      </c>
      <c r="V20" s="535">
        <f ca="1">+INDEX(WORLDCUP!$AT$6:$AT$97,MATCH(X20,WORLDCUP!$AI$6:$AI$97,0))</f>
        <v>5</v>
      </c>
      <c r="W20" s="536" t="str">
        <f ca="1">+INDEX(WORLDCUP!$AR$6:$AR$97,MATCH(X20,WORLDCUP!$AI$6:$AI$97,0))&amp;"-"&amp;INDEX(WORLDCUP!$AS$6:$AS$97,MATCH(X20,WORLDCUP!$AI$6:$AI$97,0))</f>
        <v>6-1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4</v>
      </c>
      <c r="J21" s="224">
        <f ca="1">+INDEX(WORLDCUP!$AT$6:$AT$97,MATCH(L21,WORLDCUP!$AI$6:$AI$97,0))</f>
        <v>1</v>
      </c>
      <c r="K21" s="225" t="str">
        <f ca="1">+INDEX(WORLDCUP!$AR$6:$AR$97,MATCH(L21,WORLDCUP!$AI$6:$AI$97,0))&amp;"-"&amp;INDEX(WORLDCUP!$AS$6:$AS$97,MATCH(L21,WORLDCUP!$AI$6:$AI$97,0))</f>
        <v>2-1</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4</v>
      </c>
      <c r="W21" s="225" t="str">
        <f ca="1">+INDEX(WORLDCUP!$AR$6:$AR$97,MATCH(X21,WORLDCUP!$AI$6:$AI$97,0))&amp;"-"&amp;INDEX(WORLDCUP!$AS$6:$AS$97,MATCH(X21,WORLDCUP!$AI$6:$AI$97,0))</f>
        <v>7-3</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-3</v>
      </c>
      <c r="W22" s="225" t="str">
        <f ca="1">+INDEX(WORLDCUP!$AR$6:$AR$97,MATCH(X22,WORLDCUP!$AI$6:$AI$97,0))&amp;"-"&amp;INDEX(WORLDCUP!$AS$6:$AS$97,MATCH(X22,WORLDCUP!$AI$6:$AI$97,0))</f>
        <v>3-6</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-4</v>
      </c>
      <c r="K23" s="564" t="str">
        <f ca="1">+INDEX(WORLDCUP!$AR$6:$AR$97,MATCH(L23,WORLDCUP!$AI$6:$AI$97,0))&amp;"-"&amp;INDEX(WORLDCUP!$AS$6:$AS$97,MATCH(L23,WORLDCUP!$AI$6:$AI$97,0))</f>
        <v>0-4</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-6</v>
      </c>
      <c r="W23" s="564" t="str">
        <f ca="1">+INDEX(WORLDCUP!$AR$6:$AR$97,MATCH(X23,WORLDCUP!$AI$6:$AI$97,0))&amp;"-"&amp;INDEX(WORLDCUP!$AS$6:$AS$97,MATCH(X23,WORLDCUP!$AI$6:$AI$97,0))</f>
        <v>1-7</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5</v>
      </c>
      <c r="K28" s="536" t="str">
        <f ca="1">+INDEX(WORLDCUP!$AR$6:$AR$97,MATCH(L28,WORLDCUP!$AI$6:$AI$97,0))&amp;"-"&amp;INDEX(WORLDCUP!$AS$6:$AS$97,MATCH(L28,WORLDCUP!$AI$6:$AI$97,0))</f>
        <v>6-1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6</v>
      </c>
      <c r="V28" s="535">
        <f ca="1">+INDEX(WORLDCUP!$AT$6:$AT$97,MATCH(X28,WORLDCUP!$AI$6:$AI$97,0))</f>
        <v>5</v>
      </c>
      <c r="W28" s="536" t="str">
        <f ca="1">+INDEX(WORLDCUP!$AR$6:$AR$97,MATCH(X28,WORLDCUP!$AI$6:$AI$97,0))&amp;"-"&amp;INDEX(WORLDCUP!$AS$6:$AS$97,MATCH(X28,WORLDCUP!$AI$6:$AI$97,0))</f>
        <v>5-0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0</v>
      </c>
      <c r="W29" s="225" t="str">
        <f ca="1">+INDEX(WORLDCUP!$AR$6:$AR$97,MATCH(X29,WORLDCUP!$AI$6:$AI$97,0))&amp;"-"&amp;INDEX(WORLDCUP!$AS$6:$AS$97,MATCH(X29,WORLDCUP!$AI$6:$AI$97,0))</f>
        <v>3-3</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3</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3</v>
      </c>
      <c r="V30" s="224">
        <f ca="1">+INDEX(WORLDCUP!$AT$6:$AT$97,MATCH(X30,WORLDCUP!$AI$6:$AI$97,0))</f>
        <v>-2</v>
      </c>
      <c r="W30" s="225" t="str">
        <f ca="1">+INDEX(WORLDCUP!$AR$6:$AR$97,MATCH(X30,WORLDCUP!$AI$6:$AI$97,0))&amp;"-"&amp;INDEX(WORLDCUP!$AS$6:$AS$97,MATCH(X30,WORLDCUP!$AI$6:$AI$97,0))</f>
        <v>2-4</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-3</v>
      </c>
      <c r="K31" s="564" t="str">
        <f ca="1">+INDEX(WORLDCUP!$AR$6:$AR$97,MATCH(L31,WORLDCUP!$AI$6:$AI$97,0))&amp;"-"&amp;INDEX(WORLDCUP!$AS$6:$AS$97,MATCH(L31,WORLDCUP!$AI$6:$AI$97,0))</f>
        <v>0-3</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-3</v>
      </c>
      <c r="W31" s="564" t="str">
        <f ca="1">+INDEX(WORLDCUP!$AR$6:$AR$97,MATCH(X31,WORLDCUP!$AI$6:$AI$97,0))&amp;"-"&amp;INDEX(WORLDCUP!$AS$6:$AS$97,MATCH(X31,WORLDCUP!$AI$6:$AI$97,0))</f>
        <v>2-5</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7</v>
      </c>
      <c r="K36" s="536" t="str">
        <f ca="1">+INDEX(WORLDCUP!$AR$6:$AR$97,MATCH(L36,WORLDCUP!$AI$6:$AI$97,0))&amp;"-"&amp;INDEX(WORLDCUP!$AS$6:$AS$97,MATCH(L36,WORLDCUP!$AI$6:$AI$97,0))</f>
        <v>9-2</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6</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0</v>
      </c>
      <c r="K37" s="225" t="str">
        <f ca="1">+INDEX(WORLDCUP!$AR$6:$AR$97,MATCH(L37,WORLDCUP!$AI$6:$AI$97,0))&amp;"-"&amp;INDEX(WORLDCUP!$AS$6:$AS$97,MATCH(L37,WORLDCUP!$AI$6:$AI$97,0))</f>
        <v>2-2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4</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1</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-1</v>
      </c>
      <c r="W38" s="225" t="str">
        <f ca="1">+INDEX(WORLDCUP!$AR$6:$AR$97,MATCH(X38,WORLDCUP!$AI$6:$AI$97,0))&amp;"-"&amp;INDEX(WORLDCUP!$AS$6:$AS$97,MATCH(X38,WORLDCUP!$AI$6:$AI$97,0))</f>
        <v>1-2</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-7</v>
      </c>
      <c r="W39" s="564" t="str">
        <f ca="1">+INDEX(WORLDCUP!$AR$6:$AR$97,MATCH(X39,WORLDCUP!$AI$6:$AI$97,0))&amp;"-"&amp;INDEX(WORLDCUP!$AS$6:$AS$97,MATCH(X39,WORLDCUP!$AI$6:$AI$97,0))</f>
        <v>1-8</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4</v>
      </c>
      <c r="J44" s="535">
        <f ca="1">+INDEX(WORLDCUP!$AT$6:$AT$97,MATCH(L44,WORLDCUP!$AI$6:$AI$97,0))</f>
        <v>4</v>
      </c>
      <c r="K44" s="536" t="str">
        <f ca="1">+INDEX(WORLDCUP!$AR$6:$AR$97,MATCH(L44,WORLDCUP!$AI$6:$AI$97,0))&amp;"-"&amp;INDEX(WORLDCUP!$AS$6:$AS$97,MATCH(L44,WORLDCUP!$AI$6:$AI$97,0))</f>
        <v>7-3</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4</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4</v>
      </c>
      <c r="J45" s="224">
        <f ca="1">+INDEX(WORLDCUP!$AT$6:$AT$97,MATCH(L45,WORLDCUP!$AI$6:$AI$97,0))</f>
        <v>4</v>
      </c>
      <c r="K45" s="225" t="str">
        <f ca="1">+INDEX(WORLDCUP!$AR$6:$AR$97,MATCH(L45,WORLDCUP!$AI$6:$AI$97,0))&amp;"-"&amp;INDEX(WORLDCUP!$AS$6:$AS$97,MATCH(L45,WORLDCUP!$AI$6:$AI$97,0))</f>
        <v>6-2</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Gha</v>
      </c>
      <c r="U45" s="223">
        <f ca="1">+INDEX(WORLDCUP!$AM$6:$AM$97,MATCH(X45,WORLDCUP!$AI$6:$AI$97,0))</f>
        <v>4</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3</v>
      </c>
      <c r="J46" s="224">
        <f ca="1">+INDEX(WORLDCUP!$AT$6:$AT$97,MATCH(L46,WORLDCUP!$AI$6:$AI$97,0))</f>
        <v>0</v>
      </c>
      <c r="K46" s="225" t="str">
        <f ca="1">+INDEX(WORLDCUP!$AR$6:$AR$97,MATCH(L46,WORLDCUP!$AI$6:$AI$97,0))&amp;"-"&amp;INDEX(WORLDCUP!$AS$6:$AS$97,MATCH(L46,WORLDCUP!$AI$6:$AI$97,0))</f>
        <v>6-6</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Cro</v>
      </c>
      <c r="U46" s="223">
        <f ca="1">+INDEX(WORLDCUP!$AM$6:$AM$97,MATCH(X46,WORLDCUP!$AI$6:$AI$97,0))</f>
        <v>3</v>
      </c>
      <c r="V46" s="224">
        <f ca="1">+INDEX(WORLDCUP!$AT$6:$AT$97,MATCH(X46,WORLDCUP!$AI$6:$AI$97,0))</f>
        <v>-1</v>
      </c>
      <c r="W46" s="225" t="str">
        <f ca="1">+INDEX(WORLDCUP!$AR$6:$AR$97,MATCH(X46,WORLDCUP!$AI$6:$AI$97,0))&amp;"-"&amp;INDEX(WORLDCUP!$AS$6:$AS$97,MATCH(X46,WORLDCUP!$AI$6:$AI$97,0))</f>
        <v>3-4</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-8</v>
      </c>
      <c r="K47" s="564" t="str">
        <f ca="1">+INDEX(WORLDCUP!$AR$6:$AR$97,MATCH(L47,WORLDCUP!$AI$6:$AI$97,0))&amp;"-"&amp;INDEX(WORLDCUP!$AS$6:$AS$97,MATCH(L47,WORLDCUP!$AI$6:$AI$97,0))</f>
        <v>1-9</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-2</v>
      </c>
      <c r="W47" s="564" t="str">
        <f ca="1">+INDEX(WORLDCUP!$AR$6:$AR$97,MATCH(X47,WORLDCUP!$AI$6:$AI$97,0))&amp;"-"&amp;INDEX(WORLDCUP!$AS$6:$AS$97,MATCH(X47,WORLDCUP!$AI$6:$AI$97,0))</f>
        <v>0-2</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3">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4">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5">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6">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7">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8">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59">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0">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1">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2">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3">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4">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5">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6">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7">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8">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69">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0">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1">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2">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3">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4">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5">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6">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7">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8">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79">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0">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1">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2">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3">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4">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5">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6">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7">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8">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89">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0">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1">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2">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3">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4">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5">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6">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7">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8">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99">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Cabo Verde</v>
      </c>
      <c r="H2" s="11" t="str">
        <f ca="1">+WORLDCUP!BD64</f>
        <v>Bélgica</v>
      </c>
      <c r="I2" s="11" t="str">
        <f ca="1">+WORLDCUP!BD69</f>
        <v>Croacia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Cabo Verde</v>
      </c>
      <c r="D3" s="11" t="str">
        <f ca="1">+WORLDCUP!BD64</f>
        <v>Bélgica</v>
      </c>
      <c r="E3" s="11" t="str">
        <f ca="1">+WORLDCUP!BD66</f>
        <v>Senegal</v>
      </c>
      <c r="F3" s="11" t="str">
        <f ca="1">+WORLDCUP!BD61</f>
        <v>Paraguay</v>
      </c>
      <c r="G3" s="11" t="str">
        <f ca="1">+WORLDCUP!BD67</f>
        <v>Argelia</v>
      </c>
      <c r="H3" s="11" t="str">
        <f ca="1">+WORLDCUP!BD63</f>
        <v>Suecia</v>
      </c>
      <c r="I3" s="11" t="str">
        <f ca="1">+WORLDCUP!BD69</f>
        <v>Croacia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Cabo Verde</v>
      </c>
      <c r="H4" s="11" t="str">
        <f ca="1">+WORLDCUP!BD64</f>
        <v>Bélgica</v>
      </c>
      <c r="I4" s="11" t="str">
        <f ca="1">+WORLDCUP!BD69</f>
        <v>Croacia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Cabo Verde</v>
      </c>
      <c r="H5" s="11" t="str">
        <f ca="1">+WORLDCUP!BD63</f>
        <v>Suecia</v>
      </c>
      <c r="I5" s="11" t="str">
        <f ca="1">+WORLDCUP!BD69</f>
        <v>Croacia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Paraguay</v>
      </c>
      <c r="G6" s="11" t="str">
        <f ca="1">+WORLDCUP!BD67</f>
        <v>Argelia</v>
      </c>
      <c r="H6" s="11" t="str">
        <f ca="1">+WORLDCUP!BD63</f>
        <v>Suecia</v>
      </c>
      <c r="I6" s="11" t="str">
        <f ca="1">+WORLDCUP!BD69</f>
        <v>Croacia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Argelia</v>
      </c>
      <c r="F7" s="11" t="str">
        <f ca="1">+WORLDCUP!BD61</f>
        <v>Paraguay</v>
      </c>
      <c r="G7" s="11" t="str">
        <f ca="1">+WORLDCUP!BD65</f>
        <v>Cabo Verde</v>
      </c>
      <c r="H7" s="11" t="str">
        <f ca="1">+WORLDCUP!BD63</f>
        <v>Suecia</v>
      </c>
      <c r="I7" s="11" t="str">
        <f ca="1">+WORLDCUP!BD69</f>
        <v>Croacia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Paraguay</v>
      </c>
      <c r="G8" s="11" t="str">
        <f ca="1">+WORLDCUP!BD65</f>
        <v>Cabo Verde</v>
      </c>
      <c r="H8" s="11" t="str">
        <f ca="1">+WORLDCUP!BD63</f>
        <v>Suecia</v>
      </c>
      <c r="I8" s="11" t="str">
        <f ca="1">+WORLDCUP!BD69</f>
        <v>Croacia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Argelia</v>
      </c>
      <c r="F9" s="11" t="str">
        <f ca="1">+WORLDCUP!BD61</f>
        <v>Paraguay</v>
      </c>
      <c r="G9" s="11" t="str">
        <f ca="1">+WORLDCUP!BD65</f>
        <v>Cabo Verde</v>
      </c>
      <c r="H9" s="11" t="str">
        <f ca="1">+WORLDCUP!BD63</f>
        <v>Suecia</v>
      </c>
      <c r="I9" s="11" t="str">
        <f ca="1">+WORLDCUP!BD69</f>
        <v>Croacia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Argelia</v>
      </c>
      <c r="F10" s="11" t="str">
        <f ca="1">+WORLDCUP!BD61</f>
        <v>Paraguay</v>
      </c>
      <c r="G10" s="11" t="str">
        <f ca="1">+WORLDCUP!BD65</f>
        <v>Cabo Verde</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Cabo Verde</v>
      </c>
      <c r="D11" s="11" t="str">
        <f ca="1">+WORLDCUP!BD64</f>
        <v>Bélgica</v>
      </c>
      <c r="E11" s="11" t="str">
        <f ca="1">+WORLDCUP!BD66</f>
        <v>Senegal</v>
      </c>
      <c r="F11" s="11" t="str">
        <f ca="1">+WORLDCUP!BD60</f>
        <v>Escocia</v>
      </c>
      <c r="G11" s="11" t="str">
        <f ca="1">+WORLDCUP!BD67</f>
        <v>Argelia</v>
      </c>
      <c r="H11" s="11" t="str">
        <f ca="1">+WORLDCUP!BD63</f>
        <v>Suecia</v>
      </c>
      <c r="I11" s="11" t="str">
        <f ca="1">+WORLDCUP!BD69</f>
        <v>Croacia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Cabo Verde</v>
      </c>
      <c r="H12" s="11" t="str">
        <f ca="1">+WORLDCUP!BD64</f>
        <v>Bélgica</v>
      </c>
      <c r="I12" s="11" t="str">
        <f ca="1">+WORLDCUP!BD69</f>
        <v>Croacia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Cabo Verde</v>
      </c>
      <c r="H13" s="11" t="str">
        <f ca="1">+WORLDCUP!BD63</f>
        <v>Suecia</v>
      </c>
      <c r="I13" s="11" t="str">
        <f ca="1">+WORLDCUP!BD69</f>
        <v>Croacia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Escocia</v>
      </c>
      <c r="G14" s="11" t="str">
        <f ca="1">+WORLDCUP!BD67</f>
        <v>Argelia</v>
      </c>
      <c r="H14" s="11" t="str">
        <f ca="1">+WORLDCUP!BD63</f>
        <v>Suecia</v>
      </c>
      <c r="I14" s="11" t="str">
        <f ca="1">+WORLDCUP!BD69</f>
        <v>Croacia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Argelia</v>
      </c>
      <c r="F15" s="11" t="str">
        <f ca="1">+WORLDCUP!BD60</f>
        <v>Escocia</v>
      </c>
      <c r="G15" s="11" t="str">
        <f ca="1">+WORLDCUP!BD65</f>
        <v>Cabo Verde</v>
      </c>
      <c r="H15" s="11" t="str">
        <f ca="1">+WORLDCUP!BD63</f>
        <v>Suecia</v>
      </c>
      <c r="I15" s="11" t="str">
        <f ca="1">+WORLDCUP!BD69</f>
        <v>Croacia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Escocia</v>
      </c>
      <c r="G16" s="11" t="str">
        <f ca="1">+WORLDCUP!BD65</f>
        <v>Cabo Verde</v>
      </c>
      <c r="H16" s="11" t="str">
        <f ca="1">+WORLDCUP!BD63</f>
        <v>Suecia</v>
      </c>
      <c r="I16" s="11" t="str">
        <f ca="1">+WORLDCUP!BD69</f>
        <v>Croacia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Argelia</v>
      </c>
      <c r="F17" s="11" t="str">
        <f ca="1">+WORLDCUP!BD60</f>
        <v>Escocia</v>
      </c>
      <c r="G17" s="11" t="str">
        <f ca="1">+WORLDCUP!BD65</f>
        <v>Cabo Verde</v>
      </c>
      <c r="H17" s="11" t="str">
        <f ca="1">+WORLDCUP!BD63</f>
        <v>Suecia</v>
      </c>
      <c r="I17" s="11" t="str">
        <f ca="1">+WORLDCUP!BD69</f>
        <v>Croacia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Argelia</v>
      </c>
      <c r="F18" s="11" t="str">
        <f ca="1">+WORLDCUP!BD60</f>
        <v>Escocia</v>
      </c>
      <c r="G18" s="11" t="str">
        <f ca="1">+WORLDCUP!BD65</f>
        <v>Cabo Verde</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Cabo Verde</v>
      </c>
      <c r="D19" s="11" t="str">
        <f ca="1">+WORLDCUP!BD64</f>
        <v>Bélgica</v>
      </c>
      <c r="E19" s="11" t="str">
        <f ca="1">+WORLDCUP!BD66</f>
        <v>Senegal</v>
      </c>
      <c r="F19" s="11" t="str">
        <f ca="1">+WORLDCUP!BD60</f>
        <v>Escocia</v>
      </c>
      <c r="G19" s="11" t="str">
        <f ca="1">+WORLDCUP!BD67</f>
        <v>Argelia</v>
      </c>
      <c r="H19" s="11" t="str">
        <f ca="1">+WORLDCUP!BD61</f>
        <v>Paraguay</v>
      </c>
      <c r="I19" s="11" t="str">
        <f ca="1">+WORLDCUP!BD69</f>
        <v>Croacia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Cabo Verde</v>
      </c>
      <c r="H20" s="11" t="str">
        <f ca="1">+WORLDCUP!BD63</f>
        <v>Suecia</v>
      </c>
      <c r="I20" s="11" t="str">
        <f ca="1">+WORLDCUP!BD69</f>
        <v>Croacia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Bélgica</v>
      </c>
      <c r="E21" s="11" t="str">
        <f ca="1">+WORLDCUP!BD66</f>
        <v>Senegal</v>
      </c>
      <c r="F21" s="11" t="str">
        <f ca="1">+WORLDCUP!BD61</f>
        <v>Paraguay</v>
      </c>
      <c r="G21" s="11" t="str">
        <f ca="1">+WORLDCUP!BD67</f>
        <v>Argelia</v>
      </c>
      <c r="H21" s="11" t="str">
        <f ca="1">+WORLDCUP!BD63</f>
        <v>Suecia</v>
      </c>
      <c r="I21" s="11" t="str">
        <f ca="1">+WORLDCUP!BD69</f>
        <v>Croacia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Bélgica</v>
      </c>
      <c r="E22" s="11" t="str">
        <f ca="1">+WORLDCUP!BD67</f>
        <v>Argelia</v>
      </c>
      <c r="F22" s="11" t="str">
        <f ca="1">+WORLDCUP!BD61</f>
        <v>Paraguay</v>
      </c>
      <c r="G22" s="11" t="str">
        <f ca="1">+WORLDCUP!BD65</f>
        <v>Cabo Verde</v>
      </c>
      <c r="H22" s="11" t="str">
        <f ca="1">+WORLDCUP!BD63</f>
        <v>Suecia</v>
      </c>
      <c r="I22" s="11" t="str">
        <f ca="1">+WORLDCUP!BD69</f>
        <v>Croacia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Bélgica</v>
      </c>
      <c r="E23" s="11" t="str">
        <f ca="1">+WORLDCUP!BD66</f>
        <v>Senegal</v>
      </c>
      <c r="F23" s="11" t="str">
        <f ca="1">+WORLDCUP!BD61</f>
        <v>Paraguay</v>
      </c>
      <c r="G23" s="11" t="str">
        <f ca="1">+WORLDCUP!BD65</f>
        <v>Cabo Verde</v>
      </c>
      <c r="H23" s="11" t="str">
        <f ca="1">+WORLDCUP!BD63</f>
        <v>Suecia</v>
      </c>
      <c r="I23" s="11" t="str">
        <f ca="1">+WORLDCUP!BD69</f>
        <v>Croacia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Bélgica</v>
      </c>
      <c r="E24" s="11" t="str">
        <f ca="1">+WORLDCUP!BD67</f>
        <v>Argelia</v>
      </c>
      <c r="F24" s="11" t="str">
        <f ca="1">+WORLDCUP!BD61</f>
        <v>Paraguay</v>
      </c>
      <c r="G24" s="11" t="str">
        <f ca="1">+WORLDCUP!BD65</f>
        <v>Cabo Verde</v>
      </c>
      <c r="H24" s="11" t="str">
        <f ca="1">+WORLDCUP!BD63</f>
        <v>Suecia</v>
      </c>
      <c r="I24" s="11" t="str">
        <f ca="1">+WORLDCUP!BD69</f>
        <v>Croacia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Bélgica</v>
      </c>
      <c r="E25" s="11" t="str">
        <f ca="1">+WORLDCUP!BD67</f>
        <v>Argelia</v>
      </c>
      <c r="F25" s="11" t="str">
        <f ca="1">+WORLDCUP!BD61</f>
        <v>Paraguay</v>
      </c>
      <c r="G25" s="11" t="str">
        <f ca="1">+WORLDCUP!BD65</f>
        <v>Cabo Verde</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Cabo Verde</v>
      </c>
      <c r="H26" s="11" t="str">
        <f ca="1">+WORLDCUP!BD61</f>
        <v>Paraguay</v>
      </c>
      <c r="I26" s="11" t="str">
        <f ca="1">+WORLDCUP!BD69</f>
        <v>Croacia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Escocia</v>
      </c>
      <c r="G27" s="11" t="str">
        <f ca="1">+WORLDCUP!BD67</f>
        <v>Argelia</v>
      </c>
      <c r="H27" s="11" t="str">
        <f ca="1">+WORLDCUP!BD61</f>
        <v>Paraguay</v>
      </c>
      <c r="I27" s="11" t="str">
        <f ca="1">+WORLDCUP!BD69</f>
        <v>Croacia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Argelia</v>
      </c>
      <c r="F28" s="11" t="str">
        <f ca="1">+WORLDCUP!BD60</f>
        <v>Escocia</v>
      </c>
      <c r="G28" s="11" t="str">
        <f ca="1">+WORLDCUP!BD65</f>
        <v>Cabo Verde</v>
      </c>
      <c r="H28" s="11" t="str">
        <f ca="1">+WORLDCUP!BD61</f>
        <v>Paraguay</v>
      </c>
      <c r="I28" s="11" t="str">
        <f ca="1">+WORLDCUP!BD69</f>
        <v>Croacia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Escocia</v>
      </c>
      <c r="G29" s="11" t="str">
        <f ca="1">+WORLDCUP!BD65</f>
        <v>Cabo Verde</v>
      </c>
      <c r="H29" s="11" t="str">
        <f ca="1">+WORLDCUP!BD61</f>
        <v>Paraguay</v>
      </c>
      <c r="I29" s="11" t="str">
        <f ca="1">+WORLDCUP!BD69</f>
        <v>Croacia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Argelia</v>
      </c>
      <c r="F30" s="11" t="str">
        <f ca="1">+WORLDCUP!BD60</f>
        <v>Escocia</v>
      </c>
      <c r="G30" s="11" t="str">
        <f ca="1">+WORLDCUP!BD65</f>
        <v>Cabo Verde</v>
      </c>
      <c r="H30" s="11" t="str">
        <f ca="1">+WORLDCUP!BD61</f>
        <v>Paraguay</v>
      </c>
      <c r="I30" s="11" t="str">
        <f ca="1">+WORLDCUP!BD69</f>
        <v>Croacia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Argelia</v>
      </c>
      <c r="F31" s="11" t="str">
        <f ca="1">+WORLDCUP!BD60</f>
        <v>Escocia</v>
      </c>
      <c r="G31" s="11" t="str">
        <f ca="1">+WORLDCUP!BD65</f>
        <v>Cabo Verde</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Croacia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Cabo Verde</v>
      </c>
      <c r="H33" s="11" t="str">
        <f ca="1">+WORLDCUP!BD63</f>
        <v>Suecia</v>
      </c>
      <c r="I33" s="11" t="str">
        <f ca="1">+WORLDCUP!BD69</f>
        <v>Croacia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Cabo Verde</v>
      </c>
      <c r="H34" s="11" t="str">
        <f ca="1">+WORLDCUP!BD63</f>
        <v>Suecia</v>
      </c>
      <c r="I34" s="11" t="str">
        <f ca="1">+WORLDCUP!BD69</f>
        <v>Croacia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Cabo Verde</v>
      </c>
      <c r="H35" s="11" t="str">
        <f ca="1">+WORLDCUP!BD63</f>
        <v>Suecia</v>
      </c>
      <c r="I35" s="11" t="str">
        <f ca="1">+WORLDCUP!BD69</f>
        <v>Croacia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Cabo Verde</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Bélgica</v>
      </c>
      <c r="E37" s="11" t="str">
        <f ca="1">+WORLDCUP!BD62</f>
        <v>Ecuador</v>
      </c>
      <c r="F37" s="11" t="str">
        <f ca="1">+WORLDCUP!BD61</f>
        <v>Paraguay</v>
      </c>
      <c r="G37" s="11" t="str">
        <f ca="1">+WORLDCUP!BD67</f>
        <v>Argelia</v>
      </c>
      <c r="H37" s="11" t="str">
        <f ca="1">+WORLDCUP!BD63</f>
        <v>Suecia</v>
      </c>
      <c r="I37" s="11" t="str">
        <f ca="1">+WORLDCUP!BD69</f>
        <v>Croacia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Bélgica</v>
      </c>
      <c r="E38" s="11" t="str">
        <f ca="1">+WORLDCUP!BD62</f>
        <v>Ecuador</v>
      </c>
      <c r="F38" s="11" t="str">
        <f ca="1">+WORLDCUP!BD61</f>
        <v>Paraguay</v>
      </c>
      <c r="G38" s="11" t="str">
        <f ca="1">+WORLDCUP!BD66</f>
        <v>Senegal</v>
      </c>
      <c r="H38" s="11" t="str">
        <f ca="1">+WORLDCUP!BD63</f>
        <v>Suecia</v>
      </c>
      <c r="I38" s="11" t="str">
        <f ca="1">+WORLDCUP!BD69</f>
        <v>Croacia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Bélgica</v>
      </c>
      <c r="E39" s="11" t="str">
        <f ca="1">+WORLDCUP!BD62</f>
        <v>Ecuador</v>
      </c>
      <c r="F39" s="11" t="str">
        <f ca="1">+WORLDCUP!BD61</f>
        <v>Paraguay</v>
      </c>
      <c r="G39" s="11" t="str">
        <f ca="1">+WORLDCUP!BD67</f>
        <v>Argelia</v>
      </c>
      <c r="H39" s="11" t="str">
        <f ca="1">+WORLDCUP!BD63</f>
        <v>Suecia</v>
      </c>
      <c r="I39" s="11" t="str">
        <f ca="1">+WORLDCUP!BD69</f>
        <v>Croacia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Bélgica</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Bélgica</v>
      </c>
      <c r="E41" s="11" t="str">
        <f ca="1">+WORLDCUP!BD62</f>
        <v>Ecuador</v>
      </c>
      <c r="F41" s="11" t="str">
        <f ca="1">+WORLDCUP!BD61</f>
        <v>Paraguay</v>
      </c>
      <c r="G41" s="11" t="str">
        <f ca="1">+WORLDCUP!BD65</f>
        <v>Cabo Verde</v>
      </c>
      <c r="H41" s="11" t="str">
        <f ca="1">+WORLDCUP!BD63</f>
        <v>Suecia</v>
      </c>
      <c r="I41" s="11" t="str">
        <f ca="1">+WORLDCUP!BD69</f>
        <v>Croacia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Bélgica</v>
      </c>
      <c r="E42" s="11" t="str">
        <f ca="1">+WORLDCUP!BD67</f>
        <v>Argelia</v>
      </c>
      <c r="F42" s="11" t="str">
        <f ca="1">+WORLDCUP!BD61</f>
        <v>Paraguay</v>
      </c>
      <c r="G42" s="11" t="str">
        <f ca="1">+WORLDCUP!BD65</f>
        <v>Cabo Verde</v>
      </c>
      <c r="H42" s="11" t="str">
        <f ca="1">+WORLDCUP!BD63</f>
        <v>Suecia</v>
      </c>
      <c r="I42" s="11" t="str">
        <f ca="1">+WORLDCUP!BD69</f>
        <v>Croacia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Bélgica</v>
      </c>
      <c r="E43" s="11" t="str">
        <f ca="1">+WORLDCUP!BD67</f>
        <v>Argelia</v>
      </c>
      <c r="F43" s="11" t="str">
        <f ca="1">+WORLDCUP!BD61</f>
        <v>Paraguay</v>
      </c>
      <c r="G43" s="11" t="str">
        <f ca="1">+WORLDCUP!BD65</f>
        <v>Cabo Verde</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Bélgica</v>
      </c>
      <c r="E44" s="11" t="str">
        <f ca="1">+WORLDCUP!BD62</f>
        <v>Ecuador</v>
      </c>
      <c r="F44" s="11" t="str">
        <f ca="1">+WORLDCUP!BD61</f>
        <v>Paraguay</v>
      </c>
      <c r="G44" s="11" t="str">
        <f ca="1">+WORLDCUP!BD65</f>
        <v>Cabo Verde</v>
      </c>
      <c r="H44" s="11" t="str">
        <f ca="1">+WORLDCUP!BD63</f>
        <v>Suecia</v>
      </c>
      <c r="I44" s="11" t="str">
        <f ca="1">+WORLDCUP!BD69</f>
        <v>Croacia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Bélgica</v>
      </c>
      <c r="E45" s="11" t="str">
        <f ca="1">+WORLDCUP!BD62</f>
        <v>Ecuador</v>
      </c>
      <c r="F45" s="11" t="str">
        <f ca="1">+WORLDCUP!BD61</f>
        <v>Paraguay</v>
      </c>
      <c r="G45" s="11" t="str">
        <f ca="1">+WORLDCUP!BD65</f>
        <v>Cabo Verde</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Bélgica</v>
      </c>
      <c r="E46" s="11" t="str">
        <f ca="1">+WORLDCUP!BD67</f>
        <v>Argelia</v>
      </c>
      <c r="F46" s="11" t="str">
        <f ca="1">+WORLDCUP!BD61</f>
        <v>Paraguay</v>
      </c>
      <c r="G46" s="11" t="str">
        <f ca="1">+WORLDCUP!BD65</f>
        <v>Cabo Verde</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Cabo Verde</v>
      </c>
      <c r="D47" s="11" t="str">
        <f ca="1">+WORLDCUP!BD67</f>
        <v>Argelia</v>
      </c>
      <c r="E47" s="11" t="str">
        <f ca="1">+WORLDCUP!BD59</f>
        <v>Bosnia y Herzegovina</v>
      </c>
      <c r="F47" s="11" t="str">
        <f ca="1">+WORLDCUP!BD63</f>
        <v>Suecia</v>
      </c>
      <c r="G47" s="11" t="str">
        <f ca="1">+WORLDCUP!BD66</f>
        <v>Senegal</v>
      </c>
      <c r="H47" s="11" t="str">
        <f ca="1">+WORLDCUP!BD64</f>
        <v>Bélgica</v>
      </c>
      <c r="I47" s="11" t="str">
        <f ca="1">+WORLDCUP!BD69</f>
        <v>Croacia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Cabo Verde</v>
      </c>
      <c r="H48" s="11" t="str">
        <f ca="1">+WORLDCUP!BD64</f>
        <v>Bélgica</v>
      </c>
      <c r="I48" s="11" t="str">
        <f ca="1">+WORLDCUP!BD69</f>
        <v>Croacia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Cabo Verde</v>
      </c>
      <c r="I49" s="11" t="str">
        <f ca="1">+WORLDCUP!BD69</f>
        <v>Croacia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Bélgica</v>
      </c>
      <c r="I50" s="11" t="str">
        <f ca="1">+WORLDCUP!BD69</f>
        <v>Croacia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Cabo Verde</v>
      </c>
      <c r="H51" s="11" t="str">
        <f ca="1">+WORLDCUP!BD64</f>
        <v>Bélgica</v>
      </c>
      <c r="I51" s="11" t="str">
        <f ca="1">+WORLDCUP!BD69</f>
        <v>Croacia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Bosnia y Herzegovina</v>
      </c>
      <c r="F52" s="11" t="str">
        <f ca="1">+WORLDCUP!BD63</f>
        <v>Suecia</v>
      </c>
      <c r="G52" s="11" t="str">
        <f ca="1">+WORLDCUP!BD66</f>
        <v>Senegal</v>
      </c>
      <c r="H52" s="11" t="str">
        <f ca="1">+WORLDCUP!BD65</f>
        <v>Cabo Verde</v>
      </c>
      <c r="I52" s="11" t="str">
        <f ca="1">+WORLDCUP!BD69</f>
        <v>Croacia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Cabo Verde</v>
      </c>
      <c r="H53" s="11" t="str">
        <f ca="1">+WORLDCUP!BD64</f>
        <v>Bélgica</v>
      </c>
      <c r="I53" s="11" t="str">
        <f ca="1">+WORLDCUP!BD69</f>
        <v>Croacia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Cabo Verde</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Cabo Verde</v>
      </c>
      <c r="D55" s="11" t="str">
        <f ca="1">+WORLDCUP!BD67</f>
        <v>Argelia</v>
      </c>
      <c r="E55" s="11" t="str">
        <f ca="1">+WORLDCUP!BD59</f>
        <v>Bosnia y Herzegovina</v>
      </c>
      <c r="F55" s="11" t="str">
        <f ca="1">+WORLDCUP!BD61</f>
        <v>Paraguay</v>
      </c>
      <c r="G55" s="11" t="str">
        <f ca="1">+WORLDCUP!BD66</f>
        <v>Senegal</v>
      </c>
      <c r="H55" s="11" t="str">
        <f ca="1">+WORLDCUP!BD64</f>
        <v>Bélgica</v>
      </c>
      <c r="I55" s="11" t="str">
        <f ca="1">+WORLDCUP!BD69</f>
        <v>Croacia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Cabo Verde</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Croacia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Bosnia y Herzegovina</v>
      </c>
      <c r="F57" s="11" t="str">
        <f ca="1">+WORLDCUP!BD61</f>
        <v>Paraguay</v>
      </c>
      <c r="G57" s="11" t="str">
        <f ca="1">+WORLDCUP!BD67</f>
        <v>Argelia</v>
      </c>
      <c r="H57" s="11" t="str">
        <f ca="1">+WORLDCUP!BD63</f>
        <v>Suecia</v>
      </c>
      <c r="I57" s="11" t="str">
        <f ca="1">+WORLDCUP!BD69</f>
        <v>Croacia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Cabo Verde</v>
      </c>
      <c r="D58" s="11" t="str">
        <f ca="1">+WORLDCUP!BD64</f>
        <v>Bélgica</v>
      </c>
      <c r="E58" s="11" t="str">
        <f ca="1">+WORLDCUP!BD59</f>
        <v>Bosnia y Herzegovina</v>
      </c>
      <c r="F58" s="11" t="str">
        <f ca="1">+WORLDCUP!BD61</f>
        <v>Paraguay</v>
      </c>
      <c r="G58" s="11" t="str">
        <f ca="1">+WORLDCUP!BD67</f>
        <v>Argelia</v>
      </c>
      <c r="H58" s="11" t="str">
        <f ca="1">+WORLDCUP!BD63</f>
        <v>Suecia</v>
      </c>
      <c r="I58" s="11" t="str">
        <f ca="1">+WORLDCUP!BD69</f>
        <v>Croacia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Cabo Verde</v>
      </c>
      <c r="D59" s="11" t="str">
        <f ca="1">+WORLDCUP!BD64</f>
        <v>Bélgica</v>
      </c>
      <c r="E59" s="11" t="str">
        <f ca="1">+WORLDCUP!BD59</f>
        <v>Bosnia y Herzegovina</v>
      </c>
      <c r="F59" s="11" t="str">
        <f ca="1">+WORLDCUP!BD61</f>
        <v>Paraguay</v>
      </c>
      <c r="G59" s="11" t="str">
        <f ca="1">+WORLDCUP!BD66</f>
        <v>Senegal</v>
      </c>
      <c r="H59" s="11" t="str">
        <f ca="1">+WORLDCUP!BD63</f>
        <v>Suecia</v>
      </c>
      <c r="I59" s="11" t="str">
        <f ca="1">+WORLDCUP!BD69</f>
        <v>Croacia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Cabo Verde</v>
      </c>
      <c r="D60" s="11" t="str">
        <f ca="1">+WORLDCUP!BD64</f>
        <v>Bélgica</v>
      </c>
      <c r="E60" s="11" t="str">
        <f ca="1">+WORLDCUP!BD59</f>
        <v>Bosnia y Herzegovina</v>
      </c>
      <c r="F60" s="11" t="str">
        <f ca="1">+WORLDCUP!BD61</f>
        <v>Paraguay</v>
      </c>
      <c r="G60" s="11" t="str">
        <f ca="1">+WORLDCUP!BD67</f>
        <v>Argelia</v>
      </c>
      <c r="H60" s="11" t="str">
        <f ca="1">+WORLDCUP!BD63</f>
        <v>Suecia</v>
      </c>
      <c r="I60" s="11" t="str">
        <f ca="1">+WORLDCUP!BD69</f>
        <v>Croacia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Cabo Verde</v>
      </c>
      <c r="D61" s="11" t="str">
        <f ca="1">+WORLDCUP!BD64</f>
        <v>Bélgica</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Cabo Verde</v>
      </c>
      <c r="I62" s="11" t="str">
        <f ca="1">+WORLDCUP!BD69</f>
        <v>Croacia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Bélgica</v>
      </c>
      <c r="I63" s="11" t="str">
        <f ca="1">+WORLDCUP!BD69</f>
        <v>Croacia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Cabo Verde</v>
      </c>
      <c r="H64" s="11" t="str">
        <f ca="1">+WORLDCUP!BD64</f>
        <v>Bélgica</v>
      </c>
      <c r="I64" s="11" t="str">
        <f ca="1">+WORLDCUP!BD69</f>
        <v>Croacia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Bosnia y Herzegovina</v>
      </c>
      <c r="F65" s="11" t="str">
        <f ca="1">+WORLDCUP!BD61</f>
        <v>Paraguay</v>
      </c>
      <c r="G65" s="11" t="str">
        <f ca="1">+WORLDCUP!BD66</f>
        <v>Senegal</v>
      </c>
      <c r="H65" s="11" t="str">
        <f ca="1">+WORLDCUP!BD65</f>
        <v>Cabo Verde</v>
      </c>
      <c r="I65" s="11" t="str">
        <f ca="1">+WORLDCUP!BD69</f>
        <v>Croacia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Cabo Verde</v>
      </c>
      <c r="H66" s="11" t="str">
        <f ca="1">+WORLDCUP!BD64</f>
        <v>Bélgica</v>
      </c>
      <c r="I66" s="11" t="str">
        <f ca="1">+WORLDCUP!BD69</f>
        <v>Croacia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Cabo Verde</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Croacia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Cabo Verde</v>
      </c>
      <c r="H69" s="11" t="str">
        <f ca="1">+WORLDCUP!BD63</f>
        <v>Suecia</v>
      </c>
      <c r="I69" s="11" t="str">
        <f ca="1">+WORLDCUP!BD69</f>
        <v>Croacia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Cabo Verde</v>
      </c>
      <c r="H70" s="11" t="str">
        <f ca="1">+WORLDCUP!BD63</f>
        <v>Suecia</v>
      </c>
      <c r="I70" s="11" t="str">
        <f ca="1">+WORLDCUP!BD69</f>
        <v>Croacia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Cabo Verde</v>
      </c>
      <c r="H71" s="11" t="str">
        <f ca="1">+WORLDCUP!BD63</f>
        <v>Suecia</v>
      </c>
      <c r="I71" s="11" t="str">
        <f ca="1">+WORLDCUP!BD69</f>
        <v>Croacia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Cabo Verde</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Bosnia y Herzegovina</v>
      </c>
      <c r="F73" s="11" t="str">
        <f ca="1">+WORLDCUP!BD61</f>
        <v>Paraguay</v>
      </c>
      <c r="G73" s="11" t="str">
        <f ca="1">+WORLDCUP!BD67</f>
        <v>Argelia</v>
      </c>
      <c r="H73" s="11" t="str">
        <f ca="1">+WORLDCUP!BD63</f>
        <v>Suecia</v>
      </c>
      <c r="I73" s="11" t="str">
        <f ca="1">+WORLDCUP!BD69</f>
        <v>Croacia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Bosnia y Herzegovina</v>
      </c>
      <c r="F74" s="11" t="str">
        <f ca="1">+WORLDCUP!BD61</f>
        <v>Paraguay</v>
      </c>
      <c r="G74" s="11" t="str">
        <f ca="1">+WORLDCUP!BD66</f>
        <v>Senegal</v>
      </c>
      <c r="H74" s="11" t="str">
        <f ca="1">+WORLDCUP!BD63</f>
        <v>Suecia</v>
      </c>
      <c r="I74" s="11" t="str">
        <f ca="1">+WORLDCUP!BD69</f>
        <v>Croacia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Bosnia y Herzegovina</v>
      </c>
      <c r="F75" s="11" t="str">
        <f ca="1">+WORLDCUP!BD61</f>
        <v>Paraguay</v>
      </c>
      <c r="G75" s="11" t="str">
        <f ca="1">+WORLDCUP!BD67</f>
        <v>Argelia</v>
      </c>
      <c r="H75" s="11" t="str">
        <f ca="1">+WORLDCUP!BD63</f>
        <v>Suecia</v>
      </c>
      <c r="I75" s="11" t="str">
        <f ca="1">+WORLDCUP!BD69</f>
        <v>Croacia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Bosnia y Herzegovina</v>
      </c>
      <c r="F77" s="11" t="str">
        <f ca="1">+WORLDCUP!BD61</f>
        <v>Paraguay</v>
      </c>
      <c r="G77" s="11" t="str">
        <f ca="1">+WORLDCUP!BD65</f>
        <v>Cabo Verde</v>
      </c>
      <c r="H77" s="11" t="str">
        <f ca="1">+WORLDCUP!BD63</f>
        <v>Suecia</v>
      </c>
      <c r="I77" s="11" t="str">
        <f ca="1">+WORLDCUP!BD69</f>
        <v>Croacia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Cabo Verde</v>
      </c>
      <c r="D78" s="11" t="str">
        <f ca="1">+WORLDCUP!BD64</f>
        <v>Bélgica</v>
      </c>
      <c r="E78" s="11" t="str">
        <f ca="1">+WORLDCUP!BD59</f>
        <v>Bosnia y Herzegovina</v>
      </c>
      <c r="F78" s="11" t="str">
        <f ca="1">+WORLDCUP!BD61</f>
        <v>Paraguay</v>
      </c>
      <c r="G78" s="11" t="str">
        <f ca="1">+WORLDCUP!BD67</f>
        <v>Argelia</v>
      </c>
      <c r="H78" s="11" t="str">
        <f ca="1">+WORLDCUP!BD63</f>
        <v>Suecia</v>
      </c>
      <c r="I78" s="11" t="str">
        <f ca="1">+WORLDCUP!BD69</f>
        <v>Croacia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Cabo Verde</v>
      </c>
      <c r="D79" s="11" t="str">
        <f ca="1">+WORLDCUP!BD64</f>
        <v>Bélgica</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Bosnia y Herzegovina</v>
      </c>
      <c r="F80" s="11" t="str">
        <f ca="1">+WORLDCUP!BD61</f>
        <v>Paraguay</v>
      </c>
      <c r="G80" s="11" t="str">
        <f ca="1">+WORLDCUP!BD65</f>
        <v>Cabo Verde</v>
      </c>
      <c r="H80" s="11" t="str">
        <f ca="1">+WORLDCUP!BD63</f>
        <v>Suecia</v>
      </c>
      <c r="I80" s="11" t="str">
        <f ca="1">+WORLDCUP!BD69</f>
        <v>Croacia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Bosnia y Herzegovina</v>
      </c>
      <c r="F81" s="11" t="str">
        <f ca="1">+WORLDCUP!BD61</f>
        <v>Paraguay</v>
      </c>
      <c r="G81" s="11" t="str">
        <f ca="1">+WORLDCUP!BD65</f>
        <v>Cabo Verde</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Cabo Verde</v>
      </c>
      <c r="D82" s="11" t="str">
        <f ca="1">+WORLDCUP!BD64</f>
        <v>Bélgica</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Cabo Verde</v>
      </c>
      <c r="D83" s="11" t="str">
        <f ca="1">+WORLDCUP!BD67</f>
        <v>Argelia</v>
      </c>
      <c r="E83" s="11" t="str">
        <f ca="1">+WORLDCUP!BD59</f>
        <v>Bosnia y Herzegovina</v>
      </c>
      <c r="F83" s="11" t="str">
        <f ca="1">+WORLDCUP!BD60</f>
        <v>Escocia</v>
      </c>
      <c r="G83" s="11" t="str">
        <f ca="1">+WORLDCUP!BD66</f>
        <v>Senegal</v>
      </c>
      <c r="H83" s="11" t="str">
        <f ca="1">+WORLDCUP!BD64</f>
        <v>Bélgica</v>
      </c>
      <c r="I83" s="11" t="str">
        <f ca="1">+WORLDCUP!BD69</f>
        <v>Croacia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Cabo Verde</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Croacia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Bosnia y Herzegovina</v>
      </c>
      <c r="F85" s="11" t="str">
        <f ca="1">+WORLDCUP!BD60</f>
        <v>Escocia</v>
      </c>
      <c r="G85" s="11" t="str">
        <f ca="1">+WORLDCUP!BD67</f>
        <v>Argelia</v>
      </c>
      <c r="H85" s="11" t="str">
        <f ca="1">+WORLDCUP!BD63</f>
        <v>Suecia</v>
      </c>
      <c r="I85" s="11" t="str">
        <f ca="1">+WORLDCUP!BD69</f>
        <v>Croacia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Cabo Verde</v>
      </c>
      <c r="D86" s="11" t="str">
        <f ca="1">+WORLDCUP!BD64</f>
        <v>Bélgica</v>
      </c>
      <c r="E86" s="11" t="str">
        <f ca="1">+WORLDCUP!BD59</f>
        <v>Bosnia y Herzegovina</v>
      </c>
      <c r="F86" s="11" t="str">
        <f ca="1">+WORLDCUP!BD60</f>
        <v>Escocia</v>
      </c>
      <c r="G86" s="11" t="str">
        <f ca="1">+WORLDCUP!BD67</f>
        <v>Argelia</v>
      </c>
      <c r="H86" s="11" t="str">
        <f ca="1">+WORLDCUP!BD63</f>
        <v>Suecia</v>
      </c>
      <c r="I86" s="11" t="str">
        <f ca="1">+WORLDCUP!BD69</f>
        <v>Croacia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Cabo Verde</v>
      </c>
      <c r="D87" s="11" t="str">
        <f ca="1">+WORLDCUP!BD64</f>
        <v>Bélgica</v>
      </c>
      <c r="E87" s="11" t="str">
        <f ca="1">+WORLDCUP!BD59</f>
        <v>Bosnia y Herzegovina</v>
      </c>
      <c r="F87" s="11" t="str">
        <f ca="1">+WORLDCUP!BD60</f>
        <v>Escocia</v>
      </c>
      <c r="G87" s="11" t="str">
        <f ca="1">+WORLDCUP!BD66</f>
        <v>Senegal</v>
      </c>
      <c r="H87" s="11" t="str">
        <f ca="1">+WORLDCUP!BD63</f>
        <v>Suecia</v>
      </c>
      <c r="I87" s="11" t="str">
        <f ca="1">+WORLDCUP!BD69</f>
        <v>Croacia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Cabo Verde</v>
      </c>
      <c r="D88" s="11" t="str">
        <f ca="1">+WORLDCUP!BD64</f>
        <v>Bélgica</v>
      </c>
      <c r="E88" s="11" t="str">
        <f ca="1">+WORLDCUP!BD59</f>
        <v>Bosnia y Herzegovina</v>
      </c>
      <c r="F88" s="11" t="str">
        <f ca="1">+WORLDCUP!BD60</f>
        <v>Escocia</v>
      </c>
      <c r="G88" s="11" t="str">
        <f ca="1">+WORLDCUP!BD67</f>
        <v>Argelia</v>
      </c>
      <c r="H88" s="11" t="str">
        <f ca="1">+WORLDCUP!BD63</f>
        <v>Suecia</v>
      </c>
      <c r="I88" s="11" t="str">
        <f ca="1">+WORLDCUP!BD69</f>
        <v>Croacia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Cabo Verde</v>
      </c>
      <c r="D89" s="11" t="str">
        <f ca="1">+WORLDCUP!BD64</f>
        <v>Bélgica</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Cabo Verde</v>
      </c>
      <c r="I90" s="11" t="str">
        <f ca="1">+WORLDCUP!BD69</f>
        <v>Croacia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Bélgica</v>
      </c>
      <c r="I91" s="11" t="str">
        <f ca="1">+WORLDCUP!BD69</f>
        <v>Croacia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Cabo Verde</v>
      </c>
      <c r="H92" s="11" t="str">
        <f ca="1">+WORLDCUP!BD64</f>
        <v>Bélgica</v>
      </c>
      <c r="I92" s="11" t="str">
        <f ca="1">+WORLDCUP!BD69</f>
        <v>Croacia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Bosnia y Herzegovina</v>
      </c>
      <c r="F93" s="11" t="str">
        <f ca="1">+WORLDCUP!BD60</f>
        <v>Escocia</v>
      </c>
      <c r="G93" s="11" t="str">
        <f ca="1">+WORLDCUP!BD66</f>
        <v>Senegal</v>
      </c>
      <c r="H93" s="11" t="str">
        <f ca="1">+WORLDCUP!BD65</f>
        <v>Cabo Verde</v>
      </c>
      <c r="I93" s="11" t="str">
        <f ca="1">+WORLDCUP!BD69</f>
        <v>Croacia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Cabo Verde</v>
      </c>
      <c r="H94" s="11" t="str">
        <f ca="1">+WORLDCUP!BD64</f>
        <v>Bélgica</v>
      </c>
      <c r="I94" s="11" t="str">
        <f ca="1">+WORLDCUP!BD69</f>
        <v>Croacia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Cabo Verde</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Croacia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Cabo Verde</v>
      </c>
      <c r="H97" s="11" t="str">
        <f ca="1">+WORLDCUP!BD63</f>
        <v>Suecia</v>
      </c>
      <c r="I97" s="11" t="str">
        <f ca="1">+WORLDCUP!BD69</f>
        <v>Croacia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Cabo Verde</v>
      </c>
      <c r="H98" s="11" t="str">
        <f ca="1">+WORLDCUP!BD63</f>
        <v>Suecia</v>
      </c>
      <c r="I98" s="11" t="str">
        <f ca="1">+WORLDCUP!BD69</f>
        <v>Croacia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Cabo Verde</v>
      </c>
      <c r="H99" s="11" t="str">
        <f ca="1">+WORLDCUP!BD63</f>
        <v>Suecia</v>
      </c>
      <c r="I99" s="11" t="str">
        <f ca="1">+WORLDCUP!BD69</f>
        <v>Croacia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Cabo Verde</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Bosnia y Herzegovina</v>
      </c>
      <c r="F101" s="11" t="str">
        <f ca="1">+WORLDCUP!BD60</f>
        <v>Escocia</v>
      </c>
      <c r="G101" s="11" t="str">
        <f ca="1">+WORLDCUP!BD67</f>
        <v>Argelia</v>
      </c>
      <c r="H101" s="11" t="str">
        <f ca="1">+WORLDCUP!BD63</f>
        <v>Suecia</v>
      </c>
      <c r="I101" s="11" t="str">
        <f ca="1">+WORLDCUP!BD69</f>
        <v>Croacia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Bosnia y Herzegovina</v>
      </c>
      <c r="F102" s="11" t="str">
        <f ca="1">+WORLDCUP!BD60</f>
        <v>Escocia</v>
      </c>
      <c r="G102" s="11" t="str">
        <f ca="1">+WORLDCUP!BD66</f>
        <v>Senegal</v>
      </c>
      <c r="H102" s="11" t="str">
        <f ca="1">+WORLDCUP!BD63</f>
        <v>Suecia</v>
      </c>
      <c r="I102" s="11" t="str">
        <f ca="1">+WORLDCUP!BD69</f>
        <v>Croacia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Bosnia y Herzegovina</v>
      </c>
      <c r="F103" s="11" t="str">
        <f ca="1">+WORLDCUP!BD60</f>
        <v>Escocia</v>
      </c>
      <c r="G103" s="11" t="str">
        <f ca="1">+WORLDCUP!BD67</f>
        <v>Argelia</v>
      </c>
      <c r="H103" s="11" t="str">
        <f ca="1">+WORLDCUP!BD63</f>
        <v>Suecia</v>
      </c>
      <c r="I103" s="11" t="str">
        <f ca="1">+WORLDCUP!BD69</f>
        <v>Croacia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Bosnia y Herzegovina</v>
      </c>
      <c r="F105" s="11" t="str">
        <f ca="1">+WORLDCUP!BD60</f>
        <v>Escocia</v>
      </c>
      <c r="G105" s="11" t="str">
        <f ca="1">+WORLDCUP!BD65</f>
        <v>Cabo Verde</v>
      </c>
      <c r="H105" s="11" t="str">
        <f ca="1">+WORLDCUP!BD63</f>
        <v>Suecia</v>
      </c>
      <c r="I105" s="11" t="str">
        <f ca="1">+WORLDCUP!BD69</f>
        <v>Croacia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Cabo Verde</v>
      </c>
      <c r="D106" s="11" t="str">
        <f ca="1">+WORLDCUP!BD64</f>
        <v>Bélgica</v>
      </c>
      <c r="E106" s="11" t="str">
        <f ca="1">+WORLDCUP!BD59</f>
        <v>Bosnia y Herzegovina</v>
      </c>
      <c r="F106" s="11" t="str">
        <f ca="1">+WORLDCUP!BD60</f>
        <v>Escocia</v>
      </c>
      <c r="G106" s="11" t="str">
        <f ca="1">+WORLDCUP!BD67</f>
        <v>Argelia</v>
      </c>
      <c r="H106" s="11" t="str">
        <f ca="1">+WORLDCUP!BD63</f>
        <v>Suecia</v>
      </c>
      <c r="I106" s="11" t="str">
        <f ca="1">+WORLDCUP!BD69</f>
        <v>Croacia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Cabo Verde</v>
      </c>
      <c r="D107" s="11" t="str">
        <f ca="1">+WORLDCUP!BD64</f>
        <v>Bélgica</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Bosnia y Herzegovina</v>
      </c>
      <c r="F108" s="11" t="str">
        <f ca="1">+WORLDCUP!BD60</f>
        <v>Escocia</v>
      </c>
      <c r="G108" s="11" t="str">
        <f ca="1">+WORLDCUP!BD65</f>
        <v>Cabo Verde</v>
      </c>
      <c r="H108" s="11" t="str">
        <f ca="1">+WORLDCUP!BD63</f>
        <v>Suecia</v>
      </c>
      <c r="I108" s="11" t="str">
        <f ca="1">+WORLDCUP!BD69</f>
        <v>Croacia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Bosnia y Herzegovina</v>
      </c>
      <c r="F109" s="11" t="str">
        <f ca="1">+WORLDCUP!BD60</f>
        <v>Escocia</v>
      </c>
      <c r="G109" s="11" t="str">
        <f ca="1">+WORLDCUP!BD65</f>
        <v>Cabo Verde</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Cabo Verde</v>
      </c>
      <c r="D110" s="11" t="str">
        <f ca="1">+WORLDCUP!BD64</f>
        <v>Bélgica</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Cabo Verde</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Croacia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Bosnia y Herzegovina</v>
      </c>
      <c r="F112" s="11" t="str">
        <f ca="1">+WORLDCUP!BD60</f>
        <v>Escocia</v>
      </c>
      <c r="G112" s="11" t="str">
        <f ca="1">+WORLDCUP!BD67</f>
        <v>Argelia</v>
      </c>
      <c r="H112" s="11" t="str">
        <f ca="1">+WORLDCUP!BD61</f>
        <v>Paraguay</v>
      </c>
      <c r="I112" s="11" t="str">
        <f ca="1">+WORLDCUP!BD69</f>
        <v>Croacia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Cabo Verde</v>
      </c>
      <c r="D113" s="11" t="str">
        <f ca="1">+WORLDCUP!BD64</f>
        <v>Bélgica</v>
      </c>
      <c r="E113" s="11" t="str">
        <f ca="1">+WORLDCUP!BD59</f>
        <v>Bosnia y Herzegovina</v>
      </c>
      <c r="F113" s="11" t="str">
        <f ca="1">+WORLDCUP!BD60</f>
        <v>Escocia</v>
      </c>
      <c r="G113" s="11" t="str">
        <f ca="1">+WORLDCUP!BD67</f>
        <v>Argelia</v>
      </c>
      <c r="H113" s="11" t="str">
        <f ca="1">+WORLDCUP!BD61</f>
        <v>Paraguay</v>
      </c>
      <c r="I113" s="11" t="str">
        <f ca="1">+WORLDCUP!BD69</f>
        <v>Croacia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Cabo Verde</v>
      </c>
      <c r="D114" s="11" t="str">
        <f ca="1">+WORLDCUP!BD64</f>
        <v>Bélgica</v>
      </c>
      <c r="E114" s="11" t="str">
        <f ca="1">+WORLDCUP!BD59</f>
        <v>Bosnia y Herzegovina</v>
      </c>
      <c r="F114" s="11" t="str">
        <f ca="1">+WORLDCUP!BD60</f>
        <v>Escocia</v>
      </c>
      <c r="G114" s="11" t="str">
        <f ca="1">+WORLDCUP!BD66</f>
        <v>Senegal</v>
      </c>
      <c r="H114" s="11" t="str">
        <f ca="1">+WORLDCUP!BD61</f>
        <v>Paraguay</v>
      </c>
      <c r="I114" s="11" t="str">
        <f ca="1">+WORLDCUP!BD69</f>
        <v>Croacia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Cabo Verde</v>
      </c>
      <c r="D115" s="11" t="str">
        <f ca="1">+WORLDCUP!BD64</f>
        <v>Bélgica</v>
      </c>
      <c r="E115" s="11" t="str">
        <f ca="1">+WORLDCUP!BD59</f>
        <v>Bosnia y Herzegovina</v>
      </c>
      <c r="F115" s="11" t="str">
        <f ca="1">+WORLDCUP!BD60</f>
        <v>Escocia</v>
      </c>
      <c r="G115" s="11" t="str">
        <f ca="1">+WORLDCUP!BD67</f>
        <v>Argelia</v>
      </c>
      <c r="H115" s="11" t="str">
        <f ca="1">+WORLDCUP!BD61</f>
        <v>Paraguay</v>
      </c>
      <c r="I115" s="11" t="str">
        <f ca="1">+WORLDCUP!BD69</f>
        <v>Croacia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Cabo Verde</v>
      </c>
      <c r="D116" s="11" t="str">
        <f ca="1">+WORLDCUP!BD64</f>
        <v>Bélgica</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Croacia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Cabo Verde</v>
      </c>
      <c r="H118" s="11" t="str">
        <f ca="1">+WORLDCUP!BD63</f>
        <v>Suecia</v>
      </c>
      <c r="I118" s="11" t="str">
        <f ca="1">+WORLDCUP!BD69</f>
        <v>Croacia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Cabo Verde</v>
      </c>
      <c r="H119" s="11" t="str">
        <f ca="1">+WORLDCUP!BD63</f>
        <v>Suecia</v>
      </c>
      <c r="I119" s="11" t="str">
        <f ca="1">+WORLDCUP!BD69</f>
        <v>Croacia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Cabo Verde</v>
      </c>
      <c r="H120" s="11" t="str">
        <f ca="1">+WORLDCUP!BD63</f>
        <v>Suecia</v>
      </c>
      <c r="I120" s="11" t="str">
        <f ca="1">+WORLDCUP!BD69</f>
        <v>Croacia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Cabo Verde</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Bélgica</v>
      </c>
      <c r="E122" s="11" t="str">
        <f ca="1">+WORLDCUP!BD59</f>
        <v>Bosnia y Herzegovina</v>
      </c>
      <c r="F122" s="11" t="str">
        <f ca="1">+WORLDCUP!BD61</f>
        <v>Paraguay</v>
      </c>
      <c r="G122" s="11" t="str">
        <f ca="1">+WORLDCUP!BD67</f>
        <v>Argelia</v>
      </c>
      <c r="H122" s="11" t="str">
        <f ca="1">+WORLDCUP!BD63</f>
        <v>Suecia</v>
      </c>
      <c r="I122" s="11" t="str">
        <f ca="1">+WORLDCUP!BD69</f>
        <v>Croacia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Bélgica</v>
      </c>
      <c r="E123" s="11" t="str">
        <f ca="1">+WORLDCUP!BD59</f>
        <v>Bosnia y Herzegovina</v>
      </c>
      <c r="F123" s="11" t="str">
        <f ca="1">+WORLDCUP!BD61</f>
        <v>Paraguay</v>
      </c>
      <c r="G123" s="11" t="str">
        <f ca="1">+WORLDCUP!BD66</f>
        <v>Senegal</v>
      </c>
      <c r="H123" s="11" t="str">
        <f ca="1">+WORLDCUP!BD63</f>
        <v>Suecia</v>
      </c>
      <c r="I123" s="11" t="str">
        <f ca="1">+WORLDCUP!BD69</f>
        <v>Croacia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Bélgica</v>
      </c>
      <c r="E124" s="11" t="str">
        <f ca="1">+WORLDCUP!BD59</f>
        <v>Bosnia y Herzegovina</v>
      </c>
      <c r="F124" s="11" t="str">
        <f ca="1">+WORLDCUP!BD61</f>
        <v>Paraguay</v>
      </c>
      <c r="G124" s="11" t="str">
        <f ca="1">+WORLDCUP!BD67</f>
        <v>Argelia</v>
      </c>
      <c r="H124" s="11" t="str">
        <f ca="1">+WORLDCUP!BD63</f>
        <v>Suecia</v>
      </c>
      <c r="I124" s="11" t="str">
        <f ca="1">+WORLDCUP!BD69</f>
        <v>Croacia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Bélgica</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Bélgica</v>
      </c>
      <c r="E126" s="11" t="str">
        <f ca="1">+WORLDCUP!BD59</f>
        <v>Bosnia y Herzegovina</v>
      </c>
      <c r="F126" s="11" t="str">
        <f ca="1">+WORLDCUP!BD61</f>
        <v>Paraguay</v>
      </c>
      <c r="G126" s="11" t="str">
        <f ca="1">+WORLDCUP!BD65</f>
        <v>Cabo Verde</v>
      </c>
      <c r="H126" s="11" t="str">
        <f ca="1">+WORLDCUP!BD63</f>
        <v>Suecia</v>
      </c>
      <c r="I126" s="11" t="str">
        <f ca="1">+WORLDCUP!BD69</f>
        <v>Croacia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Bélgica</v>
      </c>
      <c r="E127" s="11" t="str">
        <f ca="1">+WORLDCUP!BD59</f>
        <v>Bosnia y Herzegovina</v>
      </c>
      <c r="F127" s="11" t="str">
        <f ca="1">+WORLDCUP!BD61</f>
        <v>Paraguay</v>
      </c>
      <c r="G127" s="11" t="str">
        <f ca="1">+WORLDCUP!BD65</f>
        <v>Cabo Verde</v>
      </c>
      <c r="H127" s="11" t="str">
        <f ca="1">+WORLDCUP!BD63</f>
        <v>Suecia</v>
      </c>
      <c r="I127" s="11" t="str">
        <f ca="1">+WORLDCUP!BD69</f>
        <v>Croacia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Cabo Verde</v>
      </c>
      <c r="D128" s="11" t="str">
        <f ca="1">+WORLDCUP!BD64</f>
        <v>Bélgica</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Bélgica</v>
      </c>
      <c r="E129" s="11" t="str">
        <f ca="1">+WORLDCUP!BD59</f>
        <v>Bosnia y Herzegovina</v>
      </c>
      <c r="F129" s="11" t="str">
        <f ca="1">+WORLDCUP!BD61</f>
        <v>Paraguay</v>
      </c>
      <c r="G129" s="11" t="str">
        <f ca="1">+WORLDCUP!BD65</f>
        <v>Cabo Verde</v>
      </c>
      <c r="H129" s="11" t="str">
        <f ca="1">+WORLDCUP!BD63</f>
        <v>Suecia</v>
      </c>
      <c r="I129" s="11" t="str">
        <f ca="1">+WORLDCUP!BD69</f>
        <v>Croacia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Bélgica</v>
      </c>
      <c r="E130" s="11" t="str">
        <f ca="1">+WORLDCUP!BD59</f>
        <v>Bosnia y Herzegovina</v>
      </c>
      <c r="F130" s="11" t="str">
        <f ca="1">+WORLDCUP!BD61</f>
        <v>Paraguay</v>
      </c>
      <c r="G130" s="11" t="str">
        <f ca="1">+WORLDCUP!BD65</f>
        <v>Cabo Verde</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Cabo Verde</v>
      </c>
      <c r="D131" s="11" t="str">
        <f ca="1">+WORLDCUP!BD64</f>
        <v>Bélgica</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Croacia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Cabo Verde</v>
      </c>
      <c r="H133" s="11" t="str">
        <f ca="1">+WORLDCUP!BD61</f>
        <v>Paraguay</v>
      </c>
      <c r="I133" s="11" t="str">
        <f ca="1">+WORLDCUP!BD69</f>
        <v>Croacia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Cabo Verde</v>
      </c>
      <c r="H134" s="11" t="str">
        <f ca="1">+WORLDCUP!BD61</f>
        <v>Paraguay</v>
      </c>
      <c r="I134" s="11" t="str">
        <f ca="1">+WORLDCUP!BD69</f>
        <v>Croacia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Cabo Verde</v>
      </c>
      <c r="H135" s="11" t="str">
        <f ca="1">+WORLDCUP!BD61</f>
        <v>Paraguay</v>
      </c>
      <c r="I135" s="11" t="str">
        <f ca="1">+WORLDCUP!BD69</f>
        <v>Croacia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Cabo Verde</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Bosnia y Herzegovina</v>
      </c>
      <c r="F137" s="11" t="str">
        <f ca="1">+WORLDCUP!BD60</f>
        <v>Escocia</v>
      </c>
      <c r="G137" s="11" t="str">
        <f ca="1">+WORLDCUP!BD67</f>
        <v>Argelia</v>
      </c>
      <c r="H137" s="11" t="str">
        <f ca="1">+WORLDCUP!BD61</f>
        <v>Paraguay</v>
      </c>
      <c r="I137" s="11" t="str">
        <f ca="1">+WORLDCUP!BD69</f>
        <v>Croacia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Bosnia y Herzegovina</v>
      </c>
      <c r="F138" s="11" t="str">
        <f ca="1">+WORLDCUP!BD60</f>
        <v>Escocia</v>
      </c>
      <c r="G138" s="11" t="str">
        <f ca="1">+WORLDCUP!BD66</f>
        <v>Senegal</v>
      </c>
      <c r="H138" s="11" t="str">
        <f ca="1">+WORLDCUP!BD61</f>
        <v>Paraguay</v>
      </c>
      <c r="I138" s="11" t="str">
        <f ca="1">+WORLDCUP!BD69</f>
        <v>Croacia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Bosnia y Herzegovina</v>
      </c>
      <c r="F139" s="11" t="str">
        <f ca="1">+WORLDCUP!BD60</f>
        <v>Escocia</v>
      </c>
      <c r="G139" s="11" t="str">
        <f ca="1">+WORLDCUP!BD67</f>
        <v>Argelia</v>
      </c>
      <c r="H139" s="11" t="str">
        <f ca="1">+WORLDCUP!BD61</f>
        <v>Paraguay</v>
      </c>
      <c r="I139" s="11" t="str">
        <f ca="1">+WORLDCUP!BD69</f>
        <v>Croacia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Bosnia y Herzegovina</v>
      </c>
      <c r="F141" s="11" t="str">
        <f ca="1">+WORLDCUP!BD60</f>
        <v>Escocia</v>
      </c>
      <c r="G141" s="11" t="str">
        <f ca="1">+WORLDCUP!BD65</f>
        <v>Cabo Verde</v>
      </c>
      <c r="H141" s="11" t="str">
        <f ca="1">+WORLDCUP!BD61</f>
        <v>Paraguay</v>
      </c>
      <c r="I141" s="11" t="str">
        <f ca="1">+WORLDCUP!BD69</f>
        <v>Croacia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Cabo Verde</v>
      </c>
      <c r="D142" s="11" t="str">
        <f ca="1">+WORLDCUP!BD64</f>
        <v>Bélgica</v>
      </c>
      <c r="E142" s="11" t="str">
        <f ca="1">+WORLDCUP!BD59</f>
        <v>Bosnia y Herzegovina</v>
      </c>
      <c r="F142" s="11" t="str">
        <f ca="1">+WORLDCUP!BD60</f>
        <v>Escocia</v>
      </c>
      <c r="G142" s="11" t="str">
        <f ca="1">+WORLDCUP!BD67</f>
        <v>Argelia</v>
      </c>
      <c r="H142" s="11" t="str">
        <f ca="1">+WORLDCUP!BD61</f>
        <v>Paraguay</v>
      </c>
      <c r="I142" s="11" t="str">
        <f ca="1">+WORLDCUP!BD69</f>
        <v>Croacia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Cabo Verde</v>
      </c>
      <c r="D143" s="11" t="str">
        <f ca="1">+WORLDCUP!BD64</f>
        <v>Bélgica</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Bosnia y Herzegovina</v>
      </c>
      <c r="F144" s="11" t="str">
        <f ca="1">+WORLDCUP!BD60</f>
        <v>Escocia</v>
      </c>
      <c r="G144" s="11" t="str">
        <f ca="1">+WORLDCUP!BD65</f>
        <v>Cabo Verde</v>
      </c>
      <c r="H144" s="11" t="str">
        <f ca="1">+WORLDCUP!BD61</f>
        <v>Paraguay</v>
      </c>
      <c r="I144" s="11" t="str">
        <f ca="1">+WORLDCUP!BD69</f>
        <v>Croacia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Bosnia y Herzegovina</v>
      </c>
      <c r="F145" s="11" t="str">
        <f ca="1">+WORLDCUP!BD60</f>
        <v>Escocia</v>
      </c>
      <c r="G145" s="11" t="str">
        <f ca="1">+WORLDCUP!BD65</f>
        <v>Cabo Verde</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Cabo Verde</v>
      </c>
      <c r="D146" s="11" t="str">
        <f ca="1">+WORLDCUP!BD64</f>
        <v>Bélgica</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Croacia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Croacia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Croacia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Cabo Verde</v>
      </c>
      <c r="H151" s="11" t="str">
        <f ca="1">+WORLDCUP!BD63</f>
        <v>Suecia</v>
      </c>
      <c r="I151" s="11" t="str">
        <f ca="1">+WORLDCUP!BD69</f>
        <v>Croacia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Cabo Verde</v>
      </c>
      <c r="H152" s="11" t="str">
        <f ca="1">+WORLDCUP!BD63</f>
        <v>Suecia</v>
      </c>
      <c r="I152" s="11" t="str">
        <f ca="1">+WORLDCUP!BD69</f>
        <v>Croacia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Cabo Verde</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Cabo Verde</v>
      </c>
      <c r="H154" s="11" t="str">
        <f ca="1">+WORLDCUP!BD63</f>
        <v>Suecia</v>
      </c>
      <c r="I154" s="11" t="str">
        <f ca="1">+WORLDCUP!BD69</f>
        <v>Croacia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Cabo Verde</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Cabo Verde</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Bélgica</v>
      </c>
      <c r="E157" s="11" t="str">
        <f ca="1">+WORLDCUP!BD59</f>
        <v>Bosnia y Herzegovina</v>
      </c>
      <c r="F157" s="11" t="str">
        <f ca="1">+WORLDCUP!BD61</f>
        <v>Paraguay</v>
      </c>
      <c r="G157" s="11" t="str">
        <f ca="1">+WORLDCUP!BD62</f>
        <v>Ecuador</v>
      </c>
      <c r="H157" s="11" t="str">
        <f ca="1">+WORLDCUP!BD63</f>
        <v>Suecia</v>
      </c>
      <c r="I157" s="11" t="str">
        <f ca="1">+WORLDCUP!BD69</f>
        <v>Croacia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Bélgica</v>
      </c>
      <c r="E158" s="11" t="str">
        <f ca="1">+WORLDCUP!BD59</f>
        <v>Bosnia y Herzegovina</v>
      </c>
      <c r="F158" s="11" t="str">
        <f ca="1">+WORLDCUP!BD61</f>
        <v>Paraguay</v>
      </c>
      <c r="G158" s="11" t="str">
        <f ca="1">+WORLDCUP!BD67</f>
        <v>Argelia</v>
      </c>
      <c r="H158" s="11" t="str">
        <f ca="1">+WORLDCUP!BD63</f>
        <v>Suecia</v>
      </c>
      <c r="I158" s="11" t="str">
        <f ca="1">+WORLDCUP!BD69</f>
        <v>Croacia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Bélgica</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Bélgica</v>
      </c>
      <c r="E160" s="11" t="str">
        <f ca="1">+WORLDCUP!BD59</f>
        <v>Bosnia y Herzegovina</v>
      </c>
      <c r="F160" s="11" t="str">
        <f ca="1">+WORLDCUP!BD61</f>
        <v>Paraguay</v>
      </c>
      <c r="G160" s="11" t="str">
        <f ca="1">+WORLDCUP!BD62</f>
        <v>Ecuador</v>
      </c>
      <c r="H160" s="11" t="str">
        <f ca="1">+WORLDCUP!BD63</f>
        <v>Suecia</v>
      </c>
      <c r="I160" s="11" t="str">
        <f ca="1">+WORLDCUP!BD69</f>
        <v>Croacia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Bélgica</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Bélgica</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Bélgica</v>
      </c>
      <c r="E163" s="11" t="str">
        <f ca="1">+WORLDCUP!BD59</f>
        <v>Bosnia y Herzegovina</v>
      </c>
      <c r="F163" s="11" t="str">
        <f ca="1">+WORLDCUP!BD61</f>
        <v>Paraguay</v>
      </c>
      <c r="G163" s="11" t="str">
        <f ca="1">+WORLDCUP!BD65</f>
        <v>Cabo Verde</v>
      </c>
      <c r="H163" s="11" t="str">
        <f ca="1">+WORLDCUP!BD63</f>
        <v>Suecia</v>
      </c>
      <c r="I163" s="11" t="str">
        <f ca="1">+WORLDCUP!BD69</f>
        <v>Croacia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Bélgica</v>
      </c>
      <c r="E164" s="11" t="str">
        <f ca="1">+WORLDCUP!BD59</f>
        <v>Bosnia y Herzegovina</v>
      </c>
      <c r="F164" s="11" t="str">
        <f ca="1">+WORLDCUP!BD61</f>
        <v>Paraguay</v>
      </c>
      <c r="G164" s="11" t="str">
        <f ca="1">+WORLDCUP!BD65</f>
        <v>Cabo Verde</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Cabo Verde</v>
      </c>
      <c r="D165" s="11" t="str">
        <f ca="1">+WORLDCUP!BD64</f>
        <v>Bélgica</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Bélgica</v>
      </c>
      <c r="E166" s="11" t="str">
        <f ca="1">+WORLDCUP!BD59</f>
        <v>Bosnia y Herzegovina</v>
      </c>
      <c r="F166" s="11" t="str">
        <f ca="1">+WORLDCUP!BD61</f>
        <v>Paraguay</v>
      </c>
      <c r="G166" s="11" t="str">
        <f ca="1">+WORLDCUP!BD65</f>
        <v>Cabo Verde</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Cabo Verde</v>
      </c>
      <c r="D167" s="11" t="str">
        <f ca="1">+WORLDCUP!BD67</f>
        <v>Argelia</v>
      </c>
      <c r="E167" s="11" t="str">
        <f ca="1">+WORLDCUP!BD66</f>
        <v>Senegal</v>
      </c>
      <c r="F167" s="11" t="str">
        <f ca="1">+WORLDCUP!BD63</f>
        <v>Suecia</v>
      </c>
      <c r="G167" s="11" t="str">
        <f ca="1">+WORLDCUP!BD58</f>
        <v>República Checa</v>
      </c>
      <c r="H167" s="11" t="str">
        <f ca="1">+WORLDCUP!BD64</f>
        <v>Bélgica</v>
      </c>
      <c r="I167" s="11" t="str">
        <f ca="1">+WORLDCUP!BD69</f>
        <v>Croacia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República Checa</v>
      </c>
      <c r="G168" s="11" t="str">
        <f ca="1">+WORLDCUP!BD65</f>
        <v>Cabo Verde</v>
      </c>
      <c r="H168" s="11" t="str">
        <f ca="1">+WORLDCUP!BD64</f>
        <v>Bélgica</v>
      </c>
      <c r="I168" s="11" t="str">
        <f ca="1">+WORLDCUP!BD69</f>
        <v>Croacia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República Checa</v>
      </c>
      <c r="H169" s="11" t="str">
        <f ca="1">+WORLDCUP!BD65</f>
        <v>Cabo Verde</v>
      </c>
      <c r="I169" s="11" t="str">
        <f ca="1">+WORLDCUP!BD69</f>
        <v>Croacia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República Checa</v>
      </c>
      <c r="H170" s="11" t="str">
        <f ca="1">+WORLDCUP!BD64</f>
        <v>Bélgica</v>
      </c>
      <c r="I170" s="11" t="str">
        <f ca="1">+WORLDCUP!BD69</f>
        <v>Croacia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Argelia</v>
      </c>
      <c r="F171" s="11" t="str">
        <f ca="1">+WORLDCUP!BD63</f>
        <v>Suecia</v>
      </c>
      <c r="G171" s="11" t="str">
        <f ca="1">+WORLDCUP!BD58</f>
        <v>República Checa</v>
      </c>
      <c r="H171" s="11" t="str">
        <f ca="1">+WORLDCUP!BD65</f>
        <v>Cabo Verde</v>
      </c>
      <c r="I171" s="11" t="str">
        <f ca="1">+WORLDCUP!BD69</f>
        <v>Croacia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Suecia</v>
      </c>
      <c r="G172" s="11" t="str">
        <f ca="1">+WORLDCUP!BD58</f>
        <v>República Checa</v>
      </c>
      <c r="H172" s="11" t="str">
        <f ca="1">+WORLDCUP!BD65</f>
        <v>Cabo Verde</v>
      </c>
      <c r="I172" s="11" t="str">
        <f ca="1">+WORLDCUP!BD69</f>
        <v>Croacia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Argelia</v>
      </c>
      <c r="F173" s="11" t="str">
        <f ca="1">+WORLDCUP!BD63</f>
        <v>Suecia</v>
      </c>
      <c r="G173" s="11" t="str">
        <f ca="1">+WORLDCUP!BD58</f>
        <v>República Checa</v>
      </c>
      <c r="H173" s="11" t="str">
        <f ca="1">+WORLDCUP!BD65</f>
        <v>Cabo Verde</v>
      </c>
      <c r="I173" s="11" t="str">
        <f ca="1">+WORLDCUP!BD69</f>
        <v>Croacia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Argelia</v>
      </c>
      <c r="F174" s="11" t="str">
        <f ca="1">+WORLDCUP!BD63</f>
        <v>Suecia</v>
      </c>
      <c r="G174" s="11" t="str">
        <f ca="1">+WORLDCUP!BD58</f>
        <v>República Checa</v>
      </c>
      <c r="H174" s="11" t="str">
        <f ca="1">+WORLDCUP!BD65</f>
        <v>Cabo Verde</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Cabo Verde</v>
      </c>
      <c r="D175" s="11" t="str">
        <f ca="1">+WORLDCUP!BD67</f>
        <v>Argelia</v>
      </c>
      <c r="E175" s="11" t="str">
        <f ca="1">+WORLDCUP!BD66</f>
        <v>Senegal</v>
      </c>
      <c r="F175" s="11" t="str">
        <f ca="1">+WORLDCUP!BD61</f>
        <v>Paraguay</v>
      </c>
      <c r="G175" s="11" t="str">
        <f ca="1">+WORLDCUP!BD58</f>
        <v>República Checa</v>
      </c>
      <c r="H175" s="11" t="str">
        <f ca="1">+WORLDCUP!BD64</f>
        <v>Bélgica</v>
      </c>
      <c r="I175" s="11" t="str">
        <f ca="1">+WORLDCUP!BD69</f>
        <v>Croacia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Cabo Verde</v>
      </c>
      <c r="D176" s="11" t="str">
        <f ca="1">+WORLDCUP!BD67</f>
        <v>Argelia</v>
      </c>
      <c r="E176" s="11" t="str">
        <f ca="1">+WORLDCUP!BD66</f>
        <v>Senegal</v>
      </c>
      <c r="F176" s="11" t="str">
        <f ca="1">+WORLDCUP!BD61</f>
        <v>Paraguay</v>
      </c>
      <c r="G176" s="11" t="str">
        <f ca="1">+WORLDCUP!BD58</f>
        <v>República Checa</v>
      </c>
      <c r="H176" s="11" t="str">
        <f ca="1">+WORLDCUP!BD63</f>
        <v>Suecia</v>
      </c>
      <c r="I176" s="11" t="str">
        <f ca="1">+WORLDCUP!BD69</f>
        <v>Croacia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Argelia</v>
      </c>
      <c r="F177" s="11" t="str">
        <f ca="1">+WORLDCUP!BD61</f>
        <v>Paraguay</v>
      </c>
      <c r="G177" s="11" t="str">
        <f ca="1">+WORLDCUP!BD58</f>
        <v>República Checa</v>
      </c>
      <c r="H177" s="11" t="str">
        <f ca="1">+WORLDCUP!BD63</f>
        <v>Suecia</v>
      </c>
      <c r="I177" s="11" t="str">
        <f ca="1">+WORLDCUP!BD69</f>
        <v>Croacia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Cabo Verde</v>
      </c>
      <c r="D178" s="11" t="str">
        <f ca="1">+WORLDCUP!BD64</f>
        <v>Bélgica</v>
      </c>
      <c r="E178" s="11" t="str">
        <f ca="1">+WORLDCUP!BD67</f>
        <v>Argelia</v>
      </c>
      <c r="F178" s="11" t="str">
        <f ca="1">+WORLDCUP!BD61</f>
        <v>Paraguay</v>
      </c>
      <c r="G178" s="11" t="str">
        <f ca="1">+WORLDCUP!BD58</f>
        <v>República Checa</v>
      </c>
      <c r="H178" s="11" t="str">
        <f ca="1">+WORLDCUP!BD63</f>
        <v>Suecia</v>
      </c>
      <c r="I178" s="11" t="str">
        <f ca="1">+WORLDCUP!BD69</f>
        <v>Croacia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Cabo Verde</v>
      </c>
      <c r="D179" s="11" t="str">
        <f ca="1">+WORLDCUP!BD64</f>
        <v>Bélgica</v>
      </c>
      <c r="E179" s="11" t="str">
        <f ca="1">+WORLDCUP!BD66</f>
        <v>Senegal</v>
      </c>
      <c r="F179" s="11" t="str">
        <f ca="1">+WORLDCUP!BD61</f>
        <v>Paraguay</v>
      </c>
      <c r="G179" s="11" t="str">
        <f ca="1">+WORLDCUP!BD58</f>
        <v>República Checa</v>
      </c>
      <c r="H179" s="11" t="str">
        <f ca="1">+WORLDCUP!BD63</f>
        <v>Suecia</v>
      </c>
      <c r="I179" s="11" t="str">
        <f ca="1">+WORLDCUP!BD69</f>
        <v>Croacia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Cabo Verde</v>
      </c>
      <c r="D180" s="11" t="str">
        <f ca="1">+WORLDCUP!BD64</f>
        <v>Bélgica</v>
      </c>
      <c r="E180" s="11" t="str">
        <f ca="1">+WORLDCUP!BD67</f>
        <v>Argelia</v>
      </c>
      <c r="F180" s="11" t="str">
        <f ca="1">+WORLDCUP!BD61</f>
        <v>Paraguay</v>
      </c>
      <c r="G180" s="11" t="str">
        <f ca="1">+WORLDCUP!BD58</f>
        <v>República Checa</v>
      </c>
      <c r="H180" s="11" t="str">
        <f ca="1">+WORLDCUP!BD63</f>
        <v>Suecia</v>
      </c>
      <c r="I180" s="11" t="str">
        <f ca="1">+WORLDCUP!BD69</f>
        <v>Croacia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Cabo Verde</v>
      </c>
      <c r="D181" s="11" t="str">
        <f ca="1">+WORLDCUP!BD64</f>
        <v>Bélgica</v>
      </c>
      <c r="E181" s="11" t="str">
        <f ca="1">+WORLDCUP!BD67</f>
        <v>Argelia</v>
      </c>
      <c r="F181" s="11" t="str">
        <f ca="1">+WORLDCUP!BD61</f>
        <v>Paraguay</v>
      </c>
      <c r="G181" s="11" t="str">
        <f ca="1">+WORLDCUP!BD58</f>
        <v>República Checa</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República Checa</v>
      </c>
      <c r="H182" s="11" t="str">
        <f ca="1">+WORLDCUP!BD65</f>
        <v>Cabo Verde</v>
      </c>
      <c r="I182" s="11" t="str">
        <f ca="1">+WORLDCUP!BD69</f>
        <v>Croacia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República Checa</v>
      </c>
      <c r="H183" s="11" t="str">
        <f ca="1">+WORLDCUP!BD64</f>
        <v>Bélgica</v>
      </c>
      <c r="I183" s="11" t="str">
        <f ca="1">+WORLDCUP!BD69</f>
        <v>Croacia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Argelia</v>
      </c>
      <c r="F184" s="11" t="str">
        <f ca="1">+WORLDCUP!BD61</f>
        <v>Paraguay</v>
      </c>
      <c r="G184" s="11" t="str">
        <f ca="1">+WORLDCUP!BD58</f>
        <v>República Checa</v>
      </c>
      <c r="H184" s="11" t="str">
        <f ca="1">+WORLDCUP!BD65</f>
        <v>Cabo Verde</v>
      </c>
      <c r="I184" s="11" t="str">
        <f ca="1">+WORLDCUP!BD69</f>
        <v>Croacia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Paraguay</v>
      </c>
      <c r="G185" s="11" t="str">
        <f ca="1">+WORLDCUP!BD58</f>
        <v>República Checa</v>
      </c>
      <c r="H185" s="11" t="str">
        <f ca="1">+WORLDCUP!BD65</f>
        <v>Cabo Verde</v>
      </c>
      <c r="I185" s="11" t="str">
        <f ca="1">+WORLDCUP!BD69</f>
        <v>Croacia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Argelia</v>
      </c>
      <c r="F186" s="11" t="str">
        <f ca="1">+WORLDCUP!BD61</f>
        <v>Paraguay</v>
      </c>
      <c r="G186" s="11" t="str">
        <f ca="1">+WORLDCUP!BD58</f>
        <v>República Checa</v>
      </c>
      <c r="H186" s="11" t="str">
        <f ca="1">+WORLDCUP!BD65</f>
        <v>Cabo Verde</v>
      </c>
      <c r="I186" s="11" t="str">
        <f ca="1">+WORLDCUP!BD69</f>
        <v>Croacia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Argelia</v>
      </c>
      <c r="F187" s="11" t="str">
        <f ca="1">+WORLDCUP!BD61</f>
        <v>Paraguay</v>
      </c>
      <c r="G187" s="11" t="str">
        <f ca="1">+WORLDCUP!BD58</f>
        <v>República Checa</v>
      </c>
      <c r="H187" s="11" t="str">
        <f ca="1">+WORLDCUP!BD65</f>
        <v>Cabo Verde</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República Checa</v>
      </c>
      <c r="H188" s="11" t="str">
        <f ca="1">+WORLDCUP!BD63</f>
        <v>Suecia</v>
      </c>
      <c r="I188" s="11" t="str">
        <f ca="1">+WORLDCUP!BD69</f>
        <v>Croacia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Cabo Verde</v>
      </c>
      <c r="D189" s="11" t="str">
        <f ca="1">+WORLDCUP!BD67</f>
        <v>Argelia</v>
      </c>
      <c r="E189" s="11" t="str">
        <f ca="1">+WORLDCUP!BD62</f>
        <v>Ecuador</v>
      </c>
      <c r="F189" s="11" t="str">
        <f ca="1">+WORLDCUP!BD61</f>
        <v>Paraguay</v>
      </c>
      <c r="G189" s="11" t="str">
        <f ca="1">+WORLDCUP!BD58</f>
        <v>República Checa</v>
      </c>
      <c r="H189" s="11" t="str">
        <f ca="1">+WORLDCUP!BD63</f>
        <v>Suecia</v>
      </c>
      <c r="I189" s="11" t="str">
        <f ca="1">+WORLDCUP!BD69</f>
        <v>Croacia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Cabo Verde</v>
      </c>
      <c r="D190" s="11" t="str">
        <f ca="1">+WORLDCUP!BD62</f>
        <v>Ecuador</v>
      </c>
      <c r="E190" s="11" t="str">
        <f ca="1">+WORLDCUP!BD66</f>
        <v>Senegal</v>
      </c>
      <c r="F190" s="11" t="str">
        <f ca="1">+WORLDCUP!BD61</f>
        <v>Paraguay</v>
      </c>
      <c r="G190" s="11" t="str">
        <f ca="1">+WORLDCUP!BD58</f>
        <v>República Checa</v>
      </c>
      <c r="H190" s="11" t="str">
        <f ca="1">+WORLDCUP!BD63</f>
        <v>Suecia</v>
      </c>
      <c r="I190" s="11" t="str">
        <f ca="1">+WORLDCUP!BD69</f>
        <v>Croacia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Cabo Verde</v>
      </c>
      <c r="D191" s="11" t="str">
        <f ca="1">+WORLDCUP!BD67</f>
        <v>Argelia</v>
      </c>
      <c r="E191" s="11" t="str">
        <f ca="1">+WORLDCUP!BD62</f>
        <v>Ecuador</v>
      </c>
      <c r="F191" s="11" t="str">
        <f ca="1">+WORLDCUP!BD61</f>
        <v>Paraguay</v>
      </c>
      <c r="G191" s="11" t="str">
        <f ca="1">+WORLDCUP!BD58</f>
        <v>República Checa</v>
      </c>
      <c r="H191" s="11" t="str">
        <f ca="1">+WORLDCUP!BD63</f>
        <v>Suecia</v>
      </c>
      <c r="I191" s="11" t="str">
        <f ca="1">+WORLDCUP!BD69</f>
        <v>Croacia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Cabo Verde</v>
      </c>
      <c r="D192" s="11" t="str">
        <f ca="1">+WORLDCUP!BD67</f>
        <v>Argelia</v>
      </c>
      <c r="E192" s="11" t="str">
        <f ca="1">+WORLDCUP!BD62</f>
        <v>Ecuador</v>
      </c>
      <c r="F192" s="11" t="str">
        <f ca="1">+WORLDCUP!BD61</f>
        <v>Paraguay</v>
      </c>
      <c r="G192" s="11" t="str">
        <f ca="1">+WORLDCUP!BD58</f>
        <v>República Checa</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Argelia</v>
      </c>
      <c r="F193" s="11" t="str">
        <f ca="1">+WORLDCUP!BD61</f>
        <v>Paraguay</v>
      </c>
      <c r="G193" s="11" t="str">
        <f ca="1">+WORLDCUP!BD58</f>
        <v>República Checa</v>
      </c>
      <c r="H193" s="11" t="str">
        <f ca="1">+WORLDCUP!BD63</f>
        <v>Suecia</v>
      </c>
      <c r="I193" s="11" t="str">
        <f ca="1">+WORLDCUP!BD69</f>
        <v>Croacia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Paraguay</v>
      </c>
      <c r="G194" s="11" t="str">
        <f ca="1">+WORLDCUP!BD58</f>
        <v>República Checa</v>
      </c>
      <c r="H194" s="11" t="str">
        <f ca="1">+WORLDCUP!BD63</f>
        <v>Suecia</v>
      </c>
      <c r="I194" s="11" t="str">
        <f ca="1">+WORLDCUP!BD69</f>
        <v>Croacia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Argelia</v>
      </c>
      <c r="F195" s="11" t="str">
        <f ca="1">+WORLDCUP!BD61</f>
        <v>Paraguay</v>
      </c>
      <c r="G195" s="11" t="str">
        <f ca="1">+WORLDCUP!BD58</f>
        <v>República Checa</v>
      </c>
      <c r="H195" s="11" t="str">
        <f ca="1">+WORLDCUP!BD63</f>
        <v>Suecia</v>
      </c>
      <c r="I195" s="11" t="str">
        <f ca="1">+WORLDCUP!BD69</f>
        <v>Croacia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Argelia</v>
      </c>
      <c r="F196" s="11" t="str">
        <f ca="1">+WORLDCUP!BD61</f>
        <v>Paraguay</v>
      </c>
      <c r="G196" s="11" t="str">
        <f ca="1">+WORLDCUP!BD58</f>
        <v>República Checa</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Cabo Verde</v>
      </c>
      <c r="D197" s="11" t="str">
        <f ca="1">+WORLDCUP!BD64</f>
        <v>Bélgica</v>
      </c>
      <c r="E197" s="11" t="str">
        <f ca="1">+WORLDCUP!BD62</f>
        <v>Ecuador</v>
      </c>
      <c r="F197" s="11" t="str">
        <f ca="1">+WORLDCUP!BD61</f>
        <v>Paraguay</v>
      </c>
      <c r="G197" s="11" t="str">
        <f ca="1">+WORLDCUP!BD58</f>
        <v>República Checa</v>
      </c>
      <c r="H197" s="11" t="str">
        <f ca="1">+WORLDCUP!BD63</f>
        <v>Suecia</v>
      </c>
      <c r="I197" s="11" t="str">
        <f ca="1">+WORLDCUP!BD69</f>
        <v>Croacia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Cabo Verde</v>
      </c>
      <c r="D198" s="11" t="str">
        <f ca="1">+WORLDCUP!BD64</f>
        <v>Bélgica</v>
      </c>
      <c r="E198" s="11" t="str">
        <f ca="1">+WORLDCUP!BD67</f>
        <v>Argelia</v>
      </c>
      <c r="F198" s="11" t="str">
        <f ca="1">+WORLDCUP!BD61</f>
        <v>Paraguay</v>
      </c>
      <c r="G198" s="11" t="str">
        <f ca="1">+WORLDCUP!BD58</f>
        <v>República Checa</v>
      </c>
      <c r="H198" s="11" t="str">
        <f ca="1">+WORLDCUP!BD63</f>
        <v>Suecia</v>
      </c>
      <c r="I198" s="11" t="str">
        <f ca="1">+WORLDCUP!BD69</f>
        <v>Croacia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Cabo Verde</v>
      </c>
      <c r="D199" s="11" t="str">
        <f ca="1">+WORLDCUP!BD64</f>
        <v>Bélgica</v>
      </c>
      <c r="E199" s="11" t="str">
        <f ca="1">+WORLDCUP!BD67</f>
        <v>Argelia</v>
      </c>
      <c r="F199" s="11" t="str">
        <f ca="1">+WORLDCUP!BD61</f>
        <v>Paraguay</v>
      </c>
      <c r="G199" s="11" t="str">
        <f ca="1">+WORLDCUP!BD58</f>
        <v>República Checa</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Cabo Verde</v>
      </c>
      <c r="D200" s="11" t="str">
        <f ca="1">+WORLDCUP!BD64</f>
        <v>Bélgica</v>
      </c>
      <c r="E200" s="11" t="str">
        <f ca="1">+WORLDCUP!BD62</f>
        <v>Ecuador</v>
      </c>
      <c r="F200" s="11" t="str">
        <f ca="1">+WORLDCUP!BD61</f>
        <v>Paraguay</v>
      </c>
      <c r="G200" s="11" t="str">
        <f ca="1">+WORLDCUP!BD58</f>
        <v>República Checa</v>
      </c>
      <c r="H200" s="11" t="str">
        <f ca="1">+WORLDCUP!BD63</f>
        <v>Suecia</v>
      </c>
      <c r="I200" s="11" t="str">
        <f ca="1">+WORLDCUP!BD69</f>
        <v>Croacia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Cabo Verde</v>
      </c>
      <c r="D201" s="11" t="str">
        <f ca="1">+WORLDCUP!BD64</f>
        <v>Bélgica</v>
      </c>
      <c r="E201" s="11" t="str">
        <f ca="1">+WORLDCUP!BD62</f>
        <v>Ecuador</v>
      </c>
      <c r="F201" s="11" t="str">
        <f ca="1">+WORLDCUP!BD61</f>
        <v>Paraguay</v>
      </c>
      <c r="G201" s="11" t="str">
        <f ca="1">+WORLDCUP!BD58</f>
        <v>República Checa</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Cabo Verde</v>
      </c>
      <c r="D202" s="11" t="str">
        <f ca="1">+WORLDCUP!BD64</f>
        <v>Bélgica</v>
      </c>
      <c r="E202" s="11" t="str">
        <f ca="1">+WORLDCUP!BD67</f>
        <v>Argelia</v>
      </c>
      <c r="F202" s="11" t="str">
        <f ca="1">+WORLDCUP!BD61</f>
        <v>Paraguay</v>
      </c>
      <c r="G202" s="11" t="str">
        <f ca="1">+WORLDCUP!BD58</f>
        <v>República Checa</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Cabo Verde</v>
      </c>
      <c r="D203" s="11" t="str">
        <f ca="1">+WORLDCUP!BD67</f>
        <v>Argelia</v>
      </c>
      <c r="E203" s="11" t="str">
        <f ca="1">+WORLDCUP!BD66</f>
        <v>Senegal</v>
      </c>
      <c r="F203" s="11" t="str">
        <f ca="1">+WORLDCUP!BD60</f>
        <v>Escocia</v>
      </c>
      <c r="G203" s="11" t="str">
        <f ca="1">+WORLDCUP!BD58</f>
        <v>República Checa</v>
      </c>
      <c r="H203" s="11" t="str">
        <f ca="1">+WORLDCUP!BD64</f>
        <v>Bélgica</v>
      </c>
      <c r="I203" s="11" t="str">
        <f ca="1">+WORLDCUP!BD69</f>
        <v>Croacia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Cabo Verde</v>
      </c>
      <c r="D204" s="11" t="str">
        <f ca="1">+WORLDCUP!BD67</f>
        <v>Argelia</v>
      </c>
      <c r="E204" s="11" t="str">
        <f ca="1">+WORLDCUP!BD66</f>
        <v>Senegal</v>
      </c>
      <c r="F204" s="11" t="str">
        <f ca="1">+WORLDCUP!BD60</f>
        <v>Escocia</v>
      </c>
      <c r="G204" s="11" t="str">
        <f ca="1">+WORLDCUP!BD58</f>
        <v>República Checa</v>
      </c>
      <c r="H204" s="11" t="str">
        <f ca="1">+WORLDCUP!BD63</f>
        <v>Suecia</v>
      </c>
      <c r="I204" s="11" t="str">
        <f ca="1">+WORLDCUP!BD69</f>
        <v>Croacia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Argelia</v>
      </c>
      <c r="F205" s="11" t="str">
        <f ca="1">+WORLDCUP!BD60</f>
        <v>Escocia</v>
      </c>
      <c r="G205" s="11" t="str">
        <f ca="1">+WORLDCUP!BD58</f>
        <v>República Checa</v>
      </c>
      <c r="H205" s="11" t="str">
        <f ca="1">+WORLDCUP!BD63</f>
        <v>Suecia</v>
      </c>
      <c r="I205" s="11" t="str">
        <f ca="1">+WORLDCUP!BD69</f>
        <v>Croacia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Cabo Verde</v>
      </c>
      <c r="D206" s="11" t="str">
        <f ca="1">+WORLDCUP!BD64</f>
        <v>Bélgica</v>
      </c>
      <c r="E206" s="11" t="str">
        <f ca="1">+WORLDCUP!BD67</f>
        <v>Argelia</v>
      </c>
      <c r="F206" s="11" t="str">
        <f ca="1">+WORLDCUP!BD60</f>
        <v>Escocia</v>
      </c>
      <c r="G206" s="11" t="str">
        <f ca="1">+WORLDCUP!BD58</f>
        <v>República Checa</v>
      </c>
      <c r="H206" s="11" t="str">
        <f ca="1">+WORLDCUP!BD63</f>
        <v>Suecia</v>
      </c>
      <c r="I206" s="11" t="str">
        <f ca="1">+WORLDCUP!BD69</f>
        <v>Croacia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Cabo Verde</v>
      </c>
      <c r="D207" s="11" t="str">
        <f ca="1">+WORLDCUP!BD64</f>
        <v>Bélgica</v>
      </c>
      <c r="E207" s="11" t="str">
        <f ca="1">+WORLDCUP!BD66</f>
        <v>Senegal</v>
      </c>
      <c r="F207" s="11" t="str">
        <f ca="1">+WORLDCUP!BD60</f>
        <v>Escocia</v>
      </c>
      <c r="G207" s="11" t="str">
        <f ca="1">+WORLDCUP!BD58</f>
        <v>República Checa</v>
      </c>
      <c r="H207" s="11" t="str">
        <f ca="1">+WORLDCUP!BD63</f>
        <v>Suecia</v>
      </c>
      <c r="I207" s="11" t="str">
        <f ca="1">+WORLDCUP!BD69</f>
        <v>Croacia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Cabo Verde</v>
      </c>
      <c r="D208" s="11" t="str">
        <f ca="1">+WORLDCUP!BD64</f>
        <v>Bélgica</v>
      </c>
      <c r="E208" s="11" t="str">
        <f ca="1">+WORLDCUP!BD67</f>
        <v>Argelia</v>
      </c>
      <c r="F208" s="11" t="str">
        <f ca="1">+WORLDCUP!BD60</f>
        <v>Escocia</v>
      </c>
      <c r="G208" s="11" t="str">
        <f ca="1">+WORLDCUP!BD58</f>
        <v>República Checa</v>
      </c>
      <c r="H208" s="11" t="str">
        <f ca="1">+WORLDCUP!BD63</f>
        <v>Suecia</v>
      </c>
      <c r="I208" s="11" t="str">
        <f ca="1">+WORLDCUP!BD69</f>
        <v>Croacia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Cabo Verde</v>
      </c>
      <c r="D209" s="11" t="str">
        <f ca="1">+WORLDCUP!BD64</f>
        <v>Bélgica</v>
      </c>
      <c r="E209" s="11" t="str">
        <f ca="1">+WORLDCUP!BD67</f>
        <v>Argelia</v>
      </c>
      <c r="F209" s="11" t="str">
        <f ca="1">+WORLDCUP!BD60</f>
        <v>Escocia</v>
      </c>
      <c r="G209" s="11" t="str">
        <f ca="1">+WORLDCUP!BD58</f>
        <v>República Checa</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República Checa</v>
      </c>
      <c r="H210" s="11" t="str">
        <f ca="1">+WORLDCUP!BD65</f>
        <v>Cabo Verde</v>
      </c>
      <c r="I210" s="11" t="str">
        <f ca="1">+WORLDCUP!BD69</f>
        <v>Croacia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República Checa</v>
      </c>
      <c r="H211" s="11" t="str">
        <f ca="1">+WORLDCUP!BD64</f>
        <v>Bélgica</v>
      </c>
      <c r="I211" s="11" t="str">
        <f ca="1">+WORLDCUP!BD69</f>
        <v>Croacia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Argelia</v>
      </c>
      <c r="F212" s="11" t="str">
        <f ca="1">+WORLDCUP!BD60</f>
        <v>Escocia</v>
      </c>
      <c r="G212" s="11" t="str">
        <f ca="1">+WORLDCUP!BD58</f>
        <v>República Checa</v>
      </c>
      <c r="H212" s="11" t="str">
        <f ca="1">+WORLDCUP!BD65</f>
        <v>Cabo Verde</v>
      </c>
      <c r="I212" s="11" t="str">
        <f ca="1">+WORLDCUP!BD69</f>
        <v>Croacia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Escocia</v>
      </c>
      <c r="G213" s="11" t="str">
        <f ca="1">+WORLDCUP!BD58</f>
        <v>República Checa</v>
      </c>
      <c r="H213" s="11" t="str">
        <f ca="1">+WORLDCUP!BD65</f>
        <v>Cabo Verde</v>
      </c>
      <c r="I213" s="11" t="str">
        <f ca="1">+WORLDCUP!BD69</f>
        <v>Croacia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Argelia</v>
      </c>
      <c r="F214" s="11" t="str">
        <f ca="1">+WORLDCUP!BD60</f>
        <v>Escocia</v>
      </c>
      <c r="G214" s="11" t="str">
        <f ca="1">+WORLDCUP!BD58</f>
        <v>República Checa</v>
      </c>
      <c r="H214" s="11" t="str">
        <f ca="1">+WORLDCUP!BD65</f>
        <v>Cabo Verde</v>
      </c>
      <c r="I214" s="11" t="str">
        <f ca="1">+WORLDCUP!BD69</f>
        <v>Croacia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Argelia</v>
      </c>
      <c r="F215" s="11" t="str">
        <f ca="1">+WORLDCUP!BD60</f>
        <v>Escocia</v>
      </c>
      <c r="G215" s="11" t="str">
        <f ca="1">+WORLDCUP!BD58</f>
        <v>República Checa</v>
      </c>
      <c r="H215" s="11" t="str">
        <f ca="1">+WORLDCUP!BD65</f>
        <v>Cabo Verde</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República Checa</v>
      </c>
      <c r="H216" s="11" t="str">
        <f ca="1">+WORLDCUP!BD63</f>
        <v>Suecia</v>
      </c>
      <c r="I216" s="11" t="str">
        <f ca="1">+WORLDCUP!BD69</f>
        <v>Croacia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Cabo Verde</v>
      </c>
      <c r="D217" s="11" t="str">
        <f ca="1">+WORLDCUP!BD67</f>
        <v>Argelia</v>
      </c>
      <c r="E217" s="11" t="str">
        <f ca="1">+WORLDCUP!BD62</f>
        <v>Ecuador</v>
      </c>
      <c r="F217" s="11" t="str">
        <f ca="1">+WORLDCUP!BD60</f>
        <v>Escocia</v>
      </c>
      <c r="G217" s="11" t="str">
        <f ca="1">+WORLDCUP!BD58</f>
        <v>República Checa</v>
      </c>
      <c r="H217" s="11" t="str">
        <f ca="1">+WORLDCUP!BD63</f>
        <v>Suecia</v>
      </c>
      <c r="I217" s="11" t="str">
        <f ca="1">+WORLDCUP!BD69</f>
        <v>Croacia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Cabo Verde</v>
      </c>
      <c r="D218" s="11" t="str">
        <f ca="1">+WORLDCUP!BD62</f>
        <v>Ecuador</v>
      </c>
      <c r="E218" s="11" t="str">
        <f ca="1">+WORLDCUP!BD66</f>
        <v>Senegal</v>
      </c>
      <c r="F218" s="11" t="str">
        <f ca="1">+WORLDCUP!BD60</f>
        <v>Escocia</v>
      </c>
      <c r="G218" s="11" t="str">
        <f ca="1">+WORLDCUP!BD58</f>
        <v>República Checa</v>
      </c>
      <c r="H218" s="11" t="str">
        <f ca="1">+WORLDCUP!BD63</f>
        <v>Suecia</v>
      </c>
      <c r="I218" s="11" t="str">
        <f ca="1">+WORLDCUP!BD69</f>
        <v>Croacia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Cabo Verde</v>
      </c>
      <c r="D219" s="11" t="str">
        <f ca="1">+WORLDCUP!BD67</f>
        <v>Argelia</v>
      </c>
      <c r="E219" s="11" t="str">
        <f ca="1">+WORLDCUP!BD62</f>
        <v>Ecuador</v>
      </c>
      <c r="F219" s="11" t="str">
        <f ca="1">+WORLDCUP!BD60</f>
        <v>Escocia</v>
      </c>
      <c r="G219" s="11" t="str">
        <f ca="1">+WORLDCUP!BD58</f>
        <v>República Checa</v>
      </c>
      <c r="H219" s="11" t="str">
        <f ca="1">+WORLDCUP!BD63</f>
        <v>Suecia</v>
      </c>
      <c r="I219" s="11" t="str">
        <f ca="1">+WORLDCUP!BD69</f>
        <v>Croacia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Cabo Verde</v>
      </c>
      <c r="D220" s="11" t="str">
        <f ca="1">+WORLDCUP!BD67</f>
        <v>Argelia</v>
      </c>
      <c r="E220" s="11" t="str">
        <f ca="1">+WORLDCUP!BD62</f>
        <v>Ecuador</v>
      </c>
      <c r="F220" s="11" t="str">
        <f ca="1">+WORLDCUP!BD60</f>
        <v>Escocia</v>
      </c>
      <c r="G220" s="11" t="str">
        <f ca="1">+WORLDCUP!BD58</f>
        <v>República Checa</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Argelia</v>
      </c>
      <c r="F221" s="11" t="str">
        <f ca="1">+WORLDCUP!BD60</f>
        <v>Escocia</v>
      </c>
      <c r="G221" s="11" t="str">
        <f ca="1">+WORLDCUP!BD58</f>
        <v>República Checa</v>
      </c>
      <c r="H221" s="11" t="str">
        <f ca="1">+WORLDCUP!BD63</f>
        <v>Suecia</v>
      </c>
      <c r="I221" s="11" t="str">
        <f ca="1">+WORLDCUP!BD69</f>
        <v>Croacia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Escocia</v>
      </c>
      <c r="G222" s="11" t="str">
        <f ca="1">+WORLDCUP!BD58</f>
        <v>República Checa</v>
      </c>
      <c r="H222" s="11" t="str">
        <f ca="1">+WORLDCUP!BD63</f>
        <v>Suecia</v>
      </c>
      <c r="I222" s="11" t="str">
        <f ca="1">+WORLDCUP!BD69</f>
        <v>Croacia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Argelia</v>
      </c>
      <c r="F223" s="11" t="str">
        <f ca="1">+WORLDCUP!BD60</f>
        <v>Escocia</v>
      </c>
      <c r="G223" s="11" t="str">
        <f ca="1">+WORLDCUP!BD58</f>
        <v>República Checa</v>
      </c>
      <c r="H223" s="11" t="str">
        <f ca="1">+WORLDCUP!BD63</f>
        <v>Suecia</v>
      </c>
      <c r="I223" s="11" t="str">
        <f ca="1">+WORLDCUP!BD69</f>
        <v>Croacia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Argelia</v>
      </c>
      <c r="F224" s="11" t="str">
        <f ca="1">+WORLDCUP!BD60</f>
        <v>Escocia</v>
      </c>
      <c r="G224" s="11" t="str">
        <f ca="1">+WORLDCUP!BD58</f>
        <v>República Checa</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Cabo Verde</v>
      </c>
      <c r="D225" s="11" t="str">
        <f ca="1">+WORLDCUP!BD64</f>
        <v>Bélgica</v>
      </c>
      <c r="E225" s="11" t="str">
        <f ca="1">+WORLDCUP!BD62</f>
        <v>Ecuador</v>
      </c>
      <c r="F225" s="11" t="str">
        <f ca="1">+WORLDCUP!BD60</f>
        <v>Escocia</v>
      </c>
      <c r="G225" s="11" t="str">
        <f ca="1">+WORLDCUP!BD58</f>
        <v>República Checa</v>
      </c>
      <c r="H225" s="11" t="str">
        <f ca="1">+WORLDCUP!BD63</f>
        <v>Suecia</v>
      </c>
      <c r="I225" s="11" t="str">
        <f ca="1">+WORLDCUP!BD69</f>
        <v>Croacia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Cabo Verde</v>
      </c>
      <c r="D226" s="11" t="str">
        <f ca="1">+WORLDCUP!BD64</f>
        <v>Bélgica</v>
      </c>
      <c r="E226" s="11" t="str">
        <f ca="1">+WORLDCUP!BD67</f>
        <v>Argelia</v>
      </c>
      <c r="F226" s="11" t="str">
        <f ca="1">+WORLDCUP!BD60</f>
        <v>Escocia</v>
      </c>
      <c r="G226" s="11" t="str">
        <f ca="1">+WORLDCUP!BD58</f>
        <v>República Checa</v>
      </c>
      <c r="H226" s="11" t="str">
        <f ca="1">+WORLDCUP!BD63</f>
        <v>Suecia</v>
      </c>
      <c r="I226" s="11" t="str">
        <f ca="1">+WORLDCUP!BD69</f>
        <v>Croacia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Cabo Verde</v>
      </c>
      <c r="D227" s="11" t="str">
        <f ca="1">+WORLDCUP!BD64</f>
        <v>Bélgica</v>
      </c>
      <c r="E227" s="11" t="str">
        <f ca="1">+WORLDCUP!BD67</f>
        <v>Argelia</v>
      </c>
      <c r="F227" s="11" t="str">
        <f ca="1">+WORLDCUP!BD60</f>
        <v>Escocia</v>
      </c>
      <c r="G227" s="11" t="str">
        <f ca="1">+WORLDCUP!BD58</f>
        <v>República Checa</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Cabo Verde</v>
      </c>
      <c r="D228" s="11" t="str">
        <f ca="1">+WORLDCUP!BD64</f>
        <v>Bélgica</v>
      </c>
      <c r="E228" s="11" t="str">
        <f ca="1">+WORLDCUP!BD62</f>
        <v>Ecuador</v>
      </c>
      <c r="F228" s="11" t="str">
        <f ca="1">+WORLDCUP!BD60</f>
        <v>Escocia</v>
      </c>
      <c r="G228" s="11" t="str">
        <f ca="1">+WORLDCUP!BD58</f>
        <v>República Checa</v>
      </c>
      <c r="H228" s="11" t="str">
        <f ca="1">+WORLDCUP!BD63</f>
        <v>Suecia</v>
      </c>
      <c r="I228" s="11" t="str">
        <f ca="1">+WORLDCUP!BD69</f>
        <v>Croacia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Cabo Verde</v>
      </c>
      <c r="D229" s="11" t="str">
        <f ca="1">+WORLDCUP!BD64</f>
        <v>Bélgica</v>
      </c>
      <c r="E229" s="11" t="str">
        <f ca="1">+WORLDCUP!BD62</f>
        <v>Ecuador</v>
      </c>
      <c r="F229" s="11" t="str">
        <f ca="1">+WORLDCUP!BD60</f>
        <v>Escocia</v>
      </c>
      <c r="G229" s="11" t="str">
        <f ca="1">+WORLDCUP!BD58</f>
        <v>República Checa</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Cabo Verde</v>
      </c>
      <c r="D230" s="11" t="str">
        <f ca="1">+WORLDCUP!BD64</f>
        <v>Bélgica</v>
      </c>
      <c r="E230" s="11" t="str">
        <f ca="1">+WORLDCUP!BD67</f>
        <v>Argelia</v>
      </c>
      <c r="F230" s="11" t="str">
        <f ca="1">+WORLDCUP!BD60</f>
        <v>Escocia</v>
      </c>
      <c r="G230" s="11" t="str">
        <f ca="1">+WORLDCUP!BD58</f>
        <v>República Checa</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Cabo Verde</v>
      </c>
      <c r="D231" s="11" t="str">
        <f ca="1">+WORLDCUP!BD67</f>
        <v>Argelia</v>
      </c>
      <c r="E231" s="11" t="str">
        <f ca="1">+WORLDCUP!BD66</f>
        <v>Senegal</v>
      </c>
      <c r="F231" s="11" t="str">
        <f ca="1">+WORLDCUP!BD60</f>
        <v>Escocia</v>
      </c>
      <c r="G231" s="11" t="str">
        <f ca="1">+WORLDCUP!BD58</f>
        <v>República Checa</v>
      </c>
      <c r="H231" s="11" t="str">
        <f ca="1">+WORLDCUP!BD61</f>
        <v>Paraguay</v>
      </c>
      <c r="I231" s="11" t="str">
        <f ca="1">+WORLDCUP!BD69</f>
        <v>Croacia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Argelia</v>
      </c>
      <c r="F232" s="11" t="str">
        <f ca="1">+WORLDCUP!BD60</f>
        <v>Escocia</v>
      </c>
      <c r="G232" s="11" t="str">
        <f ca="1">+WORLDCUP!BD58</f>
        <v>República Checa</v>
      </c>
      <c r="H232" s="11" t="str">
        <f ca="1">+WORLDCUP!BD61</f>
        <v>Paraguay</v>
      </c>
      <c r="I232" s="11" t="str">
        <f ca="1">+WORLDCUP!BD69</f>
        <v>Croacia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Cabo Verde</v>
      </c>
      <c r="D233" s="11" t="str">
        <f ca="1">+WORLDCUP!BD64</f>
        <v>Bélgica</v>
      </c>
      <c r="E233" s="11" t="str">
        <f ca="1">+WORLDCUP!BD67</f>
        <v>Argelia</v>
      </c>
      <c r="F233" s="11" t="str">
        <f ca="1">+WORLDCUP!BD60</f>
        <v>Escocia</v>
      </c>
      <c r="G233" s="11" t="str">
        <f ca="1">+WORLDCUP!BD58</f>
        <v>República Checa</v>
      </c>
      <c r="H233" s="11" t="str">
        <f ca="1">+WORLDCUP!BD61</f>
        <v>Paraguay</v>
      </c>
      <c r="I233" s="11" t="str">
        <f ca="1">+WORLDCUP!BD69</f>
        <v>Croacia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Cabo Verde</v>
      </c>
      <c r="D234" s="11" t="str">
        <f ca="1">+WORLDCUP!BD64</f>
        <v>Bélgica</v>
      </c>
      <c r="E234" s="11" t="str">
        <f ca="1">+WORLDCUP!BD66</f>
        <v>Senegal</v>
      </c>
      <c r="F234" s="11" t="str">
        <f ca="1">+WORLDCUP!BD60</f>
        <v>Escocia</v>
      </c>
      <c r="G234" s="11" t="str">
        <f ca="1">+WORLDCUP!BD58</f>
        <v>República Checa</v>
      </c>
      <c r="H234" s="11" t="str">
        <f ca="1">+WORLDCUP!BD61</f>
        <v>Paraguay</v>
      </c>
      <c r="I234" s="11" t="str">
        <f ca="1">+WORLDCUP!BD69</f>
        <v>Croacia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Cabo Verde</v>
      </c>
      <c r="D235" s="11" t="str">
        <f ca="1">+WORLDCUP!BD64</f>
        <v>Bélgica</v>
      </c>
      <c r="E235" s="11" t="str">
        <f ca="1">+WORLDCUP!BD67</f>
        <v>Argelia</v>
      </c>
      <c r="F235" s="11" t="str">
        <f ca="1">+WORLDCUP!BD60</f>
        <v>Escocia</v>
      </c>
      <c r="G235" s="11" t="str">
        <f ca="1">+WORLDCUP!BD58</f>
        <v>República Checa</v>
      </c>
      <c r="H235" s="11" t="str">
        <f ca="1">+WORLDCUP!BD61</f>
        <v>Paraguay</v>
      </c>
      <c r="I235" s="11" t="str">
        <f ca="1">+WORLDCUP!BD69</f>
        <v>Croacia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Cabo Verde</v>
      </c>
      <c r="D236" s="11" t="str">
        <f ca="1">+WORLDCUP!BD64</f>
        <v>Bélgica</v>
      </c>
      <c r="E236" s="11" t="str">
        <f ca="1">+WORLDCUP!BD67</f>
        <v>Argelia</v>
      </c>
      <c r="F236" s="11" t="str">
        <f ca="1">+WORLDCUP!BD60</f>
        <v>Escocia</v>
      </c>
      <c r="G236" s="11" t="str">
        <f ca="1">+WORLDCUP!BD58</f>
        <v>República Checa</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República Checa</v>
      </c>
      <c r="H237" s="11" t="str">
        <f ca="1">+WORLDCUP!BD63</f>
        <v>Suecia</v>
      </c>
      <c r="I237" s="11" t="str">
        <f ca="1">+WORLDCUP!BD69</f>
        <v>Croacia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Cabo Verde</v>
      </c>
      <c r="D238" s="11" t="str">
        <f ca="1">+WORLDCUP!BD67</f>
        <v>Argelia</v>
      </c>
      <c r="E238" s="11" t="str">
        <f ca="1">+WORLDCUP!BD63</f>
        <v>Suecia</v>
      </c>
      <c r="F238" s="11" t="str">
        <f ca="1">+WORLDCUP!BD60</f>
        <v>Escocia</v>
      </c>
      <c r="G238" s="11" t="str">
        <f ca="1">+WORLDCUP!BD58</f>
        <v>República Checa</v>
      </c>
      <c r="H238" s="11" t="str">
        <f ca="1">+WORLDCUP!BD61</f>
        <v>Paraguay</v>
      </c>
      <c r="I238" s="11" t="str">
        <f ca="1">+WORLDCUP!BD69</f>
        <v>Croacia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Cabo Verde</v>
      </c>
      <c r="D239" s="11" t="str">
        <f ca="1">+WORLDCUP!BD63</f>
        <v>Suecia</v>
      </c>
      <c r="E239" s="11" t="str">
        <f ca="1">+WORLDCUP!BD66</f>
        <v>Senegal</v>
      </c>
      <c r="F239" s="11" t="str">
        <f ca="1">+WORLDCUP!BD60</f>
        <v>Escocia</v>
      </c>
      <c r="G239" s="11" t="str">
        <f ca="1">+WORLDCUP!BD58</f>
        <v>República Checa</v>
      </c>
      <c r="H239" s="11" t="str">
        <f ca="1">+WORLDCUP!BD61</f>
        <v>Paraguay</v>
      </c>
      <c r="I239" s="11" t="str">
        <f ca="1">+WORLDCUP!BD69</f>
        <v>Croacia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Cabo Verde</v>
      </c>
      <c r="D240" s="11" t="str">
        <f ca="1">+WORLDCUP!BD67</f>
        <v>Argelia</v>
      </c>
      <c r="E240" s="11" t="str">
        <f ca="1">+WORLDCUP!BD63</f>
        <v>Suecia</v>
      </c>
      <c r="F240" s="11" t="str">
        <f ca="1">+WORLDCUP!BD60</f>
        <v>Escocia</v>
      </c>
      <c r="G240" s="11" t="str">
        <f ca="1">+WORLDCUP!BD58</f>
        <v>República Checa</v>
      </c>
      <c r="H240" s="11" t="str">
        <f ca="1">+WORLDCUP!BD61</f>
        <v>Paraguay</v>
      </c>
      <c r="I240" s="11" t="str">
        <f ca="1">+WORLDCUP!BD69</f>
        <v>Croacia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Cabo Verde</v>
      </c>
      <c r="D241" s="11" t="str">
        <f ca="1">+WORLDCUP!BD67</f>
        <v>Argelia</v>
      </c>
      <c r="E241" s="11" t="str">
        <f ca="1">+WORLDCUP!BD63</f>
        <v>Suecia</v>
      </c>
      <c r="F241" s="11" t="str">
        <f ca="1">+WORLDCUP!BD60</f>
        <v>Escocia</v>
      </c>
      <c r="G241" s="11" t="str">
        <f ca="1">+WORLDCUP!BD58</f>
        <v>República Checa</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Bélgica</v>
      </c>
      <c r="E242" s="11" t="str">
        <f ca="1">+WORLDCUP!BD67</f>
        <v>Argelia</v>
      </c>
      <c r="F242" s="11" t="str">
        <f ca="1">+WORLDCUP!BD61</f>
        <v>Paraguay</v>
      </c>
      <c r="G242" s="11" t="str">
        <f ca="1">+WORLDCUP!BD58</f>
        <v>República Checa</v>
      </c>
      <c r="H242" s="11" t="str">
        <f ca="1">+WORLDCUP!BD63</f>
        <v>Suecia</v>
      </c>
      <c r="I242" s="11" t="str">
        <f ca="1">+WORLDCUP!BD69</f>
        <v>Croacia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Bélgica</v>
      </c>
      <c r="E243" s="11" t="str">
        <f ca="1">+WORLDCUP!BD66</f>
        <v>Senegal</v>
      </c>
      <c r="F243" s="11" t="str">
        <f ca="1">+WORLDCUP!BD61</f>
        <v>Paraguay</v>
      </c>
      <c r="G243" s="11" t="str">
        <f ca="1">+WORLDCUP!BD58</f>
        <v>República Checa</v>
      </c>
      <c r="H243" s="11" t="str">
        <f ca="1">+WORLDCUP!BD63</f>
        <v>Suecia</v>
      </c>
      <c r="I243" s="11" t="str">
        <f ca="1">+WORLDCUP!BD69</f>
        <v>Croacia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Bélgica</v>
      </c>
      <c r="E244" s="11" t="str">
        <f ca="1">+WORLDCUP!BD67</f>
        <v>Argelia</v>
      </c>
      <c r="F244" s="11" t="str">
        <f ca="1">+WORLDCUP!BD61</f>
        <v>Paraguay</v>
      </c>
      <c r="G244" s="11" t="str">
        <f ca="1">+WORLDCUP!BD58</f>
        <v>República Checa</v>
      </c>
      <c r="H244" s="11" t="str">
        <f ca="1">+WORLDCUP!BD63</f>
        <v>Suecia</v>
      </c>
      <c r="I244" s="11" t="str">
        <f ca="1">+WORLDCUP!BD69</f>
        <v>Croacia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Bélgica</v>
      </c>
      <c r="E245" s="11" t="str">
        <f ca="1">+WORLDCUP!BD67</f>
        <v>Argelia</v>
      </c>
      <c r="F245" s="11" t="str">
        <f ca="1">+WORLDCUP!BD61</f>
        <v>Paraguay</v>
      </c>
      <c r="G245" s="11" t="str">
        <f ca="1">+WORLDCUP!BD58</f>
        <v>República Checa</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Cabo Verde</v>
      </c>
      <c r="D246" s="11" t="str">
        <f ca="1">+WORLDCUP!BD64</f>
        <v>Bélgica</v>
      </c>
      <c r="E246" s="11" t="str">
        <f ca="1">+WORLDCUP!BD63</f>
        <v>Suecia</v>
      </c>
      <c r="F246" s="11" t="str">
        <f ca="1">+WORLDCUP!BD60</f>
        <v>Escocia</v>
      </c>
      <c r="G246" s="11" t="str">
        <f ca="1">+WORLDCUP!BD58</f>
        <v>República Checa</v>
      </c>
      <c r="H246" s="11" t="str">
        <f ca="1">+WORLDCUP!BD61</f>
        <v>Paraguay</v>
      </c>
      <c r="I246" s="11" t="str">
        <f ca="1">+WORLDCUP!BD69</f>
        <v>Croacia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1</v>
      </c>
      <c r="C247" s="11" t="str">
        <f ca="1">+WORLDCUP!BD60</f>
        <v>Escocia</v>
      </c>
      <c r="D247" s="11" t="str">
        <f ca="1">+WORLDCUP!BD64</f>
        <v>Bélgica</v>
      </c>
      <c r="E247" s="11" t="str">
        <f ca="1">+WORLDCUP!BD67</f>
        <v>Argelia</v>
      </c>
      <c r="F247" s="11" t="str">
        <f ca="1">+WORLDCUP!BD61</f>
        <v>Paraguay</v>
      </c>
      <c r="G247" s="11" t="str">
        <f ca="1">+WORLDCUP!BD58</f>
        <v>República Checa</v>
      </c>
      <c r="H247" s="11" t="str">
        <f ca="1">+WORLDCUP!BD63</f>
        <v>Suecia</v>
      </c>
      <c r="I247" s="11" t="str">
        <f ca="1">+WORLDCUP!BD69</f>
        <v>Croacia</v>
      </c>
      <c r="J247" s="11" t="str">
        <f ca="1">+WORLDCUP!BD65</f>
        <v>Cabo Verde</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Cabo Verde</v>
      </c>
      <c r="D248" s="11" t="str">
        <f ca="1">+WORLDCUP!BD64</f>
        <v>Bélgica</v>
      </c>
      <c r="E248" s="11" t="str">
        <f ca="1">+WORLDCUP!BD67</f>
        <v>Argelia</v>
      </c>
      <c r="F248" s="11" t="str">
        <f ca="1">+WORLDCUP!BD60</f>
        <v>Escocia</v>
      </c>
      <c r="G248" s="11" t="str">
        <f ca="1">+WORLDCUP!BD58</f>
        <v>República Checa</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Cabo Verde</v>
      </c>
      <c r="D249" s="11" t="str">
        <f ca="1">+WORLDCUP!BD64</f>
        <v>Bélgica</v>
      </c>
      <c r="E249" s="11" t="str">
        <f ca="1">+WORLDCUP!BD63</f>
        <v>Suecia</v>
      </c>
      <c r="F249" s="11" t="str">
        <f ca="1">+WORLDCUP!BD60</f>
        <v>Escocia</v>
      </c>
      <c r="G249" s="11" t="str">
        <f ca="1">+WORLDCUP!BD58</f>
        <v>República Checa</v>
      </c>
      <c r="H249" s="11" t="str">
        <f ca="1">+WORLDCUP!BD61</f>
        <v>Paraguay</v>
      </c>
      <c r="I249" s="11" t="str">
        <f ca="1">+WORLDCUP!BD69</f>
        <v>Croacia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Cabo Verde</v>
      </c>
      <c r="D250" s="11" t="str">
        <f ca="1">+WORLDCUP!BD64</f>
        <v>Bélgica</v>
      </c>
      <c r="E250" s="11" t="str">
        <f ca="1">+WORLDCUP!BD63</f>
        <v>Suecia</v>
      </c>
      <c r="F250" s="11" t="str">
        <f ca="1">+WORLDCUP!BD60</f>
        <v>Escocia</v>
      </c>
      <c r="G250" s="11" t="str">
        <f ca="1">+WORLDCUP!BD58</f>
        <v>República Checa</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Cabo Verde</v>
      </c>
      <c r="D251" s="11" t="str">
        <f ca="1">+WORLDCUP!BD64</f>
        <v>Bélgica</v>
      </c>
      <c r="E251" s="11" t="str">
        <f ca="1">+WORLDCUP!BD67</f>
        <v>Argelia</v>
      </c>
      <c r="F251" s="11" t="str">
        <f ca="1">+WORLDCUP!BD60</f>
        <v>Escocia</v>
      </c>
      <c r="G251" s="11" t="str">
        <f ca="1">+WORLDCUP!BD58</f>
        <v>República Checa</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República Checa</v>
      </c>
      <c r="H252" s="11" t="str">
        <f ca="1">+WORLDCUP!BD61</f>
        <v>Paraguay</v>
      </c>
      <c r="I252" s="11" t="str">
        <f ca="1">+WORLDCUP!BD69</f>
        <v>Croacia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Cabo Verde</v>
      </c>
      <c r="D253" s="11" t="str">
        <f ca="1">+WORLDCUP!BD67</f>
        <v>Argelia</v>
      </c>
      <c r="E253" s="11" t="str">
        <f ca="1">+WORLDCUP!BD62</f>
        <v>Ecuador</v>
      </c>
      <c r="F253" s="11" t="str">
        <f ca="1">+WORLDCUP!BD60</f>
        <v>Escocia</v>
      </c>
      <c r="G253" s="11" t="str">
        <f ca="1">+WORLDCUP!BD58</f>
        <v>República Checa</v>
      </c>
      <c r="H253" s="11" t="str">
        <f ca="1">+WORLDCUP!BD61</f>
        <v>Paraguay</v>
      </c>
      <c r="I253" s="11" t="str">
        <f ca="1">+WORLDCUP!BD69</f>
        <v>Croacia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Cabo Verde</v>
      </c>
      <c r="D254" s="11" t="str">
        <f ca="1">+WORLDCUP!BD62</f>
        <v>Ecuador</v>
      </c>
      <c r="E254" s="11" t="str">
        <f ca="1">+WORLDCUP!BD66</f>
        <v>Senegal</v>
      </c>
      <c r="F254" s="11" t="str">
        <f ca="1">+WORLDCUP!BD60</f>
        <v>Escocia</v>
      </c>
      <c r="G254" s="11" t="str">
        <f ca="1">+WORLDCUP!BD58</f>
        <v>República Checa</v>
      </c>
      <c r="H254" s="11" t="str">
        <f ca="1">+WORLDCUP!BD61</f>
        <v>Paraguay</v>
      </c>
      <c r="I254" s="11" t="str">
        <f ca="1">+WORLDCUP!BD69</f>
        <v>Croacia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Cabo Verde</v>
      </c>
      <c r="D255" s="11" t="str">
        <f ca="1">+WORLDCUP!BD67</f>
        <v>Argelia</v>
      </c>
      <c r="E255" s="11" t="str">
        <f ca="1">+WORLDCUP!BD62</f>
        <v>Ecuador</v>
      </c>
      <c r="F255" s="11" t="str">
        <f ca="1">+WORLDCUP!BD60</f>
        <v>Escocia</v>
      </c>
      <c r="G255" s="11" t="str">
        <f ca="1">+WORLDCUP!BD58</f>
        <v>República Checa</v>
      </c>
      <c r="H255" s="11" t="str">
        <f ca="1">+WORLDCUP!BD61</f>
        <v>Paraguay</v>
      </c>
      <c r="I255" s="11" t="str">
        <f ca="1">+WORLDCUP!BD69</f>
        <v>Croacia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Cabo Verde</v>
      </c>
      <c r="D256" s="11" t="str">
        <f ca="1">+WORLDCUP!BD67</f>
        <v>Argelia</v>
      </c>
      <c r="E256" s="11" t="str">
        <f ca="1">+WORLDCUP!BD62</f>
        <v>Ecuador</v>
      </c>
      <c r="F256" s="11" t="str">
        <f ca="1">+WORLDCUP!BD60</f>
        <v>Escocia</v>
      </c>
      <c r="G256" s="11" t="str">
        <f ca="1">+WORLDCUP!BD58</f>
        <v>República Checa</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Argelia</v>
      </c>
      <c r="F257" s="11" t="str">
        <f ca="1">+WORLDCUP!BD60</f>
        <v>Escocia</v>
      </c>
      <c r="G257" s="11" t="str">
        <f ca="1">+WORLDCUP!BD58</f>
        <v>República Checa</v>
      </c>
      <c r="H257" s="11" t="str">
        <f ca="1">+WORLDCUP!BD61</f>
        <v>Paraguay</v>
      </c>
      <c r="I257" s="11" t="str">
        <f ca="1">+WORLDCUP!BD69</f>
        <v>Croacia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Escocia</v>
      </c>
      <c r="G258" s="11" t="str">
        <f ca="1">+WORLDCUP!BD58</f>
        <v>República Checa</v>
      </c>
      <c r="H258" s="11" t="str">
        <f ca="1">+WORLDCUP!BD61</f>
        <v>Paraguay</v>
      </c>
      <c r="I258" s="11" t="str">
        <f ca="1">+WORLDCUP!BD69</f>
        <v>Croacia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Argelia</v>
      </c>
      <c r="F259" s="11" t="str">
        <f ca="1">+WORLDCUP!BD60</f>
        <v>Escocia</v>
      </c>
      <c r="G259" s="11" t="str">
        <f ca="1">+WORLDCUP!BD58</f>
        <v>República Checa</v>
      </c>
      <c r="H259" s="11" t="str">
        <f ca="1">+WORLDCUP!BD61</f>
        <v>Paraguay</v>
      </c>
      <c r="I259" s="11" t="str">
        <f ca="1">+WORLDCUP!BD69</f>
        <v>Croacia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Argelia</v>
      </c>
      <c r="F260" s="11" t="str">
        <f ca="1">+WORLDCUP!BD60</f>
        <v>Escocia</v>
      </c>
      <c r="G260" s="11" t="str">
        <f ca="1">+WORLDCUP!BD58</f>
        <v>República Checa</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Cabo Verde</v>
      </c>
      <c r="D261" s="11" t="str">
        <f ca="1">+WORLDCUP!BD64</f>
        <v>Bélgica</v>
      </c>
      <c r="E261" s="11" t="str">
        <f ca="1">+WORLDCUP!BD62</f>
        <v>Ecuador</v>
      </c>
      <c r="F261" s="11" t="str">
        <f ca="1">+WORLDCUP!BD60</f>
        <v>Escocia</v>
      </c>
      <c r="G261" s="11" t="str">
        <f ca="1">+WORLDCUP!BD58</f>
        <v>República Checa</v>
      </c>
      <c r="H261" s="11" t="str">
        <f ca="1">+WORLDCUP!BD61</f>
        <v>Paraguay</v>
      </c>
      <c r="I261" s="11" t="str">
        <f ca="1">+WORLDCUP!BD69</f>
        <v>Croacia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Cabo Verde</v>
      </c>
      <c r="D262" s="11" t="str">
        <f ca="1">+WORLDCUP!BD64</f>
        <v>Bélgica</v>
      </c>
      <c r="E262" s="11" t="str">
        <f ca="1">+WORLDCUP!BD67</f>
        <v>Argelia</v>
      </c>
      <c r="F262" s="11" t="str">
        <f ca="1">+WORLDCUP!BD60</f>
        <v>Escocia</v>
      </c>
      <c r="G262" s="11" t="str">
        <f ca="1">+WORLDCUP!BD58</f>
        <v>República Checa</v>
      </c>
      <c r="H262" s="11" t="str">
        <f ca="1">+WORLDCUP!BD61</f>
        <v>Paraguay</v>
      </c>
      <c r="I262" s="11" t="str">
        <f ca="1">+WORLDCUP!BD69</f>
        <v>Croacia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Cabo Verde</v>
      </c>
      <c r="D263" s="11" t="str">
        <f ca="1">+WORLDCUP!BD64</f>
        <v>Bélgica</v>
      </c>
      <c r="E263" s="11" t="str">
        <f ca="1">+WORLDCUP!BD67</f>
        <v>Argelia</v>
      </c>
      <c r="F263" s="11" t="str">
        <f ca="1">+WORLDCUP!BD60</f>
        <v>Escocia</v>
      </c>
      <c r="G263" s="11" t="str">
        <f ca="1">+WORLDCUP!BD58</f>
        <v>República Checa</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Cabo Verde</v>
      </c>
      <c r="D264" s="11" t="str">
        <f ca="1">+WORLDCUP!BD64</f>
        <v>Bélgica</v>
      </c>
      <c r="E264" s="11" t="str">
        <f ca="1">+WORLDCUP!BD62</f>
        <v>Ecuador</v>
      </c>
      <c r="F264" s="11" t="str">
        <f ca="1">+WORLDCUP!BD60</f>
        <v>Escocia</v>
      </c>
      <c r="G264" s="11" t="str">
        <f ca="1">+WORLDCUP!BD58</f>
        <v>República Checa</v>
      </c>
      <c r="H264" s="11" t="str">
        <f ca="1">+WORLDCUP!BD61</f>
        <v>Paraguay</v>
      </c>
      <c r="I264" s="11" t="str">
        <f ca="1">+WORLDCUP!BD69</f>
        <v>Croacia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Cabo Verde</v>
      </c>
      <c r="D265" s="11" t="str">
        <f ca="1">+WORLDCUP!BD64</f>
        <v>Bélgica</v>
      </c>
      <c r="E265" s="11" t="str">
        <f ca="1">+WORLDCUP!BD62</f>
        <v>Ecuador</v>
      </c>
      <c r="F265" s="11" t="str">
        <f ca="1">+WORLDCUP!BD60</f>
        <v>Escocia</v>
      </c>
      <c r="G265" s="11" t="str">
        <f ca="1">+WORLDCUP!BD58</f>
        <v>República Checa</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Cabo Verde</v>
      </c>
      <c r="D266" s="11" t="str">
        <f ca="1">+WORLDCUP!BD64</f>
        <v>Bélgica</v>
      </c>
      <c r="E266" s="11" t="str">
        <f ca="1">+WORLDCUP!BD67</f>
        <v>Argelia</v>
      </c>
      <c r="F266" s="11" t="str">
        <f ca="1">+WORLDCUP!BD60</f>
        <v>Escocia</v>
      </c>
      <c r="G266" s="11" t="str">
        <f ca="1">+WORLDCUP!BD58</f>
        <v>República Checa</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República Checa</v>
      </c>
      <c r="H267" s="11" t="str">
        <f ca="1">+WORLDCUP!BD63</f>
        <v>Suecia</v>
      </c>
      <c r="I267" s="11" t="str">
        <f ca="1">+WORLDCUP!BD69</f>
        <v>Croacia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República Checa</v>
      </c>
      <c r="H268" s="11" t="str">
        <f ca="1">+WORLDCUP!BD63</f>
        <v>Suecia</v>
      </c>
      <c r="I268" s="11" t="str">
        <f ca="1">+WORLDCUP!BD69</f>
        <v>Croacia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República Checa</v>
      </c>
      <c r="H269" s="11" t="str">
        <f ca="1">+WORLDCUP!BD63</f>
        <v>Suecia</v>
      </c>
      <c r="I269" s="11" t="str">
        <f ca="1">+WORLDCUP!BD69</f>
        <v>Croacia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República Checa</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Cabo Verde</v>
      </c>
      <c r="D271" s="11" t="str">
        <f ca="1">+WORLDCUP!BD62</f>
        <v>Ecuador</v>
      </c>
      <c r="E271" s="11" t="str">
        <f ca="1">+WORLDCUP!BD63</f>
        <v>Suecia</v>
      </c>
      <c r="F271" s="11" t="str">
        <f ca="1">+WORLDCUP!BD60</f>
        <v>Escocia</v>
      </c>
      <c r="G271" s="11" t="str">
        <f ca="1">+WORLDCUP!BD58</f>
        <v>República Checa</v>
      </c>
      <c r="H271" s="11" t="str">
        <f ca="1">+WORLDCUP!BD61</f>
        <v>Paraguay</v>
      </c>
      <c r="I271" s="11" t="str">
        <f ca="1">+WORLDCUP!BD69</f>
        <v>Croacia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Cabo Verde</v>
      </c>
      <c r="D272" s="11" t="str">
        <f ca="1">+WORLDCUP!BD67</f>
        <v>Argelia</v>
      </c>
      <c r="E272" s="11" t="str">
        <f ca="1">+WORLDCUP!BD63</f>
        <v>Suecia</v>
      </c>
      <c r="F272" s="11" t="str">
        <f ca="1">+WORLDCUP!BD60</f>
        <v>Escocia</v>
      </c>
      <c r="G272" s="11" t="str">
        <f ca="1">+WORLDCUP!BD58</f>
        <v>República Checa</v>
      </c>
      <c r="H272" s="11" t="str">
        <f ca="1">+WORLDCUP!BD61</f>
        <v>Paraguay</v>
      </c>
      <c r="I272" s="11" t="str">
        <f ca="1">+WORLDCUP!BD69</f>
        <v>Croacia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Cabo Verde</v>
      </c>
      <c r="D273" s="11" t="str">
        <f ca="1">+WORLDCUP!BD67</f>
        <v>Argelia</v>
      </c>
      <c r="E273" s="11" t="str">
        <f ca="1">+WORLDCUP!BD62</f>
        <v>Ecuador</v>
      </c>
      <c r="F273" s="11" t="str">
        <f ca="1">+WORLDCUP!BD60</f>
        <v>Escocia</v>
      </c>
      <c r="G273" s="11" t="str">
        <f ca="1">+WORLDCUP!BD58</f>
        <v>República Checa</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Cabo Verde</v>
      </c>
      <c r="D274" s="11" t="str">
        <f ca="1">+WORLDCUP!BD62</f>
        <v>Ecuador</v>
      </c>
      <c r="E274" s="11" t="str">
        <f ca="1">+WORLDCUP!BD63</f>
        <v>Suecia</v>
      </c>
      <c r="F274" s="11" t="str">
        <f ca="1">+WORLDCUP!BD60</f>
        <v>Escocia</v>
      </c>
      <c r="G274" s="11" t="str">
        <f ca="1">+WORLDCUP!BD58</f>
        <v>República Checa</v>
      </c>
      <c r="H274" s="11" t="str">
        <f ca="1">+WORLDCUP!BD61</f>
        <v>Paraguay</v>
      </c>
      <c r="I274" s="11" t="str">
        <f ca="1">+WORLDCUP!BD69</f>
        <v>Croacia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Cabo Verde</v>
      </c>
      <c r="D275" s="11" t="str">
        <f ca="1">+WORLDCUP!BD62</f>
        <v>Ecuador</v>
      </c>
      <c r="E275" s="11" t="str">
        <f ca="1">+WORLDCUP!BD63</f>
        <v>Suecia</v>
      </c>
      <c r="F275" s="11" t="str">
        <f ca="1">+WORLDCUP!BD60</f>
        <v>Escocia</v>
      </c>
      <c r="G275" s="11" t="str">
        <f ca="1">+WORLDCUP!BD58</f>
        <v>República Checa</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Cabo Verde</v>
      </c>
      <c r="D276" s="11" t="str">
        <f ca="1">+WORLDCUP!BD67</f>
        <v>Argelia</v>
      </c>
      <c r="E276" s="11" t="str">
        <f ca="1">+WORLDCUP!BD62</f>
        <v>Ecuador</v>
      </c>
      <c r="F276" s="11" t="str">
        <f ca="1">+WORLDCUP!BD60</f>
        <v>Escocia</v>
      </c>
      <c r="G276" s="11" t="str">
        <f ca="1">+WORLDCUP!BD58</f>
        <v>República Checa</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Bélgica</v>
      </c>
      <c r="E277" s="11" t="str">
        <f ca="1">+WORLDCUP!BD62</f>
        <v>Ecuador</v>
      </c>
      <c r="F277" s="11" t="str">
        <f ca="1">+WORLDCUP!BD61</f>
        <v>Paraguay</v>
      </c>
      <c r="G277" s="11" t="str">
        <f ca="1">+WORLDCUP!BD58</f>
        <v>República Checa</v>
      </c>
      <c r="H277" s="11" t="str">
        <f ca="1">+WORLDCUP!BD63</f>
        <v>Suecia</v>
      </c>
      <c r="I277" s="11" t="str">
        <f ca="1">+WORLDCUP!BD69</f>
        <v>Croacia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Bélgica</v>
      </c>
      <c r="E278" s="11" t="str">
        <f ca="1">+WORLDCUP!BD67</f>
        <v>Argelia</v>
      </c>
      <c r="F278" s="11" t="str">
        <f ca="1">+WORLDCUP!BD61</f>
        <v>Paraguay</v>
      </c>
      <c r="G278" s="11" t="str">
        <f ca="1">+WORLDCUP!BD58</f>
        <v>República Checa</v>
      </c>
      <c r="H278" s="11" t="str">
        <f ca="1">+WORLDCUP!BD63</f>
        <v>Suecia</v>
      </c>
      <c r="I278" s="11" t="str">
        <f ca="1">+WORLDCUP!BD69</f>
        <v>Croacia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Bélgica</v>
      </c>
      <c r="E279" s="11" t="str">
        <f ca="1">+WORLDCUP!BD67</f>
        <v>Argelia</v>
      </c>
      <c r="F279" s="11" t="str">
        <f ca="1">+WORLDCUP!BD61</f>
        <v>Paraguay</v>
      </c>
      <c r="G279" s="11" t="str">
        <f ca="1">+WORLDCUP!BD58</f>
        <v>República Checa</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Bélgica</v>
      </c>
      <c r="E280" s="11" t="str">
        <f ca="1">+WORLDCUP!BD62</f>
        <v>Ecuador</v>
      </c>
      <c r="F280" s="11" t="str">
        <f ca="1">+WORLDCUP!BD61</f>
        <v>Paraguay</v>
      </c>
      <c r="G280" s="11" t="str">
        <f ca="1">+WORLDCUP!BD58</f>
        <v>República Checa</v>
      </c>
      <c r="H280" s="11" t="str">
        <f ca="1">+WORLDCUP!BD63</f>
        <v>Suecia</v>
      </c>
      <c r="I280" s="11" t="str">
        <f ca="1">+WORLDCUP!BD69</f>
        <v>Croacia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Bélgica</v>
      </c>
      <c r="E281" s="11" t="str">
        <f ca="1">+WORLDCUP!BD62</f>
        <v>Ecuador</v>
      </c>
      <c r="F281" s="11" t="str">
        <f ca="1">+WORLDCUP!BD61</f>
        <v>Paraguay</v>
      </c>
      <c r="G281" s="11" t="str">
        <f ca="1">+WORLDCUP!BD58</f>
        <v>República Checa</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Bélgica</v>
      </c>
      <c r="E282" s="11" t="str">
        <f ca="1">+WORLDCUP!BD67</f>
        <v>Argelia</v>
      </c>
      <c r="F282" s="11" t="str">
        <f ca="1">+WORLDCUP!BD61</f>
        <v>Paraguay</v>
      </c>
      <c r="G282" s="11" t="str">
        <f ca="1">+WORLDCUP!BD58</f>
        <v>República Checa</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Cabo Verde</v>
      </c>
      <c r="D283" s="11" t="str">
        <f ca="1">+WORLDCUP!BD64</f>
        <v>Bélgica</v>
      </c>
      <c r="E283" s="11" t="str">
        <f ca="1">+WORLDCUP!BD63</f>
        <v>Suecia</v>
      </c>
      <c r="F283" s="11" t="str">
        <f ca="1">+WORLDCUP!BD60</f>
        <v>Escocia</v>
      </c>
      <c r="G283" s="11" t="str">
        <f ca="1">+WORLDCUP!BD58</f>
        <v>República Checa</v>
      </c>
      <c r="H283" s="11" t="str">
        <f ca="1">+WORLDCUP!BD61</f>
        <v>Paraguay</v>
      </c>
      <c r="I283" s="11" t="str">
        <f ca="1">+WORLDCUP!BD69</f>
        <v>Croacia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Cabo Verde</v>
      </c>
      <c r="D284" s="11" t="str">
        <f ca="1">+WORLDCUP!BD64</f>
        <v>Bélgica</v>
      </c>
      <c r="E284" s="11" t="str">
        <f ca="1">+WORLDCUP!BD62</f>
        <v>Ecuador</v>
      </c>
      <c r="F284" s="11" t="str">
        <f ca="1">+WORLDCUP!BD60</f>
        <v>Escocia</v>
      </c>
      <c r="G284" s="11" t="str">
        <f ca="1">+WORLDCUP!BD58</f>
        <v>República Checa</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Cabo Verde</v>
      </c>
      <c r="D285" s="11" t="str">
        <f ca="1">+WORLDCUP!BD64</f>
        <v>Bélgica</v>
      </c>
      <c r="E285" s="11" t="str">
        <f ca="1">+WORLDCUP!BD67</f>
        <v>Argelia</v>
      </c>
      <c r="F285" s="11" t="str">
        <f ca="1">+WORLDCUP!BD60</f>
        <v>Escocia</v>
      </c>
      <c r="G285" s="11" t="str">
        <f ca="1">+WORLDCUP!BD58</f>
        <v>República Checa</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Cabo Verde</v>
      </c>
      <c r="D286" s="11" t="str">
        <f ca="1">+WORLDCUP!BD64</f>
        <v>Bélgica</v>
      </c>
      <c r="E286" s="11" t="str">
        <f ca="1">+WORLDCUP!BD62</f>
        <v>Ecuador</v>
      </c>
      <c r="F286" s="11" t="str">
        <f ca="1">+WORLDCUP!BD60</f>
        <v>Escocia</v>
      </c>
      <c r="G286" s="11" t="str">
        <f ca="1">+WORLDCUP!BD58</f>
        <v>República Checa</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Cabo Verde</v>
      </c>
      <c r="D287" s="11" t="str">
        <f ca="1">+WORLDCUP!BD67</f>
        <v>Argelia</v>
      </c>
      <c r="E287" s="11" t="str">
        <f ca="1">+WORLDCUP!BD59</f>
        <v>Bosnia y Herzegovina</v>
      </c>
      <c r="F287" s="11" t="str">
        <f ca="1">+WORLDCUP!BD58</f>
        <v>República Checa</v>
      </c>
      <c r="G287" s="11" t="str">
        <f ca="1">+WORLDCUP!BD66</f>
        <v>Senegal</v>
      </c>
      <c r="H287" s="11" t="str">
        <f ca="1">+WORLDCUP!BD64</f>
        <v>Bélgica</v>
      </c>
      <c r="I287" s="11" t="str">
        <f ca="1">+WORLDCUP!BD69</f>
        <v>Croacia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Cabo Verde</v>
      </c>
      <c r="D288" s="11" t="str">
        <f ca="1">+WORLDCUP!BD67</f>
        <v>Argelia</v>
      </c>
      <c r="E288" s="11" t="str">
        <f ca="1">+WORLDCUP!BD59</f>
        <v>Bosnia y Herzegovina</v>
      </c>
      <c r="F288" s="11" t="str">
        <f ca="1">+WORLDCUP!BD58</f>
        <v>República Checa</v>
      </c>
      <c r="G288" s="11" t="str">
        <f ca="1">+WORLDCUP!BD66</f>
        <v>Senegal</v>
      </c>
      <c r="H288" s="11" t="str">
        <f ca="1">+WORLDCUP!BD63</f>
        <v>Suecia</v>
      </c>
      <c r="I288" s="11" t="str">
        <f ca="1">+WORLDCUP!BD69</f>
        <v>Croacia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República Checa</v>
      </c>
      <c r="H289" s="11" t="str">
        <f ca="1">+WORLDCUP!BD64</f>
        <v>Bélgica</v>
      </c>
      <c r="I289" s="11" t="str">
        <f ca="1">+WORLDCUP!BD69</f>
        <v>Croacia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Cabo Verde</v>
      </c>
      <c r="D290" s="11" t="str">
        <f ca="1">+WORLDCUP!BD67</f>
        <v>Argelia</v>
      </c>
      <c r="E290" s="11" t="str">
        <f ca="1">+WORLDCUP!BD59</f>
        <v>Bosnia y Herzegovina</v>
      </c>
      <c r="F290" s="11" t="str">
        <f ca="1">+WORLDCUP!BD63</f>
        <v>Suecia</v>
      </c>
      <c r="G290" s="11" t="str">
        <f ca="1">+WORLDCUP!BD58</f>
        <v>República Checa</v>
      </c>
      <c r="H290" s="11" t="str">
        <f ca="1">+WORLDCUP!BD64</f>
        <v>Bélgica</v>
      </c>
      <c r="I290" s="11" t="str">
        <f ca="1">+WORLDCUP!BD69</f>
        <v>Croacia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Cabo Verde</v>
      </c>
      <c r="D291" s="11" t="str">
        <f ca="1">+WORLDCUP!BD64</f>
        <v>Bélgica</v>
      </c>
      <c r="E291" s="11" t="str">
        <f ca="1">+WORLDCUP!BD59</f>
        <v>Bosnia y Herzegovina</v>
      </c>
      <c r="F291" s="11" t="str">
        <f ca="1">+WORLDCUP!BD58</f>
        <v>República Checa</v>
      </c>
      <c r="G291" s="11" t="str">
        <f ca="1">+WORLDCUP!BD66</f>
        <v>Senegal</v>
      </c>
      <c r="H291" s="11" t="str">
        <f ca="1">+WORLDCUP!BD63</f>
        <v>Suecia</v>
      </c>
      <c r="I291" s="11" t="str">
        <f ca="1">+WORLDCUP!BD69</f>
        <v>Croacia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Cabo Verde</v>
      </c>
      <c r="D292" s="11" t="str">
        <f ca="1">+WORLDCUP!BD67</f>
        <v>Argelia</v>
      </c>
      <c r="E292" s="11" t="str">
        <f ca="1">+WORLDCUP!BD59</f>
        <v>Bosnia y Herzegovina</v>
      </c>
      <c r="F292" s="11" t="str">
        <f ca="1">+WORLDCUP!BD63</f>
        <v>Suecia</v>
      </c>
      <c r="G292" s="11" t="str">
        <f ca="1">+WORLDCUP!BD58</f>
        <v>República Checa</v>
      </c>
      <c r="H292" s="11" t="str">
        <f ca="1">+WORLDCUP!BD64</f>
        <v>Bélgica</v>
      </c>
      <c r="I292" s="11" t="str">
        <f ca="1">+WORLDCUP!BD69</f>
        <v>Croacia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Cabo Verde</v>
      </c>
      <c r="D293" s="11" t="str">
        <f ca="1">+WORLDCUP!BD67</f>
        <v>Argelia</v>
      </c>
      <c r="E293" s="11" t="str">
        <f ca="1">+WORLDCUP!BD59</f>
        <v>Bosnia y Herzegovina</v>
      </c>
      <c r="F293" s="11" t="str">
        <f ca="1">+WORLDCUP!BD63</f>
        <v>Suecia</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República Checa</v>
      </c>
      <c r="G294" s="11" t="str">
        <f ca="1">+WORLDCUP!BD66</f>
        <v>Senegal</v>
      </c>
      <c r="H294" s="11" t="str">
        <f ca="1">+WORLDCUP!BD65</f>
        <v>Cabo Verde</v>
      </c>
      <c r="I294" s="11" t="str">
        <f ca="1">+WORLDCUP!BD69</f>
        <v>Croacia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República Checa</v>
      </c>
      <c r="G295" s="11" t="str">
        <f ca="1">+WORLDCUP!BD66</f>
        <v>Senegal</v>
      </c>
      <c r="H295" s="11" t="str">
        <f ca="1">+WORLDCUP!BD64</f>
        <v>Bélgica</v>
      </c>
      <c r="I295" s="11" t="str">
        <f ca="1">+WORLDCUP!BD69</f>
        <v>Croacia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República Checa</v>
      </c>
      <c r="G296" s="11" t="str">
        <f ca="1">+WORLDCUP!BD65</f>
        <v>Cabo Verde</v>
      </c>
      <c r="H296" s="11" t="str">
        <f ca="1">+WORLDCUP!BD64</f>
        <v>Bélgica</v>
      </c>
      <c r="I296" s="11" t="str">
        <f ca="1">+WORLDCUP!BD69</f>
        <v>Croacia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Bosnia y Herzegovina</v>
      </c>
      <c r="F297" s="11" t="str">
        <f ca="1">+WORLDCUP!BD58</f>
        <v>República Checa</v>
      </c>
      <c r="G297" s="11" t="str">
        <f ca="1">+WORLDCUP!BD66</f>
        <v>Senegal</v>
      </c>
      <c r="H297" s="11" t="str">
        <f ca="1">+WORLDCUP!BD65</f>
        <v>Cabo Verde</v>
      </c>
      <c r="I297" s="11" t="str">
        <f ca="1">+WORLDCUP!BD69</f>
        <v>Croacia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República Checa</v>
      </c>
      <c r="G298" s="11" t="str">
        <f ca="1">+WORLDCUP!BD65</f>
        <v>Cabo Verde</v>
      </c>
      <c r="H298" s="11" t="str">
        <f ca="1">+WORLDCUP!BD64</f>
        <v>Bélgica</v>
      </c>
      <c r="I298" s="11" t="str">
        <f ca="1">+WORLDCUP!BD69</f>
        <v>Croacia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República Checa</v>
      </c>
      <c r="G299" s="11" t="str">
        <f ca="1">+WORLDCUP!BD65</f>
        <v>Cabo Verde</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República Checa</v>
      </c>
      <c r="G300" s="11" t="str">
        <f ca="1">+WORLDCUP!BD66</f>
        <v>Senegal</v>
      </c>
      <c r="H300" s="11" t="str">
        <f ca="1">+WORLDCUP!BD63</f>
        <v>Suecia</v>
      </c>
      <c r="I300" s="11" t="str">
        <f ca="1">+WORLDCUP!BD69</f>
        <v>Croacia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República Checa</v>
      </c>
      <c r="H301" s="11" t="str">
        <f ca="1">+WORLDCUP!BD65</f>
        <v>Cabo Verde</v>
      </c>
      <c r="I301" s="11" t="str">
        <f ca="1">+WORLDCUP!BD69</f>
        <v>Croacia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República Checa</v>
      </c>
      <c r="H302" s="11" t="str">
        <f ca="1">+WORLDCUP!BD65</f>
        <v>Cabo Verde</v>
      </c>
      <c r="I302" s="11" t="str">
        <f ca="1">+WORLDCUP!BD69</f>
        <v>Croacia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República Checa</v>
      </c>
      <c r="H303" s="11" t="str">
        <f ca="1">+WORLDCUP!BD65</f>
        <v>Cabo Verde</v>
      </c>
      <c r="I303" s="11" t="str">
        <f ca="1">+WORLDCUP!BD69</f>
        <v>Croacia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República Checa</v>
      </c>
      <c r="H304" s="11" t="str">
        <f ca="1">+WORLDCUP!BD65</f>
        <v>Cabo Verde</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República Checa</v>
      </c>
      <c r="H305" s="11" t="str">
        <f ca="1">+WORLDCUP!BD64</f>
        <v>Bélgica</v>
      </c>
      <c r="I305" s="11" t="str">
        <f ca="1">+WORLDCUP!BD69</f>
        <v>Croacia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Bosnia y Herzegovina</v>
      </c>
      <c r="F306" s="11" t="str">
        <f ca="1">+WORLDCUP!BD58</f>
        <v>República Checa</v>
      </c>
      <c r="G306" s="11" t="str">
        <f ca="1">+WORLDCUP!BD66</f>
        <v>Senegal</v>
      </c>
      <c r="H306" s="11" t="str">
        <f ca="1">+WORLDCUP!BD63</f>
        <v>Suecia</v>
      </c>
      <c r="I306" s="11" t="str">
        <f ca="1">+WORLDCUP!BD69</f>
        <v>Croacia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República Checa</v>
      </c>
      <c r="H307" s="11" t="str">
        <f ca="1">+WORLDCUP!BD64</f>
        <v>Bélgica</v>
      </c>
      <c r="I307" s="11" t="str">
        <f ca="1">+WORLDCUP!BD69</f>
        <v>Croacia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Bosnia y Herzegovina</v>
      </c>
      <c r="F309" s="11" t="str">
        <f ca="1">+WORLDCUP!BD63</f>
        <v>Suecia</v>
      </c>
      <c r="G309" s="11" t="str">
        <f ca="1">+WORLDCUP!BD58</f>
        <v>República Checa</v>
      </c>
      <c r="H309" s="11" t="str">
        <f ca="1">+WORLDCUP!BD65</f>
        <v>Cabo Verde</v>
      </c>
      <c r="I309" s="11" t="str">
        <f ca="1">+WORLDCUP!BD69</f>
        <v>Croacia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Cabo Verde</v>
      </c>
      <c r="D310" s="11" t="str">
        <f ca="1">+WORLDCUP!BD67</f>
        <v>Argelia</v>
      </c>
      <c r="E310" s="11" t="str">
        <f ca="1">+WORLDCUP!BD59</f>
        <v>Bosnia y Herzegovina</v>
      </c>
      <c r="F310" s="11" t="str">
        <f ca="1">+WORLDCUP!BD63</f>
        <v>Suecia</v>
      </c>
      <c r="G310" s="11" t="str">
        <f ca="1">+WORLDCUP!BD58</f>
        <v>República Checa</v>
      </c>
      <c r="H310" s="11" t="str">
        <f ca="1">+WORLDCUP!BD64</f>
        <v>Bélgica</v>
      </c>
      <c r="I310" s="11" t="str">
        <f ca="1">+WORLDCUP!BD69</f>
        <v>Croacia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Cabo Verde</v>
      </c>
      <c r="D311" s="11" t="str">
        <f ca="1">+WORLDCUP!BD67</f>
        <v>Argelia</v>
      </c>
      <c r="E311" s="11" t="str">
        <f ca="1">+WORLDCUP!BD59</f>
        <v>Bosnia y Herzegovina</v>
      </c>
      <c r="F311" s="11" t="str">
        <f ca="1">+WORLDCUP!BD63</f>
        <v>Suecia</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Bosnia y Herzegovina</v>
      </c>
      <c r="F312" s="11" t="str">
        <f ca="1">+WORLDCUP!BD63</f>
        <v>Suecia</v>
      </c>
      <c r="G312" s="11" t="str">
        <f ca="1">+WORLDCUP!BD58</f>
        <v>República Checa</v>
      </c>
      <c r="H312" s="11" t="str">
        <f ca="1">+WORLDCUP!BD65</f>
        <v>Cabo Verde</v>
      </c>
      <c r="I312" s="11" t="str">
        <f ca="1">+WORLDCUP!BD69</f>
        <v>Croacia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Bosnia y Herzegovina</v>
      </c>
      <c r="F313" s="11" t="str">
        <f ca="1">+WORLDCUP!BD63</f>
        <v>Suecia</v>
      </c>
      <c r="G313" s="11" t="str">
        <f ca="1">+WORLDCUP!BD58</f>
        <v>República Checa</v>
      </c>
      <c r="H313" s="11" t="str">
        <f ca="1">+WORLDCUP!BD65</f>
        <v>Cabo Verde</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Cabo Verde</v>
      </c>
      <c r="D314" s="11" t="str">
        <f ca="1">+WORLDCUP!BD67</f>
        <v>Argelia</v>
      </c>
      <c r="E314" s="11" t="str">
        <f ca="1">+WORLDCUP!BD59</f>
        <v>Bosnia y Herzegovina</v>
      </c>
      <c r="F314" s="11" t="str">
        <f ca="1">+WORLDCUP!BD63</f>
        <v>Suecia</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República Checa</v>
      </c>
      <c r="H315" s="11" t="str">
        <f ca="1">+WORLDCUP!BD65</f>
        <v>Cabo Verde</v>
      </c>
      <c r="I315" s="11" t="str">
        <f ca="1">+WORLDCUP!BD69</f>
        <v>Croacia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República Checa</v>
      </c>
      <c r="H316" s="11" t="str">
        <f ca="1">+WORLDCUP!BD64</f>
        <v>Bélgica</v>
      </c>
      <c r="I316" s="11" t="str">
        <f ca="1">+WORLDCUP!BD69</f>
        <v>Croacia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Cabo Verde</v>
      </c>
      <c r="D317" s="11" t="str">
        <f ca="1">+WORLDCUP!BD67</f>
        <v>Argelia</v>
      </c>
      <c r="E317" s="11" t="str">
        <f ca="1">+WORLDCUP!BD59</f>
        <v>Bosnia y Herzegovina</v>
      </c>
      <c r="F317" s="11" t="str">
        <f ca="1">+WORLDCUP!BD61</f>
        <v>Paraguay</v>
      </c>
      <c r="G317" s="11" t="str">
        <f ca="1">+WORLDCUP!BD58</f>
        <v>República Checa</v>
      </c>
      <c r="H317" s="11" t="str">
        <f ca="1">+WORLDCUP!BD64</f>
        <v>Bélgica</v>
      </c>
      <c r="I317" s="11" t="str">
        <f ca="1">+WORLDCUP!BD69</f>
        <v>Croacia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Bosnia y Herzegovina</v>
      </c>
      <c r="F318" s="11" t="str">
        <f ca="1">+WORLDCUP!BD61</f>
        <v>Paraguay</v>
      </c>
      <c r="G318" s="11" t="str">
        <f ca="1">+WORLDCUP!BD58</f>
        <v>República Checa</v>
      </c>
      <c r="H318" s="11" t="str">
        <f ca="1">+WORLDCUP!BD65</f>
        <v>Cabo Verde</v>
      </c>
      <c r="I318" s="11" t="str">
        <f ca="1">+WORLDCUP!BD69</f>
        <v>Croacia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Cabo Verde</v>
      </c>
      <c r="D319" s="11" t="str">
        <f ca="1">+WORLDCUP!BD67</f>
        <v>Argelia</v>
      </c>
      <c r="E319" s="11" t="str">
        <f ca="1">+WORLDCUP!BD59</f>
        <v>Bosnia y Herzegovina</v>
      </c>
      <c r="F319" s="11" t="str">
        <f ca="1">+WORLDCUP!BD61</f>
        <v>Paraguay</v>
      </c>
      <c r="G319" s="11" t="str">
        <f ca="1">+WORLDCUP!BD58</f>
        <v>República Checa</v>
      </c>
      <c r="H319" s="11" t="str">
        <f ca="1">+WORLDCUP!BD64</f>
        <v>Bélgica</v>
      </c>
      <c r="I319" s="11" t="str">
        <f ca="1">+WORLDCUP!BD69</f>
        <v>Croacia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Cabo Verde</v>
      </c>
      <c r="D320" s="11" t="str">
        <f ca="1">+WORLDCUP!BD67</f>
        <v>Argelia</v>
      </c>
      <c r="E320" s="11" t="str">
        <f ca="1">+WORLDCUP!BD59</f>
        <v>Bosnia y Herzegovina</v>
      </c>
      <c r="F320" s="11" t="str">
        <f ca="1">+WORLDCUP!BD61</f>
        <v>Paraguay</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República Checa</v>
      </c>
      <c r="H321" s="11" t="str">
        <f ca="1">+WORLDCUP!BD63</f>
        <v>Suecia</v>
      </c>
      <c r="I321" s="11" t="str">
        <f ca="1">+WORLDCUP!BD69</f>
        <v>Croacia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Cabo Verde</v>
      </c>
      <c r="D322" s="11" t="str">
        <f ca="1">+WORLDCUP!BD67</f>
        <v>Argelia</v>
      </c>
      <c r="E322" s="11" t="str">
        <f ca="1">+WORLDCUP!BD59</f>
        <v>Bosnia y Herzegovina</v>
      </c>
      <c r="F322" s="11" t="str">
        <f ca="1">+WORLDCUP!BD61</f>
        <v>Paraguay</v>
      </c>
      <c r="G322" s="11" t="str">
        <f ca="1">+WORLDCUP!BD58</f>
        <v>República Checa</v>
      </c>
      <c r="H322" s="11" t="str">
        <f ca="1">+WORLDCUP!BD63</f>
        <v>Suecia</v>
      </c>
      <c r="I322" s="11" t="str">
        <f ca="1">+WORLDCUP!BD69</f>
        <v>Croacia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Cabo Verde</v>
      </c>
      <c r="D323" s="11" t="str">
        <f ca="1">+WORLDCUP!BD66</f>
        <v>Senegal</v>
      </c>
      <c r="E323" s="11" t="str">
        <f ca="1">+WORLDCUP!BD59</f>
        <v>Bosnia y Herzegovina</v>
      </c>
      <c r="F323" s="11" t="str">
        <f ca="1">+WORLDCUP!BD61</f>
        <v>Paraguay</v>
      </c>
      <c r="G323" s="11" t="str">
        <f ca="1">+WORLDCUP!BD58</f>
        <v>República Checa</v>
      </c>
      <c r="H323" s="11" t="str">
        <f ca="1">+WORLDCUP!BD63</f>
        <v>Suecia</v>
      </c>
      <c r="I323" s="11" t="str">
        <f ca="1">+WORLDCUP!BD69</f>
        <v>Croacia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Cabo Verde</v>
      </c>
      <c r="D324" s="11" t="str">
        <f ca="1">+WORLDCUP!BD67</f>
        <v>Argelia</v>
      </c>
      <c r="E324" s="11" t="str">
        <f ca="1">+WORLDCUP!BD59</f>
        <v>Bosnia y Herzegovina</v>
      </c>
      <c r="F324" s="11" t="str">
        <f ca="1">+WORLDCUP!BD61</f>
        <v>Paraguay</v>
      </c>
      <c r="G324" s="11" t="str">
        <f ca="1">+WORLDCUP!BD58</f>
        <v>República Checa</v>
      </c>
      <c r="H324" s="11" t="str">
        <f ca="1">+WORLDCUP!BD63</f>
        <v>Suecia</v>
      </c>
      <c r="I324" s="11" t="str">
        <f ca="1">+WORLDCUP!BD69</f>
        <v>Croacia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Cabo Verde</v>
      </c>
      <c r="D325" s="11" t="str">
        <f ca="1">+WORLDCUP!BD67</f>
        <v>Argelia</v>
      </c>
      <c r="E325" s="11" t="str">
        <f ca="1">+WORLDCUP!BD59</f>
        <v>Bosnia y Herzegovina</v>
      </c>
      <c r="F325" s="11" t="str">
        <f ca="1">+WORLDCUP!BD61</f>
        <v>Paraguay</v>
      </c>
      <c r="G325" s="11" t="str">
        <f ca="1">+WORLDCUP!BD58</f>
        <v>República Checa</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República Checa</v>
      </c>
      <c r="H326" s="11" t="str">
        <f ca="1">+WORLDCUP!BD64</f>
        <v>Bélgica</v>
      </c>
      <c r="I326" s="11" t="str">
        <f ca="1">+WORLDCUP!BD69</f>
        <v>Croacia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Bosnia y Herzegovina</v>
      </c>
      <c r="F327" s="11" t="str">
        <f ca="1">+WORLDCUP!BD61</f>
        <v>Paraguay</v>
      </c>
      <c r="G327" s="11" t="str">
        <f ca="1">+WORLDCUP!BD58</f>
        <v>República Checa</v>
      </c>
      <c r="H327" s="11" t="str">
        <f ca="1">+WORLDCUP!BD63</f>
        <v>Suecia</v>
      </c>
      <c r="I327" s="11" t="str">
        <f ca="1">+WORLDCUP!BD69</f>
        <v>Croacia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República Checa</v>
      </c>
      <c r="H328" s="11" t="str">
        <f ca="1">+WORLDCUP!BD64</f>
        <v>Bélgica</v>
      </c>
      <c r="I328" s="11" t="str">
        <f ca="1">+WORLDCUP!BD69</f>
        <v>Croacia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Cabo Verde</v>
      </c>
      <c r="D330" s="11" t="str">
        <f ca="1">+WORLDCUP!BD64</f>
        <v>Bélgica</v>
      </c>
      <c r="E330" s="11" t="str">
        <f ca="1">+WORLDCUP!BD59</f>
        <v>Bosnia y Herzegovina</v>
      </c>
      <c r="F330" s="11" t="str">
        <f ca="1">+WORLDCUP!BD61</f>
        <v>Paraguay</v>
      </c>
      <c r="G330" s="11" t="str">
        <f ca="1">+WORLDCUP!BD58</f>
        <v>República Checa</v>
      </c>
      <c r="H330" s="11" t="str">
        <f ca="1">+WORLDCUP!BD63</f>
        <v>Suecia</v>
      </c>
      <c r="I330" s="11" t="str">
        <f ca="1">+WORLDCUP!BD69</f>
        <v>Croacia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Cabo Verde</v>
      </c>
      <c r="D331" s="11" t="str">
        <f ca="1">+WORLDCUP!BD64</f>
        <v>Bélgica</v>
      </c>
      <c r="E331" s="11" t="str">
        <f ca="1">+WORLDCUP!BD59</f>
        <v>Bosnia y Herzegovina</v>
      </c>
      <c r="F331" s="11" t="str">
        <f ca="1">+WORLDCUP!BD61</f>
        <v>Paraguay</v>
      </c>
      <c r="G331" s="11" t="str">
        <f ca="1">+WORLDCUP!BD58</f>
        <v>República Checa</v>
      </c>
      <c r="H331" s="11" t="str">
        <f ca="1">+WORLDCUP!BD63</f>
        <v>Suecia</v>
      </c>
      <c r="I331" s="11" t="str">
        <f ca="1">+WORLDCUP!BD69</f>
        <v>Croacia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Cabo Verde</v>
      </c>
      <c r="D332" s="11" t="str">
        <f ca="1">+WORLDCUP!BD64</f>
        <v>Bélgica</v>
      </c>
      <c r="E332" s="11" t="str">
        <f ca="1">+WORLDCUP!BD59</f>
        <v>Bosnia y Herzegovina</v>
      </c>
      <c r="F332" s="11" t="str">
        <f ca="1">+WORLDCUP!BD61</f>
        <v>Paraguay</v>
      </c>
      <c r="G332" s="11" t="str">
        <f ca="1">+WORLDCUP!BD58</f>
        <v>República Checa</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Cabo Verde</v>
      </c>
      <c r="D333" s="11" t="str">
        <f ca="1">+WORLDCUP!BD64</f>
        <v>Bélgica</v>
      </c>
      <c r="E333" s="11" t="str">
        <f ca="1">+WORLDCUP!BD59</f>
        <v>Bosnia y Herzegovina</v>
      </c>
      <c r="F333" s="11" t="str">
        <f ca="1">+WORLDCUP!BD61</f>
        <v>Paraguay</v>
      </c>
      <c r="G333" s="11" t="str">
        <f ca="1">+WORLDCUP!BD58</f>
        <v>República Checa</v>
      </c>
      <c r="H333" s="11" t="str">
        <f ca="1">+WORLDCUP!BD63</f>
        <v>Suecia</v>
      </c>
      <c r="I333" s="11" t="str">
        <f ca="1">+WORLDCUP!BD69</f>
        <v>Croacia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Cabo Verde</v>
      </c>
      <c r="D334" s="11" t="str">
        <f ca="1">+WORLDCUP!BD64</f>
        <v>Bélgica</v>
      </c>
      <c r="E334" s="11" t="str">
        <f ca="1">+WORLDCUP!BD59</f>
        <v>Bosnia y Herzegovina</v>
      </c>
      <c r="F334" s="11" t="str">
        <f ca="1">+WORLDCUP!BD61</f>
        <v>Paraguay</v>
      </c>
      <c r="G334" s="11" t="str">
        <f ca="1">+WORLDCUP!BD58</f>
        <v>República Checa</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Cabo Verde</v>
      </c>
      <c r="D335" s="11" t="str">
        <f ca="1">+WORLDCUP!BD64</f>
        <v>Bélgica</v>
      </c>
      <c r="E335" s="11" t="str">
        <f ca="1">+WORLDCUP!BD59</f>
        <v>Bosnia y Herzegovina</v>
      </c>
      <c r="F335" s="11" t="str">
        <f ca="1">+WORLDCUP!BD61</f>
        <v>Paraguay</v>
      </c>
      <c r="G335" s="11" t="str">
        <f ca="1">+WORLDCUP!BD58</f>
        <v>República Checa</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República Checa</v>
      </c>
      <c r="G336" s="11" t="str">
        <f ca="1">+WORLDCUP!BD66</f>
        <v>Senegal</v>
      </c>
      <c r="H336" s="11" t="str">
        <f ca="1">+WORLDCUP!BD61</f>
        <v>Paraguay</v>
      </c>
      <c r="I336" s="11" t="str">
        <f ca="1">+WORLDCUP!BD69</f>
        <v>Croacia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República Checa</v>
      </c>
      <c r="H337" s="11" t="str">
        <f ca="1">+WORLDCUP!BD65</f>
        <v>Cabo Verde</v>
      </c>
      <c r="I337" s="11" t="str">
        <f ca="1">+WORLDCUP!BD69</f>
        <v>Croacia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República Checa</v>
      </c>
      <c r="H338" s="11" t="str">
        <f ca="1">+WORLDCUP!BD65</f>
        <v>Cabo Verde</v>
      </c>
      <c r="I338" s="11" t="str">
        <f ca="1">+WORLDCUP!BD69</f>
        <v>Croacia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República Checa</v>
      </c>
      <c r="H339" s="11" t="str">
        <f ca="1">+WORLDCUP!BD65</f>
        <v>Cabo Verde</v>
      </c>
      <c r="I339" s="11" t="str">
        <f ca="1">+WORLDCUP!BD69</f>
        <v>Croacia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República Checa</v>
      </c>
      <c r="H340" s="11" t="str">
        <f ca="1">+WORLDCUP!BD65</f>
        <v>Cabo Verde</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República Checa</v>
      </c>
      <c r="H341" s="11" t="str">
        <f ca="1">+WORLDCUP!BD64</f>
        <v>Bélgica</v>
      </c>
      <c r="I341" s="11" t="str">
        <f ca="1">+WORLDCUP!BD69</f>
        <v>Croacia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Bosnia y Herzegovina</v>
      </c>
      <c r="F342" s="11" t="str">
        <f ca="1">+WORLDCUP!BD58</f>
        <v>República Checa</v>
      </c>
      <c r="G342" s="11" t="str">
        <f ca="1">+WORLDCUP!BD66</f>
        <v>Senegal</v>
      </c>
      <c r="H342" s="11" t="str">
        <f ca="1">+WORLDCUP!BD61</f>
        <v>Paraguay</v>
      </c>
      <c r="I342" s="11" t="str">
        <f ca="1">+WORLDCUP!BD69</f>
        <v>Croacia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República Checa</v>
      </c>
      <c r="H343" s="11" t="str">
        <f ca="1">+WORLDCUP!BD64</f>
        <v>Bélgica</v>
      </c>
      <c r="I343" s="11" t="str">
        <f ca="1">+WORLDCUP!BD69</f>
        <v>Croacia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Bosnia y Herzegovina</v>
      </c>
      <c r="F345" s="11" t="str">
        <f ca="1">+WORLDCUP!BD61</f>
        <v>Paraguay</v>
      </c>
      <c r="G345" s="11" t="str">
        <f ca="1">+WORLDCUP!BD58</f>
        <v>República Checa</v>
      </c>
      <c r="H345" s="11" t="str">
        <f ca="1">+WORLDCUP!BD65</f>
        <v>Cabo Verde</v>
      </c>
      <c r="I345" s="11" t="str">
        <f ca="1">+WORLDCUP!BD69</f>
        <v>Croacia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Cabo Verde</v>
      </c>
      <c r="D346" s="11" t="str">
        <f ca="1">+WORLDCUP!BD67</f>
        <v>Argelia</v>
      </c>
      <c r="E346" s="11" t="str">
        <f ca="1">+WORLDCUP!BD59</f>
        <v>Bosnia y Herzegovina</v>
      </c>
      <c r="F346" s="11" t="str">
        <f ca="1">+WORLDCUP!BD61</f>
        <v>Paraguay</v>
      </c>
      <c r="G346" s="11" t="str">
        <f ca="1">+WORLDCUP!BD58</f>
        <v>República Checa</v>
      </c>
      <c r="H346" s="11" t="str">
        <f ca="1">+WORLDCUP!BD64</f>
        <v>Bélgica</v>
      </c>
      <c r="I346" s="11" t="str">
        <f ca="1">+WORLDCUP!BD69</f>
        <v>Croacia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Cabo Verde</v>
      </c>
      <c r="D347" s="11" t="str">
        <f ca="1">+WORLDCUP!BD67</f>
        <v>Argelia</v>
      </c>
      <c r="E347" s="11" t="str">
        <f ca="1">+WORLDCUP!BD59</f>
        <v>Bosnia y Herzegovina</v>
      </c>
      <c r="F347" s="11" t="str">
        <f ca="1">+WORLDCUP!BD61</f>
        <v>Paraguay</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Bosnia y Herzegovina</v>
      </c>
      <c r="F348" s="11" t="str">
        <f ca="1">+WORLDCUP!BD61</f>
        <v>Paraguay</v>
      </c>
      <c r="G348" s="11" t="str">
        <f ca="1">+WORLDCUP!BD58</f>
        <v>República Checa</v>
      </c>
      <c r="H348" s="11" t="str">
        <f ca="1">+WORLDCUP!BD65</f>
        <v>Cabo Verde</v>
      </c>
      <c r="I348" s="11" t="str">
        <f ca="1">+WORLDCUP!BD69</f>
        <v>Croacia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Bosnia y Herzegovina</v>
      </c>
      <c r="F349" s="11" t="str">
        <f ca="1">+WORLDCUP!BD61</f>
        <v>Paraguay</v>
      </c>
      <c r="G349" s="11" t="str">
        <f ca="1">+WORLDCUP!BD58</f>
        <v>República Checa</v>
      </c>
      <c r="H349" s="11" t="str">
        <f ca="1">+WORLDCUP!BD65</f>
        <v>Cabo Verde</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Cabo Verde</v>
      </c>
      <c r="D350" s="11" t="str">
        <f ca="1">+WORLDCUP!BD67</f>
        <v>Argelia</v>
      </c>
      <c r="E350" s="11" t="str">
        <f ca="1">+WORLDCUP!BD59</f>
        <v>Bosnia y Herzegovina</v>
      </c>
      <c r="F350" s="11" t="str">
        <f ca="1">+WORLDCUP!BD61</f>
        <v>Paraguay</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República Checa</v>
      </c>
      <c r="H351" s="11" t="str">
        <f ca="1">+WORLDCUP!BD63</f>
        <v>Suecia</v>
      </c>
      <c r="I351" s="11" t="str">
        <f ca="1">+WORLDCUP!BD69</f>
        <v>Croacia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República Checa</v>
      </c>
      <c r="H352" s="11" t="str">
        <f ca="1">+WORLDCUP!BD63</f>
        <v>Suecia</v>
      </c>
      <c r="I352" s="11" t="str">
        <f ca="1">+WORLDCUP!BD69</f>
        <v>Croacia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República Checa</v>
      </c>
      <c r="H353" s="11" t="str">
        <f ca="1">+WORLDCUP!BD63</f>
        <v>Suecia</v>
      </c>
      <c r="I353" s="11" t="str">
        <f ca="1">+WORLDCUP!BD69</f>
        <v>Croacia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República Checa</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Cabo Verde</v>
      </c>
      <c r="D355" s="11" t="str">
        <f ca="1">+WORLDCUP!BD62</f>
        <v>Ecuador</v>
      </c>
      <c r="E355" s="11" t="str">
        <f ca="1">+WORLDCUP!BD59</f>
        <v>Bosnia y Herzegovina</v>
      </c>
      <c r="F355" s="11" t="str">
        <f ca="1">+WORLDCUP!BD61</f>
        <v>Paraguay</v>
      </c>
      <c r="G355" s="11" t="str">
        <f ca="1">+WORLDCUP!BD58</f>
        <v>República Checa</v>
      </c>
      <c r="H355" s="11" t="str">
        <f ca="1">+WORLDCUP!BD63</f>
        <v>Suecia</v>
      </c>
      <c r="I355" s="11" t="str">
        <f ca="1">+WORLDCUP!BD69</f>
        <v>Croacia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Cabo Verde</v>
      </c>
      <c r="D356" s="11" t="str">
        <f ca="1">+WORLDCUP!BD67</f>
        <v>Argelia</v>
      </c>
      <c r="E356" s="11" t="str">
        <f ca="1">+WORLDCUP!BD59</f>
        <v>Bosnia y Herzegovina</v>
      </c>
      <c r="F356" s="11" t="str">
        <f ca="1">+WORLDCUP!BD61</f>
        <v>Paraguay</v>
      </c>
      <c r="G356" s="11" t="str">
        <f ca="1">+WORLDCUP!BD58</f>
        <v>República Checa</v>
      </c>
      <c r="H356" s="11" t="str">
        <f ca="1">+WORLDCUP!BD63</f>
        <v>Suecia</v>
      </c>
      <c r="I356" s="11" t="str">
        <f ca="1">+WORLDCUP!BD69</f>
        <v>Croacia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Cabo Verde</v>
      </c>
      <c r="D357" s="11" t="str">
        <f ca="1">+WORLDCUP!BD67</f>
        <v>Argelia</v>
      </c>
      <c r="E357" s="11" t="str">
        <f ca="1">+WORLDCUP!BD59</f>
        <v>Bosnia y Herzegovina</v>
      </c>
      <c r="F357" s="11" t="str">
        <f ca="1">+WORLDCUP!BD61</f>
        <v>Paraguay</v>
      </c>
      <c r="G357" s="11" t="str">
        <f ca="1">+WORLDCUP!BD58</f>
        <v>República Checa</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Cabo Verde</v>
      </c>
      <c r="D358" s="11" t="str">
        <f ca="1">+WORLDCUP!BD62</f>
        <v>Ecuador</v>
      </c>
      <c r="E358" s="11" t="str">
        <f ca="1">+WORLDCUP!BD59</f>
        <v>Bosnia y Herzegovina</v>
      </c>
      <c r="F358" s="11" t="str">
        <f ca="1">+WORLDCUP!BD61</f>
        <v>Paraguay</v>
      </c>
      <c r="G358" s="11" t="str">
        <f ca="1">+WORLDCUP!BD58</f>
        <v>República Checa</v>
      </c>
      <c r="H358" s="11" t="str">
        <f ca="1">+WORLDCUP!BD63</f>
        <v>Suecia</v>
      </c>
      <c r="I358" s="11" t="str">
        <f ca="1">+WORLDCUP!BD69</f>
        <v>Croacia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Cabo Verde</v>
      </c>
      <c r="D359" s="11" t="str">
        <f ca="1">+WORLDCUP!BD62</f>
        <v>Ecuador</v>
      </c>
      <c r="E359" s="11" t="str">
        <f ca="1">+WORLDCUP!BD59</f>
        <v>Bosnia y Herzegovina</v>
      </c>
      <c r="F359" s="11" t="str">
        <f ca="1">+WORLDCUP!BD61</f>
        <v>Paraguay</v>
      </c>
      <c r="G359" s="11" t="str">
        <f ca="1">+WORLDCUP!BD58</f>
        <v>República Checa</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Cabo Verde</v>
      </c>
      <c r="D360" s="11" t="str">
        <f ca="1">+WORLDCUP!BD67</f>
        <v>Argelia</v>
      </c>
      <c r="E360" s="11" t="str">
        <f ca="1">+WORLDCUP!BD59</f>
        <v>Bosnia y Herzegovina</v>
      </c>
      <c r="F360" s="11" t="str">
        <f ca="1">+WORLDCUP!BD61</f>
        <v>Paraguay</v>
      </c>
      <c r="G360" s="11" t="str">
        <f ca="1">+WORLDCUP!BD58</f>
        <v>República Checa</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Bosnia y Herzegovina</v>
      </c>
      <c r="F361" s="11" t="str">
        <f ca="1">+WORLDCUP!BD61</f>
        <v>Paraguay</v>
      </c>
      <c r="G361" s="11" t="str">
        <f ca="1">+WORLDCUP!BD58</f>
        <v>República Checa</v>
      </c>
      <c r="H361" s="11" t="str">
        <f ca="1">+WORLDCUP!BD63</f>
        <v>Suecia</v>
      </c>
      <c r="I361" s="11" t="str">
        <f ca="1">+WORLDCUP!BD69</f>
        <v>Croacia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Bosnia y Herzegovina</v>
      </c>
      <c r="F362" s="11" t="str">
        <f ca="1">+WORLDCUP!BD61</f>
        <v>Paraguay</v>
      </c>
      <c r="G362" s="11" t="str">
        <f ca="1">+WORLDCUP!BD58</f>
        <v>República Checa</v>
      </c>
      <c r="H362" s="11" t="str">
        <f ca="1">+WORLDCUP!BD63</f>
        <v>Suecia</v>
      </c>
      <c r="I362" s="11" t="str">
        <f ca="1">+WORLDCUP!BD69</f>
        <v>Croacia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Bosnia y Herzegovina</v>
      </c>
      <c r="F363" s="11" t="str">
        <f ca="1">+WORLDCUP!BD61</f>
        <v>Paraguay</v>
      </c>
      <c r="G363" s="11" t="str">
        <f ca="1">+WORLDCUP!BD58</f>
        <v>República Checa</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Bosnia y Herzegovina</v>
      </c>
      <c r="F364" s="11" t="str">
        <f ca="1">+WORLDCUP!BD61</f>
        <v>Paraguay</v>
      </c>
      <c r="G364" s="11" t="str">
        <f ca="1">+WORLDCUP!BD58</f>
        <v>República Checa</v>
      </c>
      <c r="H364" s="11" t="str">
        <f ca="1">+WORLDCUP!BD63</f>
        <v>Suecia</v>
      </c>
      <c r="I364" s="11" t="str">
        <f ca="1">+WORLDCUP!BD69</f>
        <v>Croacia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Bosnia y Herzegovina</v>
      </c>
      <c r="F365" s="11" t="str">
        <f ca="1">+WORLDCUP!BD61</f>
        <v>Paraguay</v>
      </c>
      <c r="G365" s="11" t="str">
        <f ca="1">+WORLDCUP!BD58</f>
        <v>República Checa</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Bosnia y Herzegovina</v>
      </c>
      <c r="F366" s="11" t="str">
        <f ca="1">+WORLDCUP!BD61</f>
        <v>Paraguay</v>
      </c>
      <c r="G366" s="11" t="str">
        <f ca="1">+WORLDCUP!BD58</f>
        <v>República Checa</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Cabo Verde</v>
      </c>
      <c r="D367" s="11" t="str">
        <f ca="1">+WORLDCUP!BD64</f>
        <v>Bélgica</v>
      </c>
      <c r="E367" s="11" t="str">
        <f ca="1">+WORLDCUP!BD59</f>
        <v>Bosnia y Herzegovina</v>
      </c>
      <c r="F367" s="11" t="str">
        <f ca="1">+WORLDCUP!BD61</f>
        <v>Paraguay</v>
      </c>
      <c r="G367" s="11" t="str">
        <f ca="1">+WORLDCUP!BD58</f>
        <v>República Checa</v>
      </c>
      <c r="H367" s="11" t="str">
        <f ca="1">+WORLDCUP!BD63</f>
        <v>Suecia</v>
      </c>
      <c r="I367" s="11" t="str">
        <f ca="1">+WORLDCUP!BD69</f>
        <v>Croacia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Cabo Verde</v>
      </c>
      <c r="D368" s="11" t="str">
        <f ca="1">+WORLDCUP!BD64</f>
        <v>Bélgica</v>
      </c>
      <c r="E368" s="11" t="str">
        <f ca="1">+WORLDCUP!BD59</f>
        <v>Bosnia y Herzegovina</v>
      </c>
      <c r="F368" s="11" t="str">
        <f ca="1">+WORLDCUP!BD61</f>
        <v>Paraguay</v>
      </c>
      <c r="G368" s="11" t="str">
        <f ca="1">+WORLDCUP!BD58</f>
        <v>República Checa</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Cabo Verde</v>
      </c>
      <c r="D369" s="11" t="str">
        <f ca="1">+WORLDCUP!BD64</f>
        <v>Bélgica</v>
      </c>
      <c r="E369" s="11" t="str">
        <f ca="1">+WORLDCUP!BD59</f>
        <v>Bosnia y Herzegovina</v>
      </c>
      <c r="F369" s="11" t="str">
        <f ca="1">+WORLDCUP!BD61</f>
        <v>Paraguay</v>
      </c>
      <c r="G369" s="11" t="str">
        <f ca="1">+WORLDCUP!BD58</f>
        <v>República Checa</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Cabo Verde</v>
      </c>
      <c r="D370" s="11" t="str">
        <f ca="1">+WORLDCUP!BD64</f>
        <v>Bélgica</v>
      </c>
      <c r="E370" s="11" t="str">
        <f ca="1">+WORLDCUP!BD59</f>
        <v>Bosnia y Herzegovina</v>
      </c>
      <c r="F370" s="11" t="str">
        <f ca="1">+WORLDCUP!BD61</f>
        <v>Paraguay</v>
      </c>
      <c r="G370" s="11" t="str">
        <f ca="1">+WORLDCUP!BD58</f>
        <v>República Checa</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República Checa</v>
      </c>
      <c r="H371" s="11" t="str">
        <f ca="1">+WORLDCUP!BD65</f>
        <v>Cabo Verde</v>
      </c>
      <c r="I371" s="11" t="str">
        <f ca="1">+WORLDCUP!BD69</f>
        <v>Croacia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República Checa</v>
      </c>
      <c r="H372" s="11" t="str">
        <f ca="1">+WORLDCUP!BD64</f>
        <v>Bélgica</v>
      </c>
      <c r="I372" s="11" t="str">
        <f ca="1">+WORLDCUP!BD69</f>
        <v>Croacia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Cabo Verde</v>
      </c>
      <c r="D373" s="11" t="str">
        <f ca="1">+WORLDCUP!BD67</f>
        <v>Argelia</v>
      </c>
      <c r="E373" s="11" t="str">
        <f ca="1">+WORLDCUP!BD59</f>
        <v>Bosnia y Herzegovina</v>
      </c>
      <c r="F373" s="11" t="str">
        <f ca="1">+WORLDCUP!BD60</f>
        <v>Escocia</v>
      </c>
      <c r="G373" s="11" t="str">
        <f ca="1">+WORLDCUP!BD58</f>
        <v>República Checa</v>
      </c>
      <c r="H373" s="11" t="str">
        <f ca="1">+WORLDCUP!BD64</f>
        <v>Bélgica</v>
      </c>
      <c r="I373" s="11" t="str">
        <f ca="1">+WORLDCUP!BD69</f>
        <v>Croacia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Bosnia y Herzegovina</v>
      </c>
      <c r="F374" s="11" t="str">
        <f ca="1">+WORLDCUP!BD60</f>
        <v>Escocia</v>
      </c>
      <c r="G374" s="11" t="str">
        <f ca="1">+WORLDCUP!BD58</f>
        <v>República Checa</v>
      </c>
      <c r="H374" s="11" t="str">
        <f ca="1">+WORLDCUP!BD65</f>
        <v>Cabo Verde</v>
      </c>
      <c r="I374" s="11" t="str">
        <f ca="1">+WORLDCUP!BD69</f>
        <v>Croacia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Cabo Verde</v>
      </c>
      <c r="D375" s="11" t="str">
        <f ca="1">+WORLDCUP!BD67</f>
        <v>Argelia</v>
      </c>
      <c r="E375" s="11" t="str">
        <f ca="1">+WORLDCUP!BD59</f>
        <v>Bosnia y Herzegovina</v>
      </c>
      <c r="F375" s="11" t="str">
        <f ca="1">+WORLDCUP!BD60</f>
        <v>Escocia</v>
      </c>
      <c r="G375" s="11" t="str">
        <f ca="1">+WORLDCUP!BD58</f>
        <v>República Checa</v>
      </c>
      <c r="H375" s="11" t="str">
        <f ca="1">+WORLDCUP!BD64</f>
        <v>Bélgica</v>
      </c>
      <c r="I375" s="11" t="str">
        <f ca="1">+WORLDCUP!BD69</f>
        <v>Croacia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Cabo Verde</v>
      </c>
      <c r="D376" s="11" t="str">
        <f ca="1">+WORLDCUP!BD67</f>
        <v>Argelia</v>
      </c>
      <c r="E376" s="11" t="str">
        <f ca="1">+WORLDCUP!BD59</f>
        <v>Bosnia y Herzegovina</v>
      </c>
      <c r="F376" s="11" t="str">
        <f ca="1">+WORLDCUP!BD60</f>
        <v>Escocia</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República Checa</v>
      </c>
      <c r="H377" s="11" t="str">
        <f ca="1">+WORLDCUP!BD63</f>
        <v>Suecia</v>
      </c>
      <c r="I377" s="11" t="str">
        <f ca="1">+WORLDCUP!BD69</f>
        <v>Croacia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Cabo Verde</v>
      </c>
      <c r="D378" s="11" t="str">
        <f ca="1">+WORLDCUP!BD67</f>
        <v>Argelia</v>
      </c>
      <c r="E378" s="11" t="str">
        <f ca="1">+WORLDCUP!BD59</f>
        <v>Bosnia y Herzegovina</v>
      </c>
      <c r="F378" s="11" t="str">
        <f ca="1">+WORLDCUP!BD60</f>
        <v>Escocia</v>
      </c>
      <c r="G378" s="11" t="str">
        <f ca="1">+WORLDCUP!BD58</f>
        <v>República Checa</v>
      </c>
      <c r="H378" s="11" t="str">
        <f ca="1">+WORLDCUP!BD63</f>
        <v>Suecia</v>
      </c>
      <c r="I378" s="11" t="str">
        <f ca="1">+WORLDCUP!BD69</f>
        <v>Croacia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Cabo Verde</v>
      </c>
      <c r="D379" s="11" t="str">
        <f ca="1">+WORLDCUP!BD66</f>
        <v>Senegal</v>
      </c>
      <c r="E379" s="11" t="str">
        <f ca="1">+WORLDCUP!BD59</f>
        <v>Bosnia y Herzegovina</v>
      </c>
      <c r="F379" s="11" t="str">
        <f ca="1">+WORLDCUP!BD60</f>
        <v>Escocia</v>
      </c>
      <c r="G379" s="11" t="str">
        <f ca="1">+WORLDCUP!BD58</f>
        <v>República Checa</v>
      </c>
      <c r="H379" s="11" t="str">
        <f ca="1">+WORLDCUP!BD63</f>
        <v>Suecia</v>
      </c>
      <c r="I379" s="11" t="str">
        <f ca="1">+WORLDCUP!BD69</f>
        <v>Croacia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Cabo Verde</v>
      </c>
      <c r="D380" s="11" t="str">
        <f ca="1">+WORLDCUP!BD67</f>
        <v>Argelia</v>
      </c>
      <c r="E380" s="11" t="str">
        <f ca="1">+WORLDCUP!BD59</f>
        <v>Bosnia y Herzegovina</v>
      </c>
      <c r="F380" s="11" t="str">
        <f ca="1">+WORLDCUP!BD60</f>
        <v>Escocia</v>
      </c>
      <c r="G380" s="11" t="str">
        <f ca="1">+WORLDCUP!BD58</f>
        <v>República Checa</v>
      </c>
      <c r="H380" s="11" t="str">
        <f ca="1">+WORLDCUP!BD63</f>
        <v>Suecia</v>
      </c>
      <c r="I380" s="11" t="str">
        <f ca="1">+WORLDCUP!BD69</f>
        <v>Croacia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Cabo Verde</v>
      </c>
      <c r="D381" s="11" t="str">
        <f ca="1">+WORLDCUP!BD67</f>
        <v>Argelia</v>
      </c>
      <c r="E381" s="11" t="str">
        <f ca="1">+WORLDCUP!BD59</f>
        <v>Bosnia y Herzegovina</v>
      </c>
      <c r="F381" s="11" t="str">
        <f ca="1">+WORLDCUP!BD60</f>
        <v>Escocia</v>
      </c>
      <c r="G381" s="11" t="str">
        <f ca="1">+WORLDCUP!BD58</f>
        <v>República Checa</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República Checa</v>
      </c>
      <c r="H382" s="11" t="str">
        <f ca="1">+WORLDCUP!BD64</f>
        <v>Bélgica</v>
      </c>
      <c r="I382" s="11" t="str">
        <f ca="1">+WORLDCUP!BD69</f>
        <v>Croacia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Bosnia y Herzegovina</v>
      </c>
      <c r="F383" s="11" t="str">
        <f ca="1">+WORLDCUP!BD60</f>
        <v>Escocia</v>
      </c>
      <c r="G383" s="11" t="str">
        <f ca="1">+WORLDCUP!BD58</f>
        <v>República Checa</v>
      </c>
      <c r="H383" s="11" t="str">
        <f ca="1">+WORLDCUP!BD63</f>
        <v>Suecia</v>
      </c>
      <c r="I383" s="11" t="str">
        <f ca="1">+WORLDCUP!BD69</f>
        <v>Croacia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República Checa</v>
      </c>
      <c r="H384" s="11" t="str">
        <f ca="1">+WORLDCUP!BD64</f>
        <v>Bélgica</v>
      </c>
      <c r="I384" s="11" t="str">
        <f ca="1">+WORLDCUP!BD69</f>
        <v>Croacia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Cabo Verde</v>
      </c>
      <c r="D386" s="11" t="str">
        <f ca="1">+WORLDCUP!BD64</f>
        <v>Bélgica</v>
      </c>
      <c r="E386" s="11" t="str">
        <f ca="1">+WORLDCUP!BD59</f>
        <v>Bosnia y Herzegovina</v>
      </c>
      <c r="F386" s="11" t="str">
        <f ca="1">+WORLDCUP!BD60</f>
        <v>Escocia</v>
      </c>
      <c r="G386" s="11" t="str">
        <f ca="1">+WORLDCUP!BD58</f>
        <v>República Checa</v>
      </c>
      <c r="H386" s="11" t="str">
        <f ca="1">+WORLDCUP!BD63</f>
        <v>Suecia</v>
      </c>
      <c r="I386" s="11" t="str">
        <f ca="1">+WORLDCUP!BD69</f>
        <v>Croacia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Cabo Verde</v>
      </c>
      <c r="D387" s="11" t="str">
        <f ca="1">+WORLDCUP!BD64</f>
        <v>Bélgica</v>
      </c>
      <c r="E387" s="11" t="str">
        <f ca="1">+WORLDCUP!BD59</f>
        <v>Bosnia y Herzegovina</v>
      </c>
      <c r="F387" s="11" t="str">
        <f ca="1">+WORLDCUP!BD60</f>
        <v>Escocia</v>
      </c>
      <c r="G387" s="11" t="str">
        <f ca="1">+WORLDCUP!BD58</f>
        <v>República Checa</v>
      </c>
      <c r="H387" s="11" t="str">
        <f ca="1">+WORLDCUP!BD63</f>
        <v>Suecia</v>
      </c>
      <c r="I387" s="11" t="str">
        <f ca="1">+WORLDCUP!BD69</f>
        <v>Croacia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Cabo Verde</v>
      </c>
      <c r="D388" s="11" t="str">
        <f ca="1">+WORLDCUP!BD64</f>
        <v>Bélgica</v>
      </c>
      <c r="E388" s="11" t="str">
        <f ca="1">+WORLDCUP!BD59</f>
        <v>Bosnia y Herzegovina</v>
      </c>
      <c r="F388" s="11" t="str">
        <f ca="1">+WORLDCUP!BD60</f>
        <v>Escocia</v>
      </c>
      <c r="G388" s="11" t="str">
        <f ca="1">+WORLDCUP!BD58</f>
        <v>República Checa</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Cabo Verde</v>
      </c>
      <c r="D389" s="11" t="str">
        <f ca="1">+WORLDCUP!BD64</f>
        <v>Bélgica</v>
      </c>
      <c r="E389" s="11" t="str">
        <f ca="1">+WORLDCUP!BD59</f>
        <v>Bosnia y Herzegovina</v>
      </c>
      <c r="F389" s="11" t="str">
        <f ca="1">+WORLDCUP!BD60</f>
        <v>Escocia</v>
      </c>
      <c r="G389" s="11" t="str">
        <f ca="1">+WORLDCUP!BD58</f>
        <v>República Checa</v>
      </c>
      <c r="H389" s="11" t="str">
        <f ca="1">+WORLDCUP!BD63</f>
        <v>Suecia</v>
      </c>
      <c r="I389" s="11" t="str">
        <f ca="1">+WORLDCUP!BD69</f>
        <v>Croacia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Cabo Verde</v>
      </c>
      <c r="D390" s="11" t="str">
        <f ca="1">+WORLDCUP!BD64</f>
        <v>Bélgica</v>
      </c>
      <c r="E390" s="11" t="str">
        <f ca="1">+WORLDCUP!BD59</f>
        <v>Bosnia y Herzegovina</v>
      </c>
      <c r="F390" s="11" t="str">
        <f ca="1">+WORLDCUP!BD60</f>
        <v>Escocia</v>
      </c>
      <c r="G390" s="11" t="str">
        <f ca="1">+WORLDCUP!BD58</f>
        <v>República Checa</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Cabo Verde</v>
      </c>
      <c r="D391" s="11" t="str">
        <f ca="1">+WORLDCUP!BD64</f>
        <v>Bélgica</v>
      </c>
      <c r="E391" s="11" t="str">
        <f ca="1">+WORLDCUP!BD59</f>
        <v>Bosnia y Herzegovina</v>
      </c>
      <c r="F391" s="11" t="str">
        <f ca="1">+WORLDCUP!BD60</f>
        <v>Escocia</v>
      </c>
      <c r="G391" s="11" t="str">
        <f ca="1">+WORLDCUP!BD58</f>
        <v>República Checa</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República Checa</v>
      </c>
      <c r="G392" s="11" t="str">
        <f ca="1">+WORLDCUP!BD66</f>
        <v>Senegal</v>
      </c>
      <c r="H392" s="11" t="str">
        <f ca="1">+WORLDCUP!BD60</f>
        <v>Escocia</v>
      </c>
      <c r="I392" s="11" t="str">
        <f ca="1">+WORLDCUP!BD69</f>
        <v>Croacia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República Checa</v>
      </c>
      <c r="H393" s="11" t="str">
        <f ca="1">+WORLDCUP!BD65</f>
        <v>Cabo Verde</v>
      </c>
      <c r="I393" s="11" t="str">
        <f ca="1">+WORLDCUP!BD69</f>
        <v>Croacia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República Checa</v>
      </c>
      <c r="H394" s="11" t="str">
        <f ca="1">+WORLDCUP!BD65</f>
        <v>Cabo Verde</v>
      </c>
      <c r="I394" s="11" t="str">
        <f ca="1">+WORLDCUP!BD69</f>
        <v>Croacia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República Checa</v>
      </c>
      <c r="H395" s="11" t="str">
        <f ca="1">+WORLDCUP!BD65</f>
        <v>Cabo Verde</v>
      </c>
      <c r="I395" s="11" t="str">
        <f ca="1">+WORLDCUP!BD69</f>
        <v>Croacia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República Checa</v>
      </c>
      <c r="H396" s="11" t="str">
        <f ca="1">+WORLDCUP!BD65</f>
        <v>Cabo Verde</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República Checa</v>
      </c>
      <c r="H397" s="11" t="str">
        <f ca="1">+WORLDCUP!BD64</f>
        <v>Bélgica</v>
      </c>
      <c r="I397" s="11" t="str">
        <f ca="1">+WORLDCUP!BD69</f>
        <v>Croacia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Bosnia y Herzegovina</v>
      </c>
      <c r="F398" s="11" t="str">
        <f ca="1">+WORLDCUP!BD58</f>
        <v>República Checa</v>
      </c>
      <c r="G398" s="11" t="str">
        <f ca="1">+WORLDCUP!BD66</f>
        <v>Senegal</v>
      </c>
      <c r="H398" s="11" t="str">
        <f ca="1">+WORLDCUP!BD60</f>
        <v>Escocia</v>
      </c>
      <c r="I398" s="11" t="str">
        <f ca="1">+WORLDCUP!BD69</f>
        <v>Croacia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República Checa</v>
      </c>
      <c r="H399" s="11" t="str">
        <f ca="1">+WORLDCUP!BD64</f>
        <v>Bélgica</v>
      </c>
      <c r="I399" s="11" t="str">
        <f ca="1">+WORLDCUP!BD69</f>
        <v>Croacia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Bosnia y Herzegovina</v>
      </c>
      <c r="F401" s="11" t="str">
        <f ca="1">+WORLDCUP!BD60</f>
        <v>Escocia</v>
      </c>
      <c r="G401" s="11" t="str">
        <f ca="1">+WORLDCUP!BD58</f>
        <v>República Checa</v>
      </c>
      <c r="H401" s="11" t="str">
        <f ca="1">+WORLDCUP!BD65</f>
        <v>Cabo Verde</v>
      </c>
      <c r="I401" s="11" t="str">
        <f ca="1">+WORLDCUP!BD69</f>
        <v>Croacia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Cabo Verde</v>
      </c>
      <c r="D402" s="11" t="str">
        <f ca="1">+WORLDCUP!BD67</f>
        <v>Argelia</v>
      </c>
      <c r="E402" s="11" t="str">
        <f ca="1">+WORLDCUP!BD59</f>
        <v>Bosnia y Herzegovina</v>
      </c>
      <c r="F402" s="11" t="str">
        <f ca="1">+WORLDCUP!BD60</f>
        <v>Escocia</v>
      </c>
      <c r="G402" s="11" t="str">
        <f ca="1">+WORLDCUP!BD58</f>
        <v>República Checa</v>
      </c>
      <c r="H402" s="11" t="str">
        <f ca="1">+WORLDCUP!BD64</f>
        <v>Bélgica</v>
      </c>
      <c r="I402" s="11" t="str">
        <f ca="1">+WORLDCUP!BD69</f>
        <v>Croacia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Cabo Verde</v>
      </c>
      <c r="D403" s="11" t="str">
        <f ca="1">+WORLDCUP!BD67</f>
        <v>Argelia</v>
      </c>
      <c r="E403" s="11" t="str">
        <f ca="1">+WORLDCUP!BD59</f>
        <v>Bosnia y Herzegovina</v>
      </c>
      <c r="F403" s="11" t="str">
        <f ca="1">+WORLDCUP!BD60</f>
        <v>Escocia</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Bosnia y Herzegovina</v>
      </c>
      <c r="F404" s="11" t="str">
        <f ca="1">+WORLDCUP!BD60</f>
        <v>Escocia</v>
      </c>
      <c r="G404" s="11" t="str">
        <f ca="1">+WORLDCUP!BD58</f>
        <v>República Checa</v>
      </c>
      <c r="H404" s="11" t="str">
        <f ca="1">+WORLDCUP!BD65</f>
        <v>Cabo Verde</v>
      </c>
      <c r="I404" s="11" t="str">
        <f ca="1">+WORLDCUP!BD69</f>
        <v>Croacia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Bosnia y Herzegovina</v>
      </c>
      <c r="F405" s="11" t="str">
        <f ca="1">+WORLDCUP!BD60</f>
        <v>Escocia</v>
      </c>
      <c r="G405" s="11" t="str">
        <f ca="1">+WORLDCUP!BD58</f>
        <v>República Checa</v>
      </c>
      <c r="H405" s="11" t="str">
        <f ca="1">+WORLDCUP!BD65</f>
        <v>Cabo Verde</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Cabo Verde</v>
      </c>
      <c r="D406" s="11" t="str">
        <f ca="1">+WORLDCUP!BD67</f>
        <v>Argelia</v>
      </c>
      <c r="E406" s="11" t="str">
        <f ca="1">+WORLDCUP!BD59</f>
        <v>Bosnia y Herzegovina</v>
      </c>
      <c r="F406" s="11" t="str">
        <f ca="1">+WORLDCUP!BD60</f>
        <v>Escocia</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República Checa</v>
      </c>
      <c r="H407" s="11" t="str">
        <f ca="1">+WORLDCUP!BD63</f>
        <v>Suecia</v>
      </c>
      <c r="I407" s="11" t="str">
        <f ca="1">+WORLDCUP!BD69</f>
        <v>Croacia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República Checa</v>
      </c>
      <c r="H408" s="11" t="str">
        <f ca="1">+WORLDCUP!BD63</f>
        <v>Suecia</v>
      </c>
      <c r="I408" s="11" t="str">
        <f ca="1">+WORLDCUP!BD69</f>
        <v>Croacia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República Checa</v>
      </c>
      <c r="H409" s="11" t="str">
        <f ca="1">+WORLDCUP!BD63</f>
        <v>Suecia</v>
      </c>
      <c r="I409" s="11" t="str">
        <f ca="1">+WORLDCUP!BD69</f>
        <v>Croacia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República Checa</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Cabo Verde</v>
      </c>
      <c r="D411" s="11" t="str">
        <f ca="1">+WORLDCUP!BD62</f>
        <v>Ecuador</v>
      </c>
      <c r="E411" s="11" t="str">
        <f ca="1">+WORLDCUP!BD59</f>
        <v>Bosnia y Herzegovina</v>
      </c>
      <c r="F411" s="11" t="str">
        <f ca="1">+WORLDCUP!BD60</f>
        <v>Escocia</v>
      </c>
      <c r="G411" s="11" t="str">
        <f ca="1">+WORLDCUP!BD58</f>
        <v>República Checa</v>
      </c>
      <c r="H411" s="11" t="str">
        <f ca="1">+WORLDCUP!BD63</f>
        <v>Suecia</v>
      </c>
      <c r="I411" s="11" t="str">
        <f ca="1">+WORLDCUP!BD69</f>
        <v>Croacia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Cabo Verde</v>
      </c>
      <c r="D412" s="11" t="str">
        <f ca="1">+WORLDCUP!BD67</f>
        <v>Argelia</v>
      </c>
      <c r="E412" s="11" t="str">
        <f ca="1">+WORLDCUP!BD59</f>
        <v>Bosnia y Herzegovina</v>
      </c>
      <c r="F412" s="11" t="str">
        <f ca="1">+WORLDCUP!BD60</f>
        <v>Escocia</v>
      </c>
      <c r="G412" s="11" t="str">
        <f ca="1">+WORLDCUP!BD58</f>
        <v>República Checa</v>
      </c>
      <c r="H412" s="11" t="str">
        <f ca="1">+WORLDCUP!BD63</f>
        <v>Suecia</v>
      </c>
      <c r="I412" s="11" t="str">
        <f ca="1">+WORLDCUP!BD69</f>
        <v>Croacia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Cabo Verde</v>
      </c>
      <c r="D413" s="11" t="str">
        <f ca="1">+WORLDCUP!BD67</f>
        <v>Argelia</v>
      </c>
      <c r="E413" s="11" t="str">
        <f ca="1">+WORLDCUP!BD59</f>
        <v>Bosnia y Herzegovina</v>
      </c>
      <c r="F413" s="11" t="str">
        <f ca="1">+WORLDCUP!BD60</f>
        <v>Escocia</v>
      </c>
      <c r="G413" s="11" t="str">
        <f ca="1">+WORLDCUP!BD58</f>
        <v>República Checa</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Cabo Verde</v>
      </c>
      <c r="D414" s="11" t="str">
        <f ca="1">+WORLDCUP!BD62</f>
        <v>Ecuador</v>
      </c>
      <c r="E414" s="11" t="str">
        <f ca="1">+WORLDCUP!BD59</f>
        <v>Bosnia y Herzegovina</v>
      </c>
      <c r="F414" s="11" t="str">
        <f ca="1">+WORLDCUP!BD60</f>
        <v>Escocia</v>
      </c>
      <c r="G414" s="11" t="str">
        <f ca="1">+WORLDCUP!BD58</f>
        <v>República Checa</v>
      </c>
      <c r="H414" s="11" t="str">
        <f ca="1">+WORLDCUP!BD63</f>
        <v>Suecia</v>
      </c>
      <c r="I414" s="11" t="str">
        <f ca="1">+WORLDCUP!BD69</f>
        <v>Croacia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Cabo Verde</v>
      </c>
      <c r="D415" s="11" t="str">
        <f ca="1">+WORLDCUP!BD62</f>
        <v>Ecuador</v>
      </c>
      <c r="E415" s="11" t="str">
        <f ca="1">+WORLDCUP!BD59</f>
        <v>Bosnia y Herzegovina</v>
      </c>
      <c r="F415" s="11" t="str">
        <f ca="1">+WORLDCUP!BD60</f>
        <v>Escocia</v>
      </c>
      <c r="G415" s="11" t="str">
        <f ca="1">+WORLDCUP!BD58</f>
        <v>República Checa</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Cabo Verde</v>
      </c>
      <c r="D416" s="11" t="str">
        <f ca="1">+WORLDCUP!BD67</f>
        <v>Argelia</v>
      </c>
      <c r="E416" s="11" t="str">
        <f ca="1">+WORLDCUP!BD59</f>
        <v>Bosnia y Herzegovina</v>
      </c>
      <c r="F416" s="11" t="str">
        <f ca="1">+WORLDCUP!BD60</f>
        <v>Escocia</v>
      </c>
      <c r="G416" s="11" t="str">
        <f ca="1">+WORLDCUP!BD58</f>
        <v>República Checa</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Bosnia y Herzegovina</v>
      </c>
      <c r="F417" s="11" t="str">
        <f ca="1">+WORLDCUP!BD60</f>
        <v>Escocia</v>
      </c>
      <c r="G417" s="11" t="str">
        <f ca="1">+WORLDCUP!BD58</f>
        <v>República Checa</v>
      </c>
      <c r="H417" s="11" t="str">
        <f ca="1">+WORLDCUP!BD63</f>
        <v>Suecia</v>
      </c>
      <c r="I417" s="11" t="str">
        <f ca="1">+WORLDCUP!BD69</f>
        <v>Croacia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Bosnia y Herzegovina</v>
      </c>
      <c r="F418" s="11" t="str">
        <f ca="1">+WORLDCUP!BD60</f>
        <v>Escocia</v>
      </c>
      <c r="G418" s="11" t="str">
        <f ca="1">+WORLDCUP!BD58</f>
        <v>República Checa</v>
      </c>
      <c r="H418" s="11" t="str">
        <f ca="1">+WORLDCUP!BD63</f>
        <v>Suecia</v>
      </c>
      <c r="I418" s="11" t="str">
        <f ca="1">+WORLDCUP!BD69</f>
        <v>Croacia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Bosnia y Herzegovina</v>
      </c>
      <c r="F419" s="11" t="str">
        <f ca="1">+WORLDCUP!BD60</f>
        <v>Escocia</v>
      </c>
      <c r="G419" s="11" t="str">
        <f ca="1">+WORLDCUP!BD58</f>
        <v>República Checa</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Bosnia y Herzegovina</v>
      </c>
      <c r="F420" s="11" t="str">
        <f ca="1">+WORLDCUP!BD60</f>
        <v>Escocia</v>
      </c>
      <c r="G420" s="11" t="str">
        <f ca="1">+WORLDCUP!BD58</f>
        <v>República Checa</v>
      </c>
      <c r="H420" s="11" t="str">
        <f ca="1">+WORLDCUP!BD63</f>
        <v>Suecia</v>
      </c>
      <c r="I420" s="11" t="str">
        <f ca="1">+WORLDCUP!BD69</f>
        <v>Croacia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Bosnia y Herzegovina</v>
      </c>
      <c r="F421" s="11" t="str">
        <f ca="1">+WORLDCUP!BD60</f>
        <v>Escocia</v>
      </c>
      <c r="G421" s="11" t="str">
        <f ca="1">+WORLDCUP!BD58</f>
        <v>República Checa</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Bosnia y Herzegovina</v>
      </c>
      <c r="F422" s="11" t="str">
        <f ca="1">+WORLDCUP!BD60</f>
        <v>Escocia</v>
      </c>
      <c r="G422" s="11" t="str">
        <f ca="1">+WORLDCUP!BD58</f>
        <v>República Checa</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Cabo Verde</v>
      </c>
      <c r="D423" s="11" t="str">
        <f ca="1">+WORLDCUP!BD64</f>
        <v>Bélgica</v>
      </c>
      <c r="E423" s="11" t="str">
        <f ca="1">+WORLDCUP!BD59</f>
        <v>Bosnia y Herzegovina</v>
      </c>
      <c r="F423" s="11" t="str">
        <f ca="1">+WORLDCUP!BD60</f>
        <v>Escocia</v>
      </c>
      <c r="G423" s="11" t="str">
        <f ca="1">+WORLDCUP!BD58</f>
        <v>República Checa</v>
      </c>
      <c r="H423" s="11" t="str">
        <f ca="1">+WORLDCUP!BD63</f>
        <v>Suecia</v>
      </c>
      <c r="I423" s="11" t="str">
        <f ca="1">+WORLDCUP!BD69</f>
        <v>Croacia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Cabo Verde</v>
      </c>
      <c r="D424" s="11" t="str">
        <f ca="1">+WORLDCUP!BD64</f>
        <v>Bélgica</v>
      </c>
      <c r="E424" s="11" t="str">
        <f ca="1">+WORLDCUP!BD59</f>
        <v>Bosnia y Herzegovina</v>
      </c>
      <c r="F424" s="11" t="str">
        <f ca="1">+WORLDCUP!BD60</f>
        <v>Escocia</v>
      </c>
      <c r="G424" s="11" t="str">
        <f ca="1">+WORLDCUP!BD58</f>
        <v>República Checa</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Cabo Verde</v>
      </c>
      <c r="D425" s="11" t="str">
        <f ca="1">+WORLDCUP!BD64</f>
        <v>Bélgica</v>
      </c>
      <c r="E425" s="11" t="str">
        <f ca="1">+WORLDCUP!BD59</f>
        <v>Bosnia y Herzegovina</v>
      </c>
      <c r="F425" s="11" t="str">
        <f ca="1">+WORLDCUP!BD60</f>
        <v>Escocia</v>
      </c>
      <c r="G425" s="11" t="str">
        <f ca="1">+WORLDCUP!BD58</f>
        <v>República Checa</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Cabo Verde</v>
      </c>
      <c r="D426" s="11" t="str">
        <f ca="1">+WORLDCUP!BD64</f>
        <v>Bélgica</v>
      </c>
      <c r="E426" s="11" t="str">
        <f ca="1">+WORLDCUP!BD59</f>
        <v>Bosnia y Herzegovina</v>
      </c>
      <c r="F426" s="11" t="str">
        <f ca="1">+WORLDCUP!BD60</f>
        <v>Escocia</v>
      </c>
      <c r="G426" s="11" t="str">
        <f ca="1">+WORLDCUP!BD58</f>
        <v>República Checa</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República Checa</v>
      </c>
      <c r="H427" s="11" t="str">
        <f ca="1">+WORLDCUP!BD61</f>
        <v>Paraguay</v>
      </c>
      <c r="I427" s="11" t="str">
        <f ca="1">+WORLDCUP!BD69</f>
        <v>Croacia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Cabo Verde</v>
      </c>
      <c r="D428" s="11" t="str">
        <f ca="1">+WORLDCUP!BD67</f>
        <v>Argelia</v>
      </c>
      <c r="E428" s="11" t="str">
        <f ca="1">+WORLDCUP!BD59</f>
        <v>Bosnia y Herzegovina</v>
      </c>
      <c r="F428" s="11" t="str">
        <f ca="1">+WORLDCUP!BD60</f>
        <v>Escocia</v>
      </c>
      <c r="G428" s="11" t="str">
        <f ca="1">+WORLDCUP!BD58</f>
        <v>República Checa</v>
      </c>
      <c r="H428" s="11" t="str">
        <f ca="1">+WORLDCUP!BD61</f>
        <v>Paraguay</v>
      </c>
      <c r="I428" s="11" t="str">
        <f ca="1">+WORLDCUP!BD69</f>
        <v>Croacia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Cabo Verde</v>
      </c>
      <c r="D429" s="11" t="str">
        <f ca="1">+WORLDCUP!BD66</f>
        <v>Senegal</v>
      </c>
      <c r="E429" s="11" t="str">
        <f ca="1">+WORLDCUP!BD59</f>
        <v>Bosnia y Herzegovina</v>
      </c>
      <c r="F429" s="11" t="str">
        <f ca="1">+WORLDCUP!BD60</f>
        <v>Escocia</v>
      </c>
      <c r="G429" s="11" t="str">
        <f ca="1">+WORLDCUP!BD58</f>
        <v>República Checa</v>
      </c>
      <c r="H429" s="11" t="str">
        <f ca="1">+WORLDCUP!BD61</f>
        <v>Paraguay</v>
      </c>
      <c r="I429" s="11" t="str">
        <f ca="1">+WORLDCUP!BD69</f>
        <v>Croacia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Cabo Verde</v>
      </c>
      <c r="D430" s="11" t="str">
        <f ca="1">+WORLDCUP!BD67</f>
        <v>Argelia</v>
      </c>
      <c r="E430" s="11" t="str">
        <f ca="1">+WORLDCUP!BD59</f>
        <v>Bosnia y Herzegovina</v>
      </c>
      <c r="F430" s="11" t="str">
        <f ca="1">+WORLDCUP!BD60</f>
        <v>Escocia</v>
      </c>
      <c r="G430" s="11" t="str">
        <f ca="1">+WORLDCUP!BD58</f>
        <v>República Checa</v>
      </c>
      <c r="H430" s="11" t="str">
        <f ca="1">+WORLDCUP!BD61</f>
        <v>Paraguay</v>
      </c>
      <c r="I430" s="11" t="str">
        <f ca="1">+WORLDCUP!BD69</f>
        <v>Croacia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Cabo Verde</v>
      </c>
      <c r="D431" s="11" t="str">
        <f ca="1">+WORLDCUP!BD67</f>
        <v>Argelia</v>
      </c>
      <c r="E431" s="11" t="str">
        <f ca="1">+WORLDCUP!BD59</f>
        <v>Bosnia y Herzegovina</v>
      </c>
      <c r="F431" s="11" t="str">
        <f ca="1">+WORLDCUP!BD60</f>
        <v>Escocia</v>
      </c>
      <c r="G431" s="11" t="str">
        <f ca="1">+WORLDCUP!BD58</f>
        <v>República Checa</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República Checa</v>
      </c>
      <c r="H432" s="11" t="str">
        <f ca="1">+WORLDCUP!BD64</f>
        <v>Bélgica</v>
      </c>
      <c r="I432" s="11" t="str">
        <f ca="1">+WORLDCUP!BD69</f>
        <v>Croacia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Bosnia y Herzegovina</v>
      </c>
      <c r="F433" s="11" t="str">
        <f ca="1">+WORLDCUP!BD60</f>
        <v>Escocia</v>
      </c>
      <c r="G433" s="11" t="str">
        <f ca="1">+WORLDCUP!BD58</f>
        <v>República Checa</v>
      </c>
      <c r="H433" s="11" t="str">
        <f ca="1">+WORLDCUP!BD61</f>
        <v>Paraguay</v>
      </c>
      <c r="I433" s="11" t="str">
        <f ca="1">+WORLDCUP!BD69</f>
        <v>Croacia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República Checa</v>
      </c>
      <c r="H434" s="11" t="str">
        <f ca="1">+WORLDCUP!BD64</f>
        <v>Bélgica</v>
      </c>
      <c r="I434" s="11" t="str">
        <f ca="1">+WORLDCUP!BD69</f>
        <v>Croacia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Cabo Verde</v>
      </c>
      <c r="D436" s="11" t="str">
        <f ca="1">+WORLDCUP!BD64</f>
        <v>Bélgica</v>
      </c>
      <c r="E436" s="11" t="str">
        <f ca="1">+WORLDCUP!BD59</f>
        <v>Bosnia y Herzegovina</v>
      </c>
      <c r="F436" s="11" t="str">
        <f ca="1">+WORLDCUP!BD60</f>
        <v>Escocia</v>
      </c>
      <c r="G436" s="11" t="str">
        <f ca="1">+WORLDCUP!BD58</f>
        <v>República Checa</v>
      </c>
      <c r="H436" s="11" t="str">
        <f ca="1">+WORLDCUP!BD61</f>
        <v>Paraguay</v>
      </c>
      <c r="I436" s="11" t="str">
        <f ca="1">+WORLDCUP!BD69</f>
        <v>Croacia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Cabo Verde</v>
      </c>
      <c r="D437" s="11" t="str">
        <f ca="1">+WORLDCUP!BD64</f>
        <v>Bélgica</v>
      </c>
      <c r="E437" s="11" t="str">
        <f ca="1">+WORLDCUP!BD59</f>
        <v>Bosnia y Herzegovina</v>
      </c>
      <c r="F437" s="11" t="str">
        <f ca="1">+WORLDCUP!BD60</f>
        <v>Escocia</v>
      </c>
      <c r="G437" s="11" t="str">
        <f ca="1">+WORLDCUP!BD58</f>
        <v>República Checa</v>
      </c>
      <c r="H437" s="11" t="str">
        <f ca="1">+WORLDCUP!BD61</f>
        <v>Paraguay</v>
      </c>
      <c r="I437" s="11" t="str">
        <f ca="1">+WORLDCUP!BD69</f>
        <v>Croacia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Cabo Verde</v>
      </c>
      <c r="D438" s="11" t="str">
        <f ca="1">+WORLDCUP!BD64</f>
        <v>Bélgica</v>
      </c>
      <c r="E438" s="11" t="str">
        <f ca="1">+WORLDCUP!BD59</f>
        <v>Bosnia y Herzegovina</v>
      </c>
      <c r="F438" s="11" t="str">
        <f ca="1">+WORLDCUP!BD60</f>
        <v>Escocia</v>
      </c>
      <c r="G438" s="11" t="str">
        <f ca="1">+WORLDCUP!BD58</f>
        <v>República Checa</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Cabo Verde</v>
      </c>
      <c r="D439" s="11" t="str">
        <f ca="1">+WORLDCUP!BD64</f>
        <v>Bélgica</v>
      </c>
      <c r="E439" s="11" t="str">
        <f ca="1">+WORLDCUP!BD59</f>
        <v>Bosnia y Herzegovina</v>
      </c>
      <c r="F439" s="11" t="str">
        <f ca="1">+WORLDCUP!BD60</f>
        <v>Escocia</v>
      </c>
      <c r="G439" s="11" t="str">
        <f ca="1">+WORLDCUP!BD58</f>
        <v>República Checa</v>
      </c>
      <c r="H439" s="11" t="str">
        <f ca="1">+WORLDCUP!BD61</f>
        <v>Paraguay</v>
      </c>
      <c r="I439" s="11" t="str">
        <f ca="1">+WORLDCUP!BD69</f>
        <v>Croacia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Cabo Verde</v>
      </c>
      <c r="D440" s="11" t="str">
        <f ca="1">+WORLDCUP!BD64</f>
        <v>Bélgica</v>
      </c>
      <c r="E440" s="11" t="str">
        <f ca="1">+WORLDCUP!BD59</f>
        <v>Bosnia y Herzegovina</v>
      </c>
      <c r="F440" s="11" t="str">
        <f ca="1">+WORLDCUP!BD60</f>
        <v>Escocia</v>
      </c>
      <c r="G440" s="11" t="str">
        <f ca="1">+WORLDCUP!BD58</f>
        <v>República Checa</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Cabo Verde</v>
      </c>
      <c r="D441" s="11" t="str">
        <f ca="1">+WORLDCUP!BD64</f>
        <v>Bélgica</v>
      </c>
      <c r="E441" s="11" t="str">
        <f ca="1">+WORLDCUP!BD59</f>
        <v>Bosnia y Herzegovina</v>
      </c>
      <c r="F441" s="11" t="str">
        <f ca="1">+WORLDCUP!BD60</f>
        <v>Escocia</v>
      </c>
      <c r="G441" s="11" t="str">
        <f ca="1">+WORLDCUP!BD58</f>
        <v>República Checa</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República Checa</v>
      </c>
      <c r="H442" s="11" t="str">
        <f ca="1">+WORLDCUP!BD63</f>
        <v>Suecia</v>
      </c>
      <c r="I442" s="11" t="str">
        <f ca="1">+WORLDCUP!BD69</f>
        <v>Croacia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República Checa</v>
      </c>
      <c r="H443" s="11" t="str">
        <f ca="1">+WORLDCUP!BD63</f>
        <v>Suecia</v>
      </c>
      <c r="I443" s="11" t="str">
        <f ca="1">+WORLDCUP!BD69</f>
        <v>Croacia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República Checa</v>
      </c>
      <c r="H444" s="11" t="str">
        <f ca="1">+WORLDCUP!BD63</f>
        <v>Suecia</v>
      </c>
      <c r="I444" s="11" t="str">
        <f ca="1">+WORLDCUP!BD69</f>
        <v>Croacia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República Checa</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Cabo Verde</v>
      </c>
      <c r="D446" s="11" t="str">
        <f ca="1">+WORLDCUP!BD63</f>
        <v>Suecia</v>
      </c>
      <c r="E446" s="11" t="str">
        <f ca="1">+WORLDCUP!BD59</f>
        <v>Bosnia y Herzegovina</v>
      </c>
      <c r="F446" s="11" t="str">
        <f ca="1">+WORLDCUP!BD60</f>
        <v>Escocia</v>
      </c>
      <c r="G446" s="11" t="str">
        <f ca="1">+WORLDCUP!BD58</f>
        <v>República Checa</v>
      </c>
      <c r="H446" s="11" t="str">
        <f ca="1">+WORLDCUP!BD61</f>
        <v>Paraguay</v>
      </c>
      <c r="I446" s="11" t="str">
        <f ca="1">+WORLDCUP!BD69</f>
        <v>Croacia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República Checa</v>
      </c>
      <c r="H447" s="11" t="str">
        <f ca="1">+WORLDCUP!BD63</f>
        <v>Suecia</v>
      </c>
      <c r="I447" s="11" t="str">
        <f ca="1">+WORLDCUP!BD69</f>
        <v>Croacia</v>
      </c>
      <c r="J447" s="11" t="str">
        <f ca="1">+WORLDCUP!BD65</f>
        <v>Cabo Verde</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Cabo Verde</v>
      </c>
      <c r="D448" s="11" t="str">
        <f ca="1">+WORLDCUP!BD67</f>
        <v>Argelia</v>
      </c>
      <c r="E448" s="11" t="str">
        <f ca="1">+WORLDCUP!BD59</f>
        <v>Bosnia y Herzegovina</v>
      </c>
      <c r="F448" s="11" t="str">
        <f ca="1">+WORLDCUP!BD60</f>
        <v>Escocia</v>
      </c>
      <c r="G448" s="11" t="str">
        <f ca="1">+WORLDCUP!BD58</f>
        <v>República Checa</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Cabo Verde</v>
      </c>
      <c r="D449" s="11" t="str">
        <f ca="1">+WORLDCUP!BD63</f>
        <v>Suecia</v>
      </c>
      <c r="E449" s="11" t="str">
        <f ca="1">+WORLDCUP!BD59</f>
        <v>Bosnia y Herzegovina</v>
      </c>
      <c r="F449" s="11" t="str">
        <f ca="1">+WORLDCUP!BD60</f>
        <v>Escocia</v>
      </c>
      <c r="G449" s="11" t="str">
        <f ca="1">+WORLDCUP!BD58</f>
        <v>República Checa</v>
      </c>
      <c r="H449" s="11" t="str">
        <f ca="1">+WORLDCUP!BD61</f>
        <v>Paraguay</v>
      </c>
      <c r="I449" s="11" t="str">
        <f ca="1">+WORLDCUP!BD69</f>
        <v>Croacia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Cabo Verde</v>
      </c>
      <c r="D450" s="11" t="str">
        <f ca="1">+WORLDCUP!BD63</f>
        <v>Suecia</v>
      </c>
      <c r="E450" s="11" t="str">
        <f ca="1">+WORLDCUP!BD59</f>
        <v>Bosnia y Herzegovina</v>
      </c>
      <c r="F450" s="11" t="str">
        <f ca="1">+WORLDCUP!BD60</f>
        <v>Escocia</v>
      </c>
      <c r="G450" s="11" t="str">
        <f ca="1">+WORLDCUP!BD58</f>
        <v>República Checa</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Cabo Verde</v>
      </c>
      <c r="D451" s="11" t="str">
        <f ca="1">+WORLDCUP!BD67</f>
        <v>Argelia</v>
      </c>
      <c r="E451" s="11" t="str">
        <f ca="1">+WORLDCUP!BD59</f>
        <v>Bosnia y Herzegovina</v>
      </c>
      <c r="F451" s="11" t="str">
        <f ca="1">+WORLDCUP!BD60</f>
        <v>Escocia</v>
      </c>
      <c r="G451" s="11" t="str">
        <f ca="1">+WORLDCUP!BD58</f>
        <v>República Checa</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Bélgica</v>
      </c>
      <c r="E452" s="11" t="str">
        <f ca="1">+WORLDCUP!BD59</f>
        <v>Bosnia y Herzegovina</v>
      </c>
      <c r="F452" s="11" t="str">
        <f ca="1">+WORLDCUP!BD61</f>
        <v>Paraguay</v>
      </c>
      <c r="G452" s="11" t="str">
        <f ca="1">+WORLDCUP!BD58</f>
        <v>República Checa</v>
      </c>
      <c r="H452" s="11" t="str">
        <f ca="1">+WORLDCUP!BD63</f>
        <v>Suecia</v>
      </c>
      <c r="I452" s="11" t="str">
        <f ca="1">+WORLDCUP!BD69</f>
        <v>Croacia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Bélgica</v>
      </c>
      <c r="E453" s="11" t="str">
        <f ca="1">+WORLDCUP!BD59</f>
        <v>Bosnia y Herzegovina</v>
      </c>
      <c r="F453" s="11" t="str">
        <f ca="1">+WORLDCUP!BD61</f>
        <v>Paraguay</v>
      </c>
      <c r="G453" s="11" t="str">
        <f ca="1">+WORLDCUP!BD58</f>
        <v>República Checa</v>
      </c>
      <c r="H453" s="11" t="str">
        <f ca="1">+WORLDCUP!BD63</f>
        <v>Suecia</v>
      </c>
      <c r="I453" s="11" t="str">
        <f ca="1">+WORLDCUP!BD69</f>
        <v>Croacia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Bélgica</v>
      </c>
      <c r="E454" s="11" t="str">
        <f ca="1">+WORLDCUP!BD59</f>
        <v>Bosnia y Herzegovina</v>
      </c>
      <c r="F454" s="11" t="str">
        <f ca="1">+WORLDCUP!BD61</f>
        <v>Paraguay</v>
      </c>
      <c r="G454" s="11" t="str">
        <f ca="1">+WORLDCUP!BD58</f>
        <v>República Checa</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Bélgica</v>
      </c>
      <c r="E455" s="11" t="str">
        <f ca="1">+WORLDCUP!BD59</f>
        <v>Bosnia y Herzegovina</v>
      </c>
      <c r="F455" s="11" t="str">
        <f ca="1">+WORLDCUP!BD61</f>
        <v>Paraguay</v>
      </c>
      <c r="G455" s="11" t="str">
        <f ca="1">+WORLDCUP!BD58</f>
        <v>República Checa</v>
      </c>
      <c r="H455" s="11" t="str">
        <f ca="1">+WORLDCUP!BD63</f>
        <v>Suecia</v>
      </c>
      <c r="I455" s="11" t="str">
        <f ca="1">+WORLDCUP!BD69</f>
        <v>Croacia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Bélgica</v>
      </c>
      <c r="E456" s="11" t="str">
        <f ca="1">+WORLDCUP!BD59</f>
        <v>Bosnia y Herzegovina</v>
      </c>
      <c r="F456" s="11" t="str">
        <f ca="1">+WORLDCUP!BD61</f>
        <v>Paraguay</v>
      </c>
      <c r="G456" s="11" t="str">
        <f ca="1">+WORLDCUP!BD58</f>
        <v>República Checa</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Bélgica</v>
      </c>
      <c r="E457" s="11" t="str">
        <f ca="1">+WORLDCUP!BD59</f>
        <v>Bosnia y Herzegovina</v>
      </c>
      <c r="F457" s="11" t="str">
        <f ca="1">+WORLDCUP!BD61</f>
        <v>Paraguay</v>
      </c>
      <c r="G457" s="11" t="str">
        <f ca="1">+WORLDCUP!BD58</f>
        <v>República Checa</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Bélgica</v>
      </c>
      <c r="E458" s="11" t="str">
        <f ca="1">+WORLDCUP!BD59</f>
        <v>Bosnia y Herzegovina</v>
      </c>
      <c r="F458" s="11" t="str">
        <f ca="1">+WORLDCUP!BD61</f>
        <v>Paraguay</v>
      </c>
      <c r="G458" s="11" t="str">
        <f ca="1">+WORLDCUP!BD58</f>
        <v>República Checa</v>
      </c>
      <c r="H458" s="11" t="str">
        <f ca="1">+WORLDCUP!BD63</f>
        <v>Suecia</v>
      </c>
      <c r="I458" s="11" t="str">
        <f ca="1">+WORLDCUP!BD69</f>
        <v>Croacia</v>
      </c>
      <c r="J458" s="11" t="str">
        <f ca="1">+WORLDCUP!BD65</f>
        <v>Cabo Verde</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Cabo Verde</v>
      </c>
      <c r="D459" s="11" t="str">
        <f ca="1">+WORLDCUP!BD64</f>
        <v>Bélgica</v>
      </c>
      <c r="E459" s="11" t="str">
        <f ca="1">+WORLDCUP!BD59</f>
        <v>Bosnia y Herzegovina</v>
      </c>
      <c r="F459" s="11" t="str">
        <f ca="1">+WORLDCUP!BD60</f>
        <v>Escocia</v>
      </c>
      <c r="G459" s="11" t="str">
        <f ca="1">+WORLDCUP!BD58</f>
        <v>República Checa</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Cabo Verde</v>
      </c>
      <c r="D460" s="11" t="str">
        <f ca="1">+WORLDCUP!BD64</f>
        <v>Bélgica</v>
      </c>
      <c r="E460" s="11" t="str">
        <f ca="1">+WORLDCUP!BD59</f>
        <v>Bosnia y Herzegovina</v>
      </c>
      <c r="F460" s="11" t="str">
        <f ca="1">+WORLDCUP!BD60</f>
        <v>Escocia</v>
      </c>
      <c r="G460" s="11" t="str">
        <f ca="1">+WORLDCUP!BD58</f>
        <v>República Checa</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Cabo Verde</v>
      </c>
      <c r="D461" s="11" t="str">
        <f ca="1">+WORLDCUP!BD64</f>
        <v>Bélgica</v>
      </c>
      <c r="E461" s="11" t="str">
        <f ca="1">+WORLDCUP!BD59</f>
        <v>Bosnia y Herzegovina</v>
      </c>
      <c r="F461" s="11" t="str">
        <f ca="1">+WORLDCUP!BD60</f>
        <v>Escocia</v>
      </c>
      <c r="G461" s="11" t="str">
        <f ca="1">+WORLDCUP!BD58</f>
        <v>República Checa</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República Checa</v>
      </c>
      <c r="H462" s="11" t="str">
        <f ca="1">+WORLDCUP!BD61</f>
        <v>Paraguay</v>
      </c>
      <c r="I462" s="11" t="str">
        <f ca="1">+WORLDCUP!BD69</f>
        <v>Croacia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República Checa</v>
      </c>
      <c r="H463" s="11" t="str">
        <f ca="1">+WORLDCUP!BD61</f>
        <v>Paraguay</v>
      </c>
      <c r="I463" s="11" t="str">
        <f ca="1">+WORLDCUP!BD69</f>
        <v>Croacia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República Checa</v>
      </c>
      <c r="H464" s="11" t="str">
        <f ca="1">+WORLDCUP!BD61</f>
        <v>Paraguay</v>
      </c>
      <c r="I464" s="11" t="str">
        <f ca="1">+WORLDCUP!BD69</f>
        <v>Croacia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República Checa</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Cabo Verde</v>
      </c>
      <c r="D466" s="11" t="str">
        <f ca="1">+WORLDCUP!BD62</f>
        <v>Ecuador</v>
      </c>
      <c r="E466" s="11" t="str">
        <f ca="1">+WORLDCUP!BD59</f>
        <v>Bosnia y Herzegovina</v>
      </c>
      <c r="F466" s="11" t="str">
        <f ca="1">+WORLDCUP!BD60</f>
        <v>Escocia</v>
      </c>
      <c r="G466" s="11" t="str">
        <f ca="1">+WORLDCUP!BD58</f>
        <v>República Checa</v>
      </c>
      <c r="H466" s="11" t="str">
        <f ca="1">+WORLDCUP!BD61</f>
        <v>Paraguay</v>
      </c>
      <c r="I466" s="11" t="str">
        <f ca="1">+WORLDCUP!BD69</f>
        <v>Croacia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Cabo Verde</v>
      </c>
      <c r="D467" s="11" t="str">
        <f ca="1">+WORLDCUP!BD67</f>
        <v>Argelia</v>
      </c>
      <c r="E467" s="11" t="str">
        <f ca="1">+WORLDCUP!BD59</f>
        <v>Bosnia y Herzegovina</v>
      </c>
      <c r="F467" s="11" t="str">
        <f ca="1">+WORLDCUP!BD60</f>
        <v>Escocia</v>
      </c>
      <c r="G467" s="11" t="str">
        <f ca="1">+WORLDCUP!BD58</f>
        <v>República Checa</v>
      </c>
      <c r="H467" s="11" t="str">
        <f ca="1">+WORLDCUP!BD61</f>
        <v>Paraguay</v>
      </c>
      <c r="I467" s="11" t="str">
        <f ca="1">+WORLDCUP!BD69</f>
        <v>Croacia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Cabo Verde</v>
      </c>
      <c r="D468" s="11" t="str">
        <f ca="1">+WORLDCUP!BD67</f>
        <v>Argelia</v>
      </c>
      <c r="E468" s="11" t="str">
        <f ca="1">+WORLDCUP!BD59</f>
        <v>Bosnia y Herzegovina</v>
      </c>
      <c r="F468" s="11" t="str">
        <f ca="1">+WORLDCUP!BD60</f>
        <v>Escocia</v>
      </c>
      <c r="G468" s="11" t="str">
        <f ca="1">+WORLDCUP!BD58</f>
        <v>República Checa</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Cabo Verde</v>
      </c>
      <c r="D469" s="11" t="str">
        <f ca="1">+WORLDCUP!BD62</f>
        <v>Ecuador</v>
      </c>
      <c r="E469" s="11" t="str">
        <f ca="1">+WORLDCUP!BD59</f>
        <v>Bosnia y Herzegovina</v>
      </c>
      <c r="F469" s="11" t="str">
        <f ca="1">+WORLDCUP!BD60</f>
        <v>Escocia</v>
      </c>
      <c r="G469" s="11" t="str">
        <f ca="1">+WORLDCUP!BD58</f>
        <v>República Checa</v>
      </c>
      <c r="H469" s="11" t="str">
        <f ca="1">+WORLDCUP!BD61</f>
        <v>Paraguay</v>
      </c>
      <c r="I469" s="11" t="str">
        <f ca="1">+WORLDCUP!BD69</f>
        <v>Croacia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Cabo Verde</v>
      </c>
      <c r="D470" s="11" t="str">
        <f ca="1">+WORLDCUP!BD62</f>
        <v>Ecuador</v>
      </c>
      <c r="E470" s="11" t="str">
        <f ca="1">+WORLDCUP!BD59</f>
        <v>Bosnia y Herzegovina</v>
      </c>
      <c r="F470" s="11" t="str">
        <f ca="1">+WORLDCUP!BD60</f>
        <v>Escocia</v>
      </c>
      <c r="G470" s="11" t="str">
        <f ca="1">+WORLDCUP!BD58</f>
        <v>República Checa</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Cabo Verde</v>
      </c>
      <c r="D471" s="11" t="str">
        <f ca="1">+WORLDCUP!BD67</f>
        <v>Argelia</v>
      </c>
      <c r="E471" s="11" t="str">
        <f ca="1">+WORLDCUP!BD59</f>
        <v>Bosnia y Herzegovina</v>
      </c>
      <c r="F471" s="11" t="str">
        <f ca="1">+WORLDCUP!BD60</f>
        <v>Escocia</v>
      </c>
      <c r="G471" s="11" t="str">
        <f ca="1">+WORLDCUP!BD58</f>
        <v>República Checa</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Bosnia y Herzegovina</v>
      </c>
      <c r="F472" s="11" t="str">
        <f ca="1">+WORLDCUP!BD60</f>
        <v>Escocia</v>
      </c>
      <c r="G472" s="11" t="str">
        <f ca="1">+WORLDCUP!BD58</f>
        <v>República Checa</v>
      </c>
      <c r="H472" s="11" t="str">
        <f ca="1">+WORLDCUP!BD61</f>
        <v>Paraguay</v>
      </c>
      <c r="I472" s="11" t="str">
        <f ca="1">+WORLDCUP!BD69</f>
        <v>Croacia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Bosnia y Herzegovina</v>
      </c>
      <c r="F473" s="11" t="str">
        <f ca="1">+WORLDCUP!BD60</f>
        <v>Escocia</v>
      </c>
      <c r="G473" s="11" t="str">
        <f ca="1">+WORLDCUP!BD58</f>
        <v>República Checa</v>
      </c>
      <c r="H473" s="11" t="str">
        <f ca="1">+WORLDCUP!BD61</f>
        <v>Paraguay</v>
      </c>
      <c r="I473" s="11" t="str">
        <f ca="1">+WORLDCUP!BD69</f>
        <v>Croacia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Bosnia y Herzegovina</v>
      </c>
      <c r="F474" s="11" t="str">
        <f ca="1">+WORLDCUP!BD60</f>
        <v>Escocia</v>
      </c>
      <c r="G474" s="11" t="str">
        <f ca="1">+WORLDCUP!BD58</f>
        <v>República Checa</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Bosnia y Herzegovina</v>
      </c>
      <c r="F475" s="11" t="str">
        <f ca="1">+WORLDCUP!BD60</f>
        <v>Escocia</v>
      </c>
      <c r="G475" s="11" t="str">
        <f ca="1">+WORLDCUP!BD58</f>
        <v>República Checa</v>
      </c>
      <c r="H475" s="11" t="str">
        <f ca="1">+WORLDCUP!BD61</f>
        <v>Paraguay</v>
      </c>
      <c r="I475" s="11" t="str">
        <f ca="1">+WORLDCUP!BD69</f>
        <v>Croacia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Bosnia y Herzegovina</v>
      </c>
      <c r="F476" s="11" t="str">
        <f ca="1">+WORLDCUP!BD60</f>
        <v>Escocia</v>
      </c>
      <c r="G476" s="11" t="str">
        <f ca="1">+WORLDCUP!BD58</f>
        <v>República Checa</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Bosnia y Herzegovina</v>
      </c>
      <c r="F477" s="11" t="str">
        <f ca="1">+WORLDCUP!BD60</f>
        <v>Escocia</v>
      </c>
      <c r="G477" s="11" t="str">
        <f ca="1">+WORLDCUP!BD58</f>
        <v>República Checa</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Cabo Verde</v>
      </c>
      <c r="D478" s="11" t="str">
        <f ca="1">+WORLDCUP!BD64</f>
        <v>Bélgica</v>
      </c>
      <c r="E478" s="11" t="str">
        <f ca="1">+WORLDCUP!BD59</f>
        <v>Bosnia y Herzegovina</v>
      </c>
      <c r="F478" s="11" t="str">
        <f ca="1">+WORLDCUP!BD60</f>
        <v>Escocia</v>
      </c>
      <c r="G478" s="11" t="str">
        <f ca="1">+WORLDCUP!BD58</f>
        <v>República Checa</v>
      </c>
      <c r="H478" s="11" t="str">
        <f ca="1">+WORLDCUP!BD61</f>
        <v>Paraguay</v>
      </c>
      <c r="I478" s="11" t="str">
        <f ca="1">+WORLDCUP!BD69</f>
        <v>Croacia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Cabo Verde</v>
      </c>
      <c r="D479" s="11" t="str">
        <f ca="1">+WORLDCUP!BD64</f>
        <v>Bélgica</v>
      </c>
      <c r="E479" s="11" t="str">
        <f ca="1">+WORLDCUP!BD59</f>
        <v>Bosnia y Herzegovina</v>
      </c>
      <c r="F479" s="11" t="str">
        <f ca="1">+WORLDCUP!BD60</f>
        <v>Escocia</v>
      </c>
      <c r="G479" s="11" t="str">
        <f ca="1">+WORLDCUP!BD58</f>
        <v>República Checa</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Cabo Verde</v>
      </c>
      <c r="D480" s="11" t="str">
        <f ca="1">+WORLDCUP!BD64</f>
        <v>Bélgica</v>
      </c>
      <c r="E480" s="11" t="str">
        <f ca="1">+WORLDCUP!BD59</f>
        <v>Bosnia y Herzegovina</v>
      </c>
      <c r="F480" s="11" t="str">
        <f ca="1">+WORLDCUP!BD60</f>
        <v>Escocia</v>
      </c>
      <c r="G480" s="11" t="str">
        <f ca="1">+WORLDCUP!BD58</f>
        <v>República Checa</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Cabo Verde</v>
      </c>
      <c r="D481" s="11" t="str">
        <f ca="1">+WORLDCUP!BD64</f>
        <v>Bélgica</v>
      </c>
      <c r="E481" s="11" t="str">
        <f ca="1">+WORLDCUP!BD59</f>
        <v>Bosnia y Herzegovina</v>
      </c>
      <c r="F481" s="11" t="str">
        <f ca="1">+WORLDCUP!BD60</f>
        <v>Escocia</v>
      </c>
      <c r="G481" s="11" t="str">
        <f ca="1">+WORLDCUP!BD58</f>
        <v>República Checa</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República Checa</v>
      </c>
      <c r="H482" s="11" t="str">
        <f ca="1">+WORLDCUP!BD63</f>
        <v>Suecia</v>
      </c>
      <c r="I482" s="11" t="str">
        <f ca="1">+WORLDCUP!BD69</f>
        <v>Croacia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República Checa</v>
      </c>
      <c r="H483" s="11" t="str">
        <f ca="1">+WORLDCUP!BD63</f>
        <v>Suecia</v>
      </c>
      <c r="I483" s="11" t="str">
        <f ca="1">+WORLDCUP!BD69</f>
        <v>Croacia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República Checa</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República Checa</v>
      </c>
      <c r="H485" s="11" t="str">
        <f ca="1">+WORLDCUP!BD63</f>
        <v>Suecia</v>
      </c>
      <c r="I485" s="11" t="str">
        <f ca="1">+WORLDCUP!BD69</f>
        <v>Croacia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República Checa</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República Checa</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Cabo Verde</v>
      </c>
      <c r="D488" s="11" t="str">
        <f ca="1">+WORLDCUP!BD63</f>
        <v>Suecia</v>
      </c>
      <c r="E488" s="11" t="str">
        <f ca="1">+WORLDCUP!BD59</f>
        <v>Bosnia y Herzegovina</v>
      </c>
      <c r="F488" s="11" t="str">
        <f ca="1">+WORLDCUP!BD60</f>
        <v>Escocia</v>
      </c>
      <c r="G488" s="11" t="str">
        <f ca="1">+WORLDCUP!BD58</f>
        <v>República Checa</v>
      </c>
      <c r="H488" s="11" t="str">
        <f ca="1">+WORLDCUP!BD61</f>
        <v>Paraguay</v>
      </c>
      <c r="I488" s="11" t="str">
        <f ca="1">+WORLDCUP!BD69</f>
        <v>Croacia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Cabo Verde</v>
      </c>
      <c r="D489" s="11" t="str">
        <f ca="1">+WORLDCUP!BD62</f>
        <v>Ecuador</v>
      </c>
      <c r="E489" s="11" t="str">
        <f ca="1">+WORLDCUP!BD59</f>
        <v>Bosnia y Herzegovina</v>
      </c>
      <c r="F489" s="11" t="str">
        <f ca="1">+WORLDCUP!BD60</f>
        <v>Escocia</v>
      </c>
      <c r="G489" s="11" t="str">
        <f ca="1">+WORLDCUP!BD58</f>
        <v>República Checa</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Cabo Verde</v>
      </c>
      <c r="D490" s="11" t="str">
        <f ca="1">+WORLDCUP!BD67</f>
        <v>Argelia</v>
      </c>
      <c r="E490" s="11" t="str">
        <f ca="1">+WORLDCUP!BD59</f>
        <v>Bosnia y Herzegovina</v>
      </c>
      <c r="F490" s="11" t="str">
        <f ca="1">+WORLDCUP!BD60</f>
        <v>Escocia</v>
      </c>
      <c r="G490" s="11" t="str">
        <f ca="1">+WORLDCUP!BD58</f>
        <v>República Checa</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Cabo Verde</v>
      </c>
      <c r="D491" s="11" t="str">
        <f ca="1">+WORLDCUP!BD62</f>
        <v>Ecuador</v>
      </c>
      <c r="E491" s="11" t="str">
        <f ca="1">+WORLDCUP!BD59</f>
        <v>Bosnia y Herzegovina</v>
      </c>
      <c r="F491" s="11" t="str">
        <f ca="1">+WORLDCUP!BD60</f>
        <v>Escocia</v>
      </c>
      <c r="G491" s="11" t="str">
        <f ca="1">+WORLDCUP!BD58</f>
        <v>República Checa</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Bélgica</v>
      </c>
      <c r="E492" s="11" t="str">
        <f ca="1">+WORLDCUP!BD59</f>
        <v>Bosnia y Herzegovina</v>
      </c>
      <c r="F492" s="11" t="str">
        <f ca="1">+WORLDCUP!BD61</f>
        <v>Paraguay</v>
      </c>
      <c r="G492" s="11" t="str">
        <f ca="1">+WORLDCUP!BD58</f>
        <v>República Checa</v>
      </c>
      <c r="H492" s="11" t="str">
        <f ca="1">+WORLDCUP!BD63</f>
        <v>Suecia</v>
      </c>
      <c r="I492" s="11" t="str">
        <f ca="1">+WORLDCUP!BD69</f>
        <v>Croacia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Bélgica</v>
      </c>
      <c r="E493" s="11" t="str">
        <f ca="1">+WORLDCUP!BD59</f>
        <v>Bosnia y Herzegovina</v>
      </c>
      <c r="F493" s="11" t="str">
        <f ca="1">+WORLDCUP!BD61</f>
        <v>Paraguay</v>
      </c>
      <c r="G493" s="11" t="str">
        <f ca="1">+WORLDCUP!BD58</f>
        <v>República Checa</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Bélgica</v>
      </c>
      <c r="E494" s="11" t="str">
        <f ca="1">+WORLDCUP!BD59</f>
        <v>Bosnia y Herzegovina</v>
      </c>
      <c r="F494" s="11" t="str">
        <f ca="1">+WORLDCUP!BD61</f>
        <v>Paraguay</v>
      </c>
      <c r="G494" s="11" t="str">
        <f ca="1">+WORLDCUP!BD58</f>
        <v>República Checa</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Bélgica</v>
      </c>
      <c r="E495" s="11" t="str">
        <f ca="1">+WORLDCUP!BD59</f>
        <v>Bosnia y Herzegovina</v>
      </c>
      <c r="F495" s="11" t="str">
        <f ca="1">+WORLDCUP!BD61</f>
        <v>Paraguay</v>
      </c>
      <c r="G495" s="11" t="str">
        <f ca="1">+WORLDCUP!BD58</f>
        <v>República Checa</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Cabo Verde</v>
      </c>
      <c r="D496" s="11" t="str">
        <f ca="1">+WORLDCUP!BD64</f>
        <v>Bélgica</v>
      </c>
      <c r="E496" s="11" t="str">
        <f ca="1">+WORLDCUP!BD59</f>
        <v>Bosnia y Herzegovina</v>
      </c>
      <c r="F496" s="11" t="str">
        <f ca="1">+WORLDCUP!BD60</f>
        <v>Escocia</v>
      </c>
      <c r="G496" s="11" t="str">
        <f ca="1">+WORLDCUP!BD58</f>
        <v>República Checa</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2026-06-24T05:20:28Z</dcterms:modified>
  <cp:category/>
</cp:coreProperties>
</file>