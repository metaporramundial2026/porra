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383" documentId="13_ncr:1_{AF5F34E1-3CEA-4E5C-856E-DF27FFEF07FE}" xr6:coauthVersionLast="47" xr6:coauthVersionMax="47" xr10:uidLastSave="{7B106541-7DBE-4EB0-8D07-0AC7113C364A}"/>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M205" i="46" s="1"/>
  <c r="L206" i="46"/>
  <c r="L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L244" i="46"/>
  <c r="L233" i="46"/>
  <c r="L232" i="46"/>
  <c r="M232" i="46" s="1"/>
  <c r="L223" i="46"/>
  <c r="L222" i="46"/>
  <c r="L221" i="46"/>
  <c r="L220" i="46"/>
  <c r="M220" i="46" s="1"/>
  <c r="L201" i="46"/>
  <c r="L200" i="46"/>
  <c r="L179" i="46"/>
  <c r="L178" i="46"/>
  <c r="L177" i="46"/>
  <c r="L176" i="46"/>
  <c r="L175" i="46"/>
  <c r="L174" i="46"/>
  <c r="M174" i="46" s="1"/>
  <c r="L173" i="46"/>
  <c r="L172" i="46"/>
  <c r="M172" i="46" s="1"/>
  <c r="L171" i="46"/>
  <c r="L170" i="46"/>
  <c r="L169" i="46"/>
  <c r="L168" i="46"/>
  <c r="L167" i="46"/>
  <c r="L165" i="46"/>
  <c r="L164" i="46"/>
  <c r="O247" i="46"/>
  <c r="P247" i="46" s="1"/>
  <c r="B247" i="46"/>
  <c r="A247" i="46"/>
  <c r="E247" i="46" s="1"/>
  <c r="N247" i="46"/>
  <c r="B244" i="46"/>
  <c r="A244" i="46"/>
  <c r="E244" i="46" s="1"/>
  <c r="O244" i="46"/>
  <c r="N244" i="46"/>
  <c r="A233" i="46"/>
  <c r="B233" i="46"/>
  <c r="Q233" i="46" s="1"/>
  <c r="B232" i="46"/>
  <c r="A232" i="46"/>
  <c r="E232" i="46"/>
  <c r="O233" i="46"/>
  <c r="N233" i="46"/>
  <c r="O232" i="46"/>
  <c r="N232" i="46"/>
  <c r="A220" i="46"/>
  <c r="E220" i="46"/>
  <c r="B220" i="46"/>
  <c r="Q220" i="46" s="1"/>
  <c r="B223" i="46"/>
  <c r="A223" i="46"/>
  <c r="B222" i="46"/>
  <c r="A222" i="46"/>
  <c r="E222" i="46" s="1"/>
  <c r="B221" i="46"/>
  <c r="A221" i="46"/>
  <c r="Q221" i="46" s="1"/>
  <c r="O223" i="46"/>
  <c r="N223" i="46"/>
  <c r="O222" i="46"/>
  <c r="N222" i="46"/>
  <c r="O221" i="46"/>
  <c r="M221" i="46" s="1"/>
  <c r="N221" i="46"/>
  <c r="O220" i="46"/>
  <c r="N220" i="46"/>
  <c r="P220" i="46" s="1"/>
  <c r="B207" i="46"/>
  <c r="A207" i="46"/>
  <c r="B206" i="46"/>
  <c r="A206" i="46"/>
  <c r="E206" i="46" s="1"/>
  <c r="B205" i="46"/>
  <c r="A205" i="46"/>
  <c r="E205" i="46" s="1"/>
  <c r="B204" i="46"/>
  <c r="A204" i="46"/>
  <c r="E204" i="46"/>
  <c r="B203" i="46"/>
  <c r="A203" i="46"/>
  <c r="B202" i="46"/>
  <c r="A202" i="46"/>
  <c r="Q202" i="46" s="1"/>
  <c r="E202" i="46"/>
  <c r="B201" i="46"/>
  <c r="A201" i="46"/>
  <c r="E201" i="46"/>
  <c r="B200" i="46"/>
  <c r="A200" i="46"/>
  <c r="O207" i="46"/>
  <c r="P207" i="46" s="1"/>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07" i="46"/>
  <c r="D366" i="36"/>
  <c r="D443" i="36"/>
  <c r="D43" i="36"/>
  <c r="AA156" i="3"/>
  <c r="M37" i="46"/>
  <c r="E179"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Q45" i="46"/>
  <c r="Q76" i="46"/>
  <c r="E233" i="46"/>
  <c r="M61" i="46"/>
  <c r="M45" i="46"/>
  <c r="M69" i="46"/>
  <c r="Q20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33" i="46"/>
  <c r="AO33" i="46"/>
  <c r="Q37" i="46"/>
  <c r="Q41" i="46"/>
  <c r="AR41" i="46"/>
  <c r="Q49" i="46"/>
  <c r="AU49" i="46"/>
  <c r="P204"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Q68" i="46"/>
  <c r="Q16" i="46"/>
  <c r="T65" i="46"/>
  <c r="Q29" i="46"/>
  <c r="Q14"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05" i="46"/>
  <c r="Q204" i="46"/>
  <c r="E200" i="46"/>
  <c r="M206"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W42" i="46"/>
  <c r="Q247" i="46" l="1"/>
  <c r="M247" i="46"/>
  <c r="M244" i="46"/>
  <c r="P233" i="46"/>
  <c r="P244" i="46"/>
  <c r="M233" i="46"/>
  <c r="Q232" i="46"/>
  <c r="Q222" i="46"/>
  <c r="E221" i="46"/>
  <c r="P221" i="46"/>
  <c r="M207" i="46"/>
  <c r="Q206" i="46"/>
  <c r="Q205" i="46"/>
  <c r="M201" i="46"/>
  <c r="P177" i="46"/>
  <c r="M177" i="46"/>
  <c r="P176" i="46"/>
  <c r="M175" i="46"/>
  <c r="F5" i="48" a="1"/>
  <c r="F5" i="48" s="1"/>
  <c r="P173" i="46"/>
  <c r="Q173" i="46"/>
  <c r="E171" i="46"/>
  <c r="E170" i="46"/>
  <c r="Q168" i="46"/>
  <c r="M165" i="46"/>
  <c r="E7" i="48"/>
  <c r="F6" i="48" a="1"/>
  <c r="F6" i="48"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F7" i="48" l="1" a="1"/>
  <c r="F7" i="48" s="1"/>
  <c r="E8" i="48"/>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AI28" i="32"/>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BD33" i="3"/>
  <c r="A56" i="3"/>
  <c r="AI47" i="32"/>
  <c r="AI35" i="32"/>
  <c r="A37" i="3"/>
  <c r="BD22" i="3"/>
  <c r="BC20" i="3"/>
  <c r="A6" i="3"/>
  <c r="BD7" i="3"/>
  <c r="BD21" i="3"/>
  <c r="A32" i="3"/>
  <c r="A63" i="3"/>
  <c r="BD36" i="3"/>
  <c r="E9" i="48" l="1"/>
  <c r="F8" i="48" a="1"/>
  <c r="F8" i="48" s="1"/>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AA7" i="3"/>
  <c r="AA4" i="3"/>
  <c r="AF8" i="3"/>
  <c r="AY6" i="3"/>
  <c r="O15" i="45"/>
  <c r="AB64" i="3" a="1"/>
  <c r="AB64" i="3" s="1"/>
  <c r="BC10" i="3"/>
  <c r="BC21" i="3"/>
  <c r="AY57" i="3"/>
  <c r="AA57" i="3"/>
  <c r="AF53" i="3"/>
  <c r="AA55" i="3"/>
  <c r="BC6" i="3"/>
  <c r="BC51" i="3"/>
  <c r="R14" i="45"/>
  <c r="AE63" i="3" a="1"/>
  <c r="AE63" i="3" s="1"/>
  <c r="AA15" i="3"/>
  <c r="AY14" i="3"/>
  <c r="AA12" i="3"/>
  <c r="AF16" i="3"/>
  <c r="BC33" i="3"/>
  <c r="AA23" i="3"/>
  <c r="AA20" i="3"/>
  <c r="AF24" i="3"/>
  <c r="AY22" i="3"/>
  <c r="AY9" i="3"/>
  <c r="AA6" i="3"/>
  <c r="AF5" i="3"/>
  <c r="AA8" i="3"/>
  <c r="BC50" i="3"/>
  <c r="AB70" i="3" a="1"/>
  <c r="AB70" i="3" s="1"/>
  <c r="O21" i="45"/>
  <c r="BC15" i="3"/>
  <c r="BC9" i="3"/>
  <c r="R11" i="45"/>
  <c r="AE60" i="3" a="1"/>
  <c r="AE60" i="3" s="1"/>
  <c r="AY94" i="3"/>
  <c r="AA94" i="3"/>
  <c r="AF96" i="3"/>
  <c r="AA92" i="3"/>
  <c r="O19" i="45"/>
  <c r="AB68" i="3" a="1"/>
  <c r="AB68" i="3" s="1"/>
  <c r="BC18" i="3"/>
  <c r="AF20" i="3"/>
  <c r="AF22" i="3"/>
  <c r="AA25" i="3"/>
  <c r="AY23" i="3"/>
  <c r="AY8" i="3"/>
  <c r="AF7" i="3"/>
  <c r="AA5" i="3"/>
  <c r="AF9" i="3"/>
  <c r="AY56" i="3"/>
  <c r="AA53" i="3"/>
  <c r="AF56" i="3"/>
  <c r="AF54" i="3"/>
  <c r="AA28" i="3"/>
  <c r="AY30" i="3"/>
  <c r="AA30" i="3"/>
  <c r="AF32" i="3"/>
  <c r="BC8" i="3"/>
  <c r="BC41" i="3"/>
  <c r="AF92" i="3"/>
  <c r="AY95" i="3"/>
  <c r="AA97" i="3"/>
  <c r="AF95" i="3"/>
  <c r="R23" i="45"/>
  <c r="AE72" i="3" a="1"/>
  <c r="AE72" i="3" s="1"/>
  <c r="BC34" i="3"/>
  <c r="AB29" i="3" a="1"/>
  <c r="AB29" i="3" s="1"/>
  <c r="C28" i="45"/>
  <c r="BC48" i="3"/>
  <c r="AA39" i="3"/>
  <c r="AF37" i="3"/>
  <c r="AA41" i="3"/>
  <c r="AY41" i="3"/>
  <c r="AA71" i="3"/>
  <c r="AY73" i="3"/>
  <c r="AA72" i="3"/>
  <c r="AF69" i="3"/>
  <c r="BC7" i="3"/>
  <c r="AF65" i="3"/>
  <c r="AA62" i="3"/>
  <c r="AY62" i="3"/>
  <c r="AA60" i="3"/>
  <c r="AA85" i="3"/>
  <c r="AF89" i="3"/>
  <c r="AY88" i="3"/>
  <c r="AF86" i="3"/>
  <c r="AY72" i="3"/>
  <c r="AA69" i="3"/>
  <c r="AF70" i="3"/>
  <c r="K46" i="46" s="1"/>
  <c r="AF73" i="3"/>
  <c r="BC25" i="3"/>
  <c r="AF76" i="3"/>
  <c r="AF79" i="3"/>
  <c r="AA80" i="3"/>
  <c r="AY79" i="3"/>
  <c r="O35" i="45"/>
  <c r="AB84" i="3" a="1"/>
  <c r="AB84" i="3" s="1"/>
  <c r="BC14" i="3"/>
  <c r="BC47" i="3"/>
  <c r="BC40" i="3"/>
  <c r="BC43" i="3"/>
  <c r="AY87" i="3"/>
  <c r="AF84" i="3"/>
  <c r="K26" i="46" s="1"/>
  <c r="AA89" i="3"/>
  <c r="AF87" i="3"/>
  <c r="BC11" i="3"/>
  <c r="BC29" i="3"/>
  <c r="BC36" i="3"/>
  <c r="AF78" i="3"/>
  <c r="AA77" i="3"/>
  <c r="AF80" i="3"/>
  <c r="AY80" i="3"/>
  <c r="AY64" i="3"/>
  <c r="AF62" i="3"/>
  <c r="AA61" i="3"/>
  <c r="AF64" i="3"/>
  <c r="BC22" i="3"/>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C28" i="3"/>
  <c r="BC37" i="3"/>
  <c r="K61" i="46" l="1"/>
  <c r="E10" i="48"/>
  <c r="F9" i="48" a="1"/>
  <c r="F9" i="48" s="1"/>
  <c r="O37" i="45"/>
  <c r="DT86" i="3"/>
  <c r="F29" i="45"/>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K12" i="46"/>
  <c r="C27" i="45"/>
  <c r="AB28" i="3" a="1"/>
  <c r="AB28" i="3" s="1"/>
  <c r="DT28" i="3"/>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DT5" i="3"/>
  <c r="K7" i="46"/>
  <c r="C4" i="45"/>
  <c r="AB5" i="3" a="1"/>
  <c r="AB5" i="3" s="1"/>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R5" i="45"/>
  <c r="DT54" i="3"/>
  <c r="K42" i="46"/>
  <c r="AE54" i="3" a="1"/>
  <c r="AE54" i="3" s="1"/>
  <c r="F6" i="45"/>
  <c r="AE7" i="3" a="1"/>
  <c r="AE7" i="3" s="1"/>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AE56" i="3" a="1"/>
  <c r="AE56" i="3" s="1"/>
  <c r="R7" i="45"/>
  <c r="DT56" i="3"/>
  <c r="K66"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K19" i="46"/>
  <c r="O4" i="45"/>
  <c r="DT53" i="3"/>
  <c r="AB53" i="3" a="1"/>
  <c r="AB53" i="3" s="1"/>
  <c r="O14" i="45"/>
  <c r="DT63" i="3"/>
  <c r="K45" i="46"/>
  <c r="AB63" i="3" a="1"/>
  <c r="AB63" i="3" s="1"/>
  <c r="K23" i="46"/>
  <c r="DT69" i="3"/>
  <c r="AB69" i="3" a="1"/>
  <c r="AB69" i="3" s="1"/>
  <c r="O20" i="45"/>
  <c r="AB41" i="3" a="1"/>
  <c r="AB41" i="3" s="1"/>
  <c r="K63" i="46"/>
  <c r="DT41" i="3"/>
  <c r="C40" i="45"/>
  <c r="BG34" i="3"/>
  <c r="BH6" i="3"/>
  <c r="F7" i="45"/>
  <c r="AE8" i="3" a="1"/>
  <c r="AE8" i="3" s="1"/>
  <c r="AE37" i="3" a="1"/>
  <c r="AE37" i="3" s="1"/>
  <c r="F36" i="45"/>
  <c r="K15" i="46"/>
  <c r="DT37" i="3"/>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F31" i="45"/>
  <c r="AE32" i="3" a="1"/>
  <c r="AE32" i="3" s="1"/>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BL49" i="3"/>
  <c r="BE49" i="3"/>
  <c r="BF49" i="3"/>
  <c r="BO49" i="3" s="1"/>
  <c r="BE34" i="3"/>
  <c r="BF34" i="3"/>
  <c r="BE36" i="3"/>
  <c r="BF36" i="3"/>
  <c r="BO36" i="3" s="1"/>
  <c r="BL9" i="3"/>
  <c r="BL25" i="3"/>
  <c r="BE10" i="3"/>
  <c r="BF10" i="3"/>
  <c r="BL35" i="3"/>
  <c r="BL10" i="3"/>
  <c r="BL27" i="3"/>
  <c r="BE13" i="3"/>
  <c r="BF13" i="3"/>
  <c r="BO13" i="3" s="1"/>
  <c r="BL39" i="3"/>
  <c r="BE16" i="3"/>
  <c r="BF16" i="3"/>
  <c r="BO16" i="3" s="1"/>
  <c r="BF11" i="3"/>
  <c r="BO11" i="3" s="1"/>
  <c r="BE11" i="3"/>
  <c r="BF9" i="3"/>
  <c r="BO9" i="3" s="1"/>
  <c r="BE9" i="3"/>
  <c r="BE14" i="3"/>
  <c r="BF14" i="3"/>
  <c r="BL52" i="3"/>
  <c r="BE19" i="3"/>
  <c r="BF19" i="3"/>
  <c r="BO19" i="3" s="1"/>
  <c r="BF33" i="3"/>
  <c r="BO33" i="3" s="1"/>
  <c r="BE33" i="3"/>
  <c r="BL7" i="3"/>
  <c r="BL32" i="3"/>
  <c r="BE21" i="3"/>
  <c r="BF21" i="3"/>
  <c r="BO21" i="3" s="1"/>
  <c r="BE43" i="3"/>
  <c r="BF43" i="3"/>
  <c r="BO43" i="3" s="1"/>
  <c r="G2" i="47"/>
  <c r="F2" i="47"/>
  <c r="E3" i="47"/>
  <c r="F3" i="47"/>
  <c r="E2" i="47"/>
  <c r="BF15" i="3"/>
  <c r="BO15" i="3" s="1"/>
  <c r="BE15" i="3"/>
  <c r="BL13" i="3"/>
  <c r="BF32" i="3"/>
  <c r="BO32" i="3" s="1"/>
  <c r="BE32" i="3"/>
  <c r="BE22" i="3"/>
  <c r="BF22" i="3"/>
  <c r="BE26" i="3"/>
  <c r="BF26" i="3"/>
  <c r="BF25" i="3"/>
  <c r="BO25" i="3" s="1"/>
  <c r="BE25" i="3"/>
  <c r="BL20" i="3"/>
  <c r="BF12" i="3"/>
  <c r="BO12" i="3" s="1"/>
  <c r="BE12" i="3"/>
  <c r="BF39" i="3"/>
  <c r="BO39" i="3" s="1"/>
  <c r="BE39" i="3"/>
  <c r="BL14" i="3"/>
  <c r="BL50" i="3"/>
  <c r="BL6" i="3"/>
  <c r="BL15" i="3"/>
  <c r="BL40" i="3"/>
  <c r="BE53" i="3"/>
  <c r="BF53" i="3"/>
  <c r="BO53" i="3" s="1"/>
  <c r="BL46" i="3"/>
  <c r="BF28" i="3"/>
  <c r="BO28" i="3" s="1"/>
  <c r="BE28" i="3"/>
  <c r="BL34" i="3"/>
  <c r="BL33" i="3"/>
  <c r="BE52" i="3"/>
  <c r="BF52" i="3"/>
  <c r="BO52" i="3" s="1"/>
  <c r="BF23" i="3"/>
  <c r="BO23" i="3" s="1"/>
  <c r="BE23" i="3"/>
  <c r="BF46" i="3"/>
  <c r="BE46" i="3"/>
  <c r="BL45" i="3"/>
  <c r="BE24" i="3"/>
  <c r="BF24" i="3"/>
  <c r="BO24" i="3" s="1"/>
  <c r="BF27" i="3"/>
  <c r="BO27" i="3" s="1"/>
  <c r="BE27" i="3"/>
  <c r="BF37" i="3"/>
  <c r="BO37" i="3" s="1"/>
  <c r="BE37" i="3"/>
  <c r="BF48" i="3"/>
  <c r="BO48" i="3" s="1"/>
  <c r="BE48" i="3"/>
  <c r="BE18" i="3"/>
  <c r="BF18" i="3"/>
  <c r="BL38" i="3"/>
  <c r="BF42" i="3"/>
  <c r="BE42" i="3"/>
  <c r="BE17" i="3"/>
  <c r="BF17" i="3"/>
  <c r="BO17" i="3" s="1"/>
  <c r="BL19" i="3"/>
  <c r="BL11" i="3"/>
  <c r="BF30" i="3"/>
  <c r="BE30" i="3"/>
  <c r="BL47" i="3"/>
  <c r="BL42" i="3"/>
  <c r="BL41" i="3"/>
  <c r="BL44" i="3"/>
  <c r="BE20" i="3"/>
  <c r="BF20" i="3"/>
  <c r="BO20" i="3" s="1"/>
  <c r="BE7" i="3"/>
  <c r="BF7" i="3"/>
  <c r="BO7" i="3" s="1"/>
  <c r="BE29" i="3"/>
  <c r="BF29" i="3"/>
  <c r="BO29" i="3" s="1"/>
  <c r="BF38" i="3"/>
  <c r="BE38" i="3"/>
  <c r="BL17" i="3"/>
  <c r="BF31" i="3"/>
  <c r="BO31" i="3" s="1"/>
  <c r="BE31" i="3"/>
  <c r="BL16" i="3"/>
  <c r="BL28" i="3"/>
  <c r="BF41" i="3"/>
  <c r="BO41" i="3" s="1"/>
  <c r="BE44" i="3"/>
  <c r="BF44" i="3"/>
  <c r="BO44" i="3" s="1"/>
  <c r="BE47" i="3"/>
  <c r="BF47" i="3"/>
  <c r="BO47" i="3" s="1"/>
  <c r="BE40" i="3"/>
  <c r="BF40" i="3"/>
  <c r="BO40" i="3" s="1"/>
  <c r="BE35" i="3"/>
  <c r="BF35" i="3"/>
  <c r="BO35" i="3" s="1"/>
  <c r="BL23" i="3"/>
  <c r="BL31" i="3"/>
  <c r="BF45" i="3"/>
  <c r="BO45" i="3" s="1"/>
  <c r="BE45" i="3"/>
  <c r="BL43" i="3"/>
  <c r="BL18" i="3"/>
  <c r="BE51" i="3"/>
  <c r="BF51" i="3"/>
  <c r="BO51" i="3" s="1"/>
  <c r="BE50" i="3"/>
  <c r="BF50" i="3"/>
  <c r="F11" i="48" l="1" a="1"/>
  <c r="F11" i="48" s="1"/>
  <c r="E12" i="48"/>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20" i="3" s="1"/>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0" i="3" l="1"/>
  <c r="CQ36" i="3"/>
  <c r="CQ10" i="3"/>
  <c r="CQ11" i="3"/>
  <c r="CQ19" i="3"/>
  <c r="CQ37" i="3"/>
  <c r="F36" i="48" a="1"/>
  <c r="F36" i="48" s="1"/>
  <c r="E37" i="48"/>
  <c r="CQ20" i="3"/>
  <c r="CQ15" i="3"/>
  <c r="CQ14" i="3"/>
  <c r="CQ43" i="3"/>
  <c r="CQ44" i="3"/>
  <c r="CQ31" i="3"/>
  <c r="CR36" i="3" l="1"/>
  <c r="CR37" i="3"/>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D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AG126" i="3" l="1"/>
  <c r="M134" i="3"/>
  <c r="AA134" i="3" s="1"/>
  <c r="D134" i="3" s="1"/>
  <c r="N127" i="3"/>
  <c r="AF127" i="3" s="1"/>
  <c r="AG116" i="3"/>
  <c r="M188" i="46"/>
  <c r="AE40" i="45"/>
  <c r="AG114" i="3"/>
  <c r="N126" i="3"/>
  <c r="AF126" i="3" s="1"/>
  <c r="AG113" i="3"/>
  <c r="M127" i="3"/>
  <c r="AA127" i="3" s="1"/>
  <c r="D127" i="3" s="1"/>
  <c r="AG112" i="3"/>
  <c r="M124" i="3"/>
  <c r="AA124" i="3" s="1"/>
  <c r="N124" i="3"/>
  <c r="AF124" i="3" s="1"/>
  <c r="D124" i="3" s="1"/>
  <c r="AG111" i="3"/>
  <c r="DM45" i="3"/>
  <c r="DN45" i="3" a="1"/>
  <c r="DN45" i="3" s="1"/>
  <c r="M125" i="3"/>
  <c r="AA125" i="3" s="1"/>
  <c r="AG110" i="3"/>
  <c r="AG109" i="3"/>
  <c r="N125" i="3"/>
  <c r="AF125" i="3" s="1"/>
  <c r="D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9" i="3" l="1"/>
  <c r="AF139" i="3" s="1"/>
  <c r="AG134" i="3"/>
  <c r="N134" i="3"/>
  <c r="AF134" i="3" s="1"/>
  <c r="C223" i="46" s="1"/>
  <c r="AG127" i="3"/>
  <c r="AI43" i="45"/>
  <c r="M213" i="46"/>
  <c r="N132" i="3"/>
  <c r="AF132" i="3" s="1"/>
  <c r="AG125" i="3"/>
  <c r="M132" i="3"/>
  <c r="AA132" i="3" s="1"/>
  <c r="D132" i="3" s="1"/>
  <c r="AG124" i="3"/>
  <c r="N133" i="3"/>
  <c r="AF133" i="3" s="1"/>
  <c r="D133" i="3" s="1"/>
  <c r="AG123" i="3"/>
  <c r="M133" i="3"/>
  <c r="AA133" i="3" s="1"/>
  <c r="AG122" i="3"/>
  <c r="M131" i="3"/>
  <c r="AA131" i="3" s="1"/>
  <c r="D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AF147" i="3" l="1"/>
  <c r="D139" i="3"/>
  <c r="M229" i="46"/>
  <c r="AM38" i="45" a="1"/>
  <c r="AM38" i="45" s="1"/>
  <c r="AG133" i="3"/>
  <c r="M139" i="3"/>
  <c r="AA139" i="3" s="1"/>
  <c r="AG132" i="3"/>
  <c r="N138" i="3"/>
  <c r="AF138" i="3" s="1"/>
  <c r="M138" i="3"/>
  <c r="AA138" i="3" s="1"/>
  <c r="AG131" i="3"/>
  <c r="DT134" i="3"/>
  <c r="K223" i="46"/>
  <c r="AI44" i="45"/>
  <c r="M217" i="46"/>
  <c r="AI20" i="45"/>
  <c r="M215" i="46"/>
  <c r="C221" i="46"/>
  <c r="M211" i="46"/>
  <c r="AI19" i="45"/>
  <c r="K221" i="46"/>
  <c r="DT132" i="3"/>
  <c r="B24" i="50"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AA151" i="3" l="1"/>
  <c r="H147" i="3"/>
  <c r="AU26" i="45"/>
  <c r="M241" i="46"/>
  <c r="AF143" i="3"/>
  <c r="H139" i="3"/>
  <c r="N147" i="3"/>
  <c r="AG139" i="3"/>
  <c r="N143" i="3"/>
  <c r="AA143" i="3"/>
  <c r="H138" i="3"/>
  <c r="D138" i="3"/>
  <c r="AA147" i="3"/>
  <c r="M227" i="46"/>
  <c r="AM37" i="45"/>
  <c r="DT139" i="3"/>
  <c r="C233" i="46"/>
  <c r="K233" i="46"/>
  <c r="M228" i="46"/>
  <c r="AM14" i="45"/>
  <c r="AM13" i="45"/>
  <c r="M226" i="46"/>
  <c r="K232" i="46"/>
  <c r="DT138" i="3"/>
  <c r="C232" i="46"/>
  <c r="BG216" i="46"/>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AA150" i="3" l="1"/>
  <c r="D147" i="3"/>
  <c r="AG147" i="3" s="1"/>
  <c r="M251" i="46"/>
  <c r="BB23" i="45"/>
  <c r="AG151" i="3"/>
  <c r="D143" i="3"/>
  <c r="AG143" i="3" s="1"/>
  <c r="AA152" i="3"/>
  <c r="AQ32" i="45"/>
  <c r="M237" i="46"/>
  <c r="C247" i="46"/>
  <c r="AU25" i="45"/>
  <c r="K247" i="46"/>
  <c r="DT147" i="3"/>
  <c r="M240" i="46"/>
  <c r="AG138" i="3"/>
  <c r="M147" i="3"/>
  <c r="M143" i="3"/>
  <c r="AQ31" i="45"/>
  <c r="C244" i="46"/>
  <c r="M236" i="46"/>
  <c r="DT143" i="3"/>
  <c r="K244" i="46"/>
  <c r="DO233" i="46"/>
  <c r="EM232" i="46"/>
  <c r="CN232" i="46"/>
  <c r="FE233" i="46"/>
  <c r="DI233" i="46"/>
  <c r="FK233" i="46"/>
  <c r="DU232" i="46"/>
  <c r="BV233" i="46"/>
  <c r="Z232" i="46"/>
  <c r="DL233" i="46"/>
  <c r="AF232" i="46"/>
  <c r="Z233" i="46"/>
  <c r="CT233" i="46"/>
  <c r="W233" i="46"/>
  <c r="BM232" i="46"/>
  <c r="DU233" i="46"/>
  <c r="CH232" i="46"/>
  <c r="AF233" i="46"/>
  <c r="DR233" i="46"/>
  <c r="EM233" i="46"/>
  <c r="AI233" i="46"/>
  <c r="BS233" i="46"/>
  <c r="EV233" i="46"/>
  <c r="AX232" i="46"/>
  <c r="BD233" i="46"/>
  <c r="ES233" i="46"/>
  <c r="CZ233" i="46"/>
  <c r="BV232" i="46"/>
  <c r="T232" i="46"/>
  <c r="EA233" i="46"/>
  <c r="FH232" i="46"/>
  <c r="BJ232" i="46"/>
  <c r="DL232" i="46"/>
  <c r="DF233" i="46"/>
  <c r="BP232" i="46"/>
  <c r="CW233" i="46"/>
  <c r="CT232" i="46"/>
  <c r="DC233" i="46"/>
  <c r="AC233" i="46"/>
  <c r="EY233" i="46"/>
  <c r="EV232" i="46"/>
  <c r="EJ232" i="46"/>
  <c r="AI232" i="46"/>
  <c r="CQ233" i="46"/>
  <c r="CE232" i="46"/>
  <c r="FK232" i="46"/>
  <c r="EG232" i="46"/>
  <c r="BJ233" i="46"/>
  <c r="T233" i="46"/>
  <c r="CK232" i="46"/>
  <c r="W232" i="46"/>
  <c r="ED233" i="46"/>
  <c r="CQ232" i="46"/>
  <c r="AR233" i="46"/>
  <c r="EY232" i="46"/>
  <c r="CN233" i="46"/>
  <c r="BD232" i="46"/>
  <c r="BA233" i="46"/>
  <c r="DI232" i="46"/>
  <c r="CH233" i="46"/>
  <c r="AU233" i="46"/>
  <c r="DR232" i="46"/>
  <c r="FB233" i="46"/>
  <c r="CK233" i="46"/>
  <c r="BY233" i="46"/>
  <c r="EP233" i="46"/>
  <c r="EJ233" i="46"/>
  <c r="BP233" i="46"/>
  <c r="DO232" i="46"/>
  <c r="AL233" i="46"/>
  <c r="CE233" i="46"/>
  <c r="AR232" i="46"/>
  <c r="FE232" i="46"/>
  <c r="BY232" i="46"/>
  <c r="CB233" i="46"/>
  <c r="AX233" i="46"/>
  <c r="BM233" i="46"/>
  <c r="AC232" i="46"/>
  <c r="BS232" i="46"/>
  <c r="AO233" i="46"/>
  <c r="EG233" i="46"/>
  <c r="EP232" i="46"/>
  <c r="FB232" i="46"/>
  <c r="DX233" i="46"/>
  <c r="CZ232" i="46"/>
  <c r="ES232" i="46"/>
  <c r="CB232" i="46"/>
  <c r="AL232" i="46"/>
  <c r="AU232" i="46"/>
  <c r="DC232" i="46"/>
  <c r="BG232" i="46"/>
  <c r="ED232" i="46"/>
  <c r="AO232" i="46"/>
  <c r="CW232" i="46"/>
  <c r="FH233" i="46"/>
  <c r="BG233" i="46"/>
  <c r="BA232" i="46"/>
  <c r="DX232" i="46"/>
  <c r="EA232" i="46"/>
  <c r="DF232" i="46"/>
  <c r="DO227" i="46"/>
  <c r="DF229" i="46"/>
  <c r="AL227" i="46"/>
  <c r="BP227" i="46"/>
  <c r="DC229" i="46"/>
  <c r="EP229" i="46"/>
  <c r="CZ226" i="46"/>
  <c r="BV229" i="46"/>
  <c r="W228" i="46"/>
  <c r="EG228" i="46"/>
  <c r="BS228" i="46"/>
  <c r="T229" i="46"/>
  <c r="CW227" i="46"/>
  <c r="CW226" i="46"/>
  <c r="EG227" i="46"/>
  <c r="DL227" i="46"/>
  <c r="Z227" i="46"/>
  <c r="FB228" i="46"/>
  <c r="CK227" i="46"/>
  <c r="EA227" i="46"/>
  <c r="EG229" i="46"/>
  <c r="BJ227" i="46"/>
  <c r="EY227" i="46"/>
  <c r="AO226" i="46"/>
  <c r="Z226" i="46"/>
  <c r="CT229" i="46"/>
  <c r="AU228" i="46"/>
  <c r="DR226" i="46"/>
  <c r="AL228" i="46"/>
  <c r="AF229" i="46"/>
  <c r="FE226" i="46"/>
  <c r="BA229" i="46"/>
  <c r="ES226" i="46"/>
  <c r="EY226" i="46"/>
  <c r="CW228" i="46"/>
  <c r="BG227" i="46"/>
  <c r="CW229" i="46"/>
  <c r="CN227" i="46"/>
  <c r="BM228" i="46"/>
  <c r="AI226" i="46"/>
  <c r="BA226" i="46"/>
  <c r="DU226" i="46"/>
  <c r="BS229" i="46"/>
  <c r="ED228" i="46"/>
  <c r="CK229" i="46"/>
  <c r="DO229" i="46"/>
  <c r="EP228" i="46"/>
  <c r="CH229" i="46"/>
  <c r="CB228" i="46"/>
  <c r="BG228" i="46"/>
  <c r="CB227" i="46"/>
  <c r="W229" i="46"/>
  <c r="DL226" i="46"/>
  <c r="BD227" i="46"/>
  <c r="AC226" i="46"/>
  <c r="DO228" i="46"/>
  <c r="CH226" i="46"/>
  <c r="DR227" i="46"/>
  <c r="CZ227" i="46"/>
  <c r="CN229" i="46"/>
  <c r="FE228" i="46"/>
  <c r="AC229" i="46"/>
  <c r="DI226" i="46"/>
  <c r="AO228" i="46"/>
  <c r="DF227" i="46"/>
  <c r="AI228" i="46"/>
  <c r="BD229" i="46"/>
  <c r="CZ229" i="46"/>
  <c r="AX226" i="46"/>
  <c r="FK227" i="46"/>
  <c r="AF227" i="46"/>
  <c r="FB227" i="46"/>
  <c r="DO226" i="46"/>
  <c r="FK226" i="46"/>
  <c r="EV226" i="46"/>
  <c r="CB229" i="46"/>
  <c r="DC228" i="46"/>
  <c r="BD226" i="46"/>
  <c r="AR229" i="46"/>
  <c r="W227" i="46"/>
  <c r="CE226" i="46"/>
  <c r="DC227" i="46"/>
  <c r="T227" i="46"/>
  <c r="BJ226" i="46"/>
  <c r="W226" i="46"/>
  <c r="BY228" i="46"/>
  <c r="EA226" i="46"/>
  <c r="DX226" i="46"/>
  <c r="AF226" i="46"/>
  <c r="EV228" i="46"/>
  <c r="AL226" i="46"/>
  <c r="CT227" i="46"/>
  <c r="FH227" i="46"/>
  <c r="FE229" i="46"/>
  <c r="CE228" i="46"/>
  <c r="EY228" i="46"/>
  <c r="DI228" i="46"/>
  <c r="EJ228" i="46"/>
  <c r="DI227" i="46"/>
  <c r="CK228" i="46"/>
  <c r="EJ229" i="46"/>
  <c r="CQ228" i="46"/>
  <c r="EV227" i="46"/>
  <c r="DU228" i="46"/>
  <c r="BY227" i="46"/>
  <c r="CH227" i="46"/>
  <c r="BV228" i="46"/>
  <c r="BD228" i="46"/>
  <c r="EP226" i="46"/>
  <c r="BM227" i="46"/>
  <c r="AC227" i="46"/>
  <c r="CE229" i="46"/>
  <c r="EM226" i="46"/>
  <c r="DU227" i="46"/>
  <c r="FB229" i="46"/>
  <c r="BP226" i="46"/>
  <c r="DF228" i="46"/>
  <c r="AR228" i="46"/>
  <c r="CT226" i="46"/>
  <c r="ES229" i="46"/>
  <c r="ES228" i="46"/>
  <c r="CN226" i="46"/>
  <c r="AO229" i="46"/>
  <c r="FH226" i="46"/>
  <c r="CN228" i="46"/>
  <c r="EV229" i="46"/>
  <c r="CE227" i="46"/>
  <c r="ED229" i="46"/>
  <c r="EM227" i="46"/>
  <c r="BA228" i="46"/>
  <c r="BY226" i="46"/>
  <c r="AU229" i="46"/>
  <c r="CQ229" i="46"/>
  <c r="DR229" i="46"/>
  <c r="BG229" i="46"/>
  <c r="AF228" i="46"/>
  <c r="AC228" i="46"/>
  <c r="EJ226" i="46"/>
  <c r="ED227" i="46"/>
  <c r="BP229" i="46"/>
  <c r="ES227" i="46"/>
  <c r="FK229" i="46"/>
  <c r="AI227" i="46"/>
  <c r="AU226" i="46"/>
  <c r="DL229" i="46"/>
  <c r="CB226" i="46"/>
  <c r="EM228" i="46"/>
  <c r="EY229" i="46"/>
  <c r="DF226" i="46"/>
  <c r="FE227" i="46"/>
  <c r="EP227" i="46"/>
  <c r="BM226" i="46"/>
  <c r="DX229" i="46"/>
  <c r="BJ229" i="46"/>
  <c r="DX227" i="46"/>
  <c r="Z229" i="46"/>
  <c r="FH229" i="46"/>
  <c r="AR227" i="46"/>
  <c r="Z228" i="46"/>
  <c r="ED226" i="46"/>
  <c r="CK226" i="46"/>
  <c r="DL228" i="46"/>
  <c r="CQ226" i="46"/>
  <c r="CQ227" i="46"/>
  <c r="EA229" i="46"/>
  <c r="AI229" i="46"/>
  <c r="BG226" i="46"/>
  <c r="AU227" i="46"/>
  <c r="BV226" i="46"/>
  <c r="BM229" i="46"/>
  <c r="DR228" i="46"/>
  <c r="AO227" i="46"/>
  <c r="AL229" i="46"/>
  <c r="EM229" i="46"/>
  <c r="FK228" i="46"/>
  <c r="BJ228" i="46"/>
  <c r="BV227" i="46"/>
  <c r="BS226" i="46"/>
  <c r="DX228" i="46"/>
  <c r="FH228" i="46"/>
  <c r="EJ227" i="46"/>
  <c r="EG226" i="46"/>
  <c r="T228" i="46"/>
  <c r="EA228" i="46"/>
  <c r="CT228" i="46"/>
  <c r="AR226" i="46"/>
  <c r="AX227" i="46"/>
  <c r="FB226" i="46"/>
  <c r="AX229" i="46"/>
  <c r="DI229" i="46"/>
  <c r="CZ228" i="46"/>
  <c r="CH228" i="46"/>
  <c r="BA227" i="46"/>
  <c r="DC226" i="46"/>
  <c r="BP228" i="46"/>
  <c r="AX228" i="46"/>
  <c r="BS227" i="46"/>
  <c r="T226" i="46"/>
  <c r="BY229" i="46"/>
  <c r="DU229" i="46"/>
  <c r="CZ224" i="46"/>
  <c r="DR224" i="46"/>
  <c r="DX224" i="46"/>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DX234" i="46" l="1"/>
  <c r="CW234" i="46"/>
  <c r="AU234" i="46"/>
  <c r="AG150" i="3"/>
  <c r="BA21" i="45"/>
  <c r="M250" i="46"/>
  <c r="EY251" i="46"/>
  <c r="AU251" i="46"/>
  <c r="CT251" i="46"/>
  <c r="EG251" i="46"/>
  <c r="BD251" i="46"/>
  <c r="DC251" i="46"/>
  <c r="Z251" i="46"/>
  <c r="BM251" i="46"/>
  <c r="EP251" i="46"/>
  <c r="DX251" i="46"/>
  <c r="CK251" i="46"/>
  <c r="ED251" i="46"/>
  <c r="BP251" i="46"/>
  <c r="BY251" i="46"/>
  <c r="EV251" i="46"/>
  <c r="CW251" i="46"/>
  <c r="W251" i="46"/>
  <c r="AR251" i="46"/>
  <c r="EM251" i="46"/>
  <c r="FH251" i="46"/>
  <c r="CE251" i="46"/>
  <c r="T251" i="46"/>
  <c r="AI251" i="46"/>
  <c r="CN251" i="46"/>
  <c r="CQ251" i="46"/>
  <c r="AL251" i="46"/>
  <c r="DO251" i="46"/>
  <c r="AX251" i="46"/>
  <c r="CH251" i="46"/>
  <c r="DU251" i="46"/>
  <c r="BA251" i="46"/>
  <c r="BJ251" i="46"/>
  <c r="CZ251" i="46"/>
  <c r="FK251" i="46"/>
  <c r="BS251" i="46"/>
  <c r="DI251" i="46"/>
  <c r="AC251" i="46"/>
  <c r="AF251" i="46"/>
  <c r="DL251" i="46"/>
  <c r="FE251" i="46"/>
  <c r="FB251" i="46"/>
  <c r="DR251" i="46"/>
  <c r="ES251" i="46"/>
  <c r="CB251" i="46"/>
  <c r="DF251" i="46"/>
  <c r="EJ251" i="46"/>
  <c r="AO251" i="46"/>
  <c r="BG251" i="46"/>
  <c r="EA251" i="46"/>
  <c r="BV251" i="46"/>
  <c r="BN13" i="45"/>
  <c r="BN5" i="45"/>
  <c r="BN39" i="45"/>
  <c r="BN14" i="45"/>
  <c r="BN48" i="45"/>
  <c r="BN25" i="45"/>
  <c r="BN8" i="45"/>
  <c r="BN40" i="45"/>
  <c r="BN17" i="45"/>
  <c r="BN27" i="45"/>
  <c r="BN46" i="45"/>
  <c r="BN10" i="45"/>
  <c r="BN11" i="45"/>
  <c r="BN7" i="45"/>
  <c r="BN38" i="45"/>
  <c r="BN44" i="45"/>
  <c r="BN20" i="45"/>
  <c r="BN12" i="45"/>
  <c r="BN16" i="45"/>
  <c r="BN31" i="45"/>
  <c r="BN51" i="45"/>
  <c r="BN6" i="45"/>
  <c r="BN41" i="45"/>
  <c r="BN37" i="45"/>
  <c r="BN34" i="45"/>
  <c r="BN36" i="45"/>
  <c r="BN22" i="45"/>
  <c r="BN23" i="45"/>
  <c r="BN45" i="45"/>
  <c r="BN42" i="45"/>
  <c r="BN47" i="45"/>
  <c r="BN21" i="45"/>
  <c r="BN33" i="45"/>
  <c r="BN50" i="45"/>
  <c r="BN18" i="45"/>
  <c r="BN4" i="45"/>
  <c r="BN35" i="45"/>
  <c r="BN9" i="45"/>
  <c r="BN49" i="45"/>
  <c r="BN43" i="45"/>
  <c r="BN26" i="45"/>
  <c r="BN30" i="45"/>
  <c r="BN29" i="45"/>
  <c r="BN19" i="45"/>
  <c r="BN24" i="45"/>
  <c r="BN28" i="45"/>
  <c r="BN32" i="45"/>
  <c r="BN15" i="45"/>
  <c r="M252" i="46"/>
  <c r="AZ25" i="45"/>
  <c r="AG152" i="3"/>
  <c r="EY234" i="46"/>
  <c r="BV234" i="46"/>
  <c r="BA234" i="46"/>
  <c r="BG237" i="46"/>
  <c r="DI236" i="46"/>
  <c r="BD236" i="46"/>
  <c r="AU237" i="46"/>
  <c r="DO237" i="46"/>
  <c r="FB236" i="46"/>
  <c r="BJ236" i="46"/>
  <c r="T237" i="46"/>
  <c r="CT236" i="46"/>
  <c r="BY236" i="46"/>
  <c r="EP237" i="46"/>
  <c r="CB237" i="46"/>
  <c r="FH237" i="46"/>
  <c r="ES236" i="46"/>
  <c r="BP236" i="46"/>
  <c r="BJ237" i="46"/>
  <c r="DC236" i="46"/>
  <c r="AL237" i="46"/>
  <c r="BV237" i="46"/>
  <c r="T236" i="46"/>
  <c r="AO236" i="46"/>
  <c r="FK237" i="46"/>
  <c r="BS237" i="46"/>
  <c r="DC237" i="46"/>
  <c r="ES237" i="46"/>
  <c r="CT237" i="46"/>
  <c r="CH236" i="46"/>
  <c r="DO236" i="46"/>
  <c r="FB237" i="46"/>
  <c r="EP236" i="46"/>
  <c r="AX236" i="46"/>
  <c r="CW236" i="46"/>
  <c r="AC237" i="46"/>
  <c r="BG236" i="46"/>
  <c r="EJ237" i="46"/>
  <c r="W237" i="46"/>
  <c r="EV236" i="46"/>
  <c r="EA237" i="46"/>
  <c r="BS236" i="46"/>
  <c r="BM237" i="46"/>
  <c r="ED237" i="46"/>
  <c r="AR236" i="46"/>
  <c r="AI236" i="46"/>
  <c r="BY237" i="46"/>
  <c r="FH236" i="46"/>
  <c r="BA236" i="46"/>
  <c r="DL237" i="46"/>
  <c r="EA236" i="46"/>
  <c r="DR237" i="46"/>
  <c r="CZ237" i="46"/>
  <c r="DU237" i="46"/>
  <c r="BM236" i="46"/>
  <c r="AO237" i="46"/>
  <c r="FE236" i="46"/>
  <c r="CH237" i="46"/>
  <c r="EY236" i="46"/>
  <c r="DR236" i="46"/>
  <c r="DU236" i="46"/>
  <c r="AL236" i="46"/>
  <c r="ED236" i="46"/>
  <c r="CK237" i="46"/>
  <c r="FK236" i="46"/>
  <c r="CE236" i="46"/>
  <c r="DF237" i="46"/>
  <c r="AF237" i="46"/>
  <c r="EY237" i="46"/>
  <c r="AU236" i="46"/>
  <c r="DX237" i="46"/>
  <c r="EG237" i="46"/>
  <c r="AX237" i="46"/>
  <c r="DI237" i="46"/>
  <c r="CQ237" i="46"/>
  <c r="AI237" i="46"/>
  <c r="EV237" i="46"/>
  <c r="CZ236" i="46"/>
  <c r="CN237" i="46"/>
  <c r="BP237" i="46"/>
  <c r="CN236" i="46"/>
  <c r="DX236" i="46"/>
  <c r="CW237" i="46"/>
  <c r="EJ236" i="46"/>
  <c r="BD237" i="46"/>
  <c r="AR237" i="46"/>
  <c r="BV236" i="46"/>
  <c r="CE237" i="46"/>
  <c r="AC236" i="46"/>
  <c r="Z236" i="46"/>
  <c r="CK236" i="46"/>
  <c r="EG236" i="46"/>
  <c r="W236" i="46"/>
  <c r="EM236" i="46"/>
  <c r="DL236" i="46"/>
  <c r="DF236" i="46"/>
  <c r="EM237" i="46"/>
  <c r="Z237" i="46"/>
  <c r="CB236" i="46"/>
  <c r="CQ236" i="46"/>
  <c r="BA237" i="46"/>
  <c r="AF236" i="46"/>
  <c r="FE237" i="46"/>
  <c r="DL240" i="46"/>
  <c r="AI241" i="46"/>
  <c r="BD241" i="46"/>
  <c r="DX241" i="46"/>
  <c r="AX240" i="46"/>
  <c r="CN240" i="46"/>
  <c r="DI241" i="46"/>
  <c r="CW241" i="46"/>
  <c r="AU240" i="46"/>
  <c r="EJ241" i="46"/>
  <c r="DC241" i="46"/>
  <c r="AC240" i="46"/>
  <c r="EA240" i="46"/>
  <c r="BS240" i="46"/>
  <c r="W241" i="46"/>
  <c r="DU240" i="46"/>
  <c r="FH241" i="46"/>
  <c r="CK241" i="46"/>
  <c r="DR240" i="46"/>
  <c r="CB241" i="46"/>
  <c r="T240" i="46"/>
  <c r="BM241" i="46"/>
  <c r="ES240" i="46"/>
  <c r="AR241" i="46"/>
  <c r="BY240" i="46"/>
  <c r="FB241" i="46"/>
  <c r="AL240" i="46"/>
  <c r="CT240" i="46"/>
  <c r="BY241" i="46"/>
  <c r="FK241" i="46"/>
  <c r="BD240" i="46"/>
  <c r="DX240" i="46"/>
  <c r="CQ241" i="46"/>
  <c r="AX241" i="46"/>
  <c r="EJ240" i="46"/>
  <c r="EP240" i="46"/>
  <c r="BJ240" i="46"/>
  <c r="CE240" i="46"/>
  <c r="EY240" i="46"/>
  <c r="AO240" i="46"/>
  <c r="EV241" i="46"/>
  <c r="AO241" i="46"/>
  <c r="ES241" i="46"/>
  <c r="EP241" i="46"/>
  <c r="Z241" i="46"/>
  <c r="DU241" i="46"/>
  <c r="BM240" i="46"/>
  <c r="FB240" i="46"/>
  <c r="FE240" i="46"/>
  <c r="EA241" i="46"/>
  <c r="DI240" i="46"/>
  <c r="ED240" i="46"/>
  <c r="BA241" i="46"/>
  <c r="EG241" i="46"/>
  <c r="AL241" i="46"/>
  <c r="T241" i="46"/>
  <c r="FK240" i="46"/>
  <c r="DF241" i="46"/>
  <c r="CN241" i="46"/>
  <c r="EM240" i="46"/>
  <c r="CW240" i="46"/>
  <c r="AU241" i="46"/>
  <c r="AI240" i="46"/>
  <c r="CQ240" i="46"/>
  <c r="CZ240" i="46"/>
  <c r="CH240" i="46"/>
  <c r="DC240" i="46"/>
  <c r="FE241" i="46"/>
  <c r="EG240" i="46"/>
  <c r="FH240" i="46"/>
  <c r="AF241" i="46"/>
  <c r="CZ241" i="46"/>
  <c r="Z240" i="46"/>
  <c r="Z242" i="46" s="1"/>
  <c r="BV241" i="46"/>
  <c r="AF240" i="46"/>
  <c r="BP241" i="46"/>
  <c r="DO240" i="46"/>
  <c r="CK240" i="46"/>
  <c r="BG241" i="46"/>
  <c r="ED241" i="46"/>
  <c r="W240" i="46"/>
  <c r="BV240" i="46"/>
  <c r="CB240" i="46"/>
  <c r="BS241" i="46"/>
  <c r="BG240" i="46"/>
  <c r="DR241" i="46"/>
  <c r="CH241" i="46"/>
  <c r="CE241" i="46"/>
  <c r="EY241" i="46"/>
  <c r="EM241" i="46"/>
  <c r="AR240" i="46"/>
  <c r="DF240" i="46"/>
  <c r="BJ241" i="46"/>
  <c r="BA240" i="46"/>
  <c r="DL241" i="46"/>
  <c r="CT241" i="46"/>
  <c r="DO241" i="46"/>
  <c r="EV240" i="46"/>
  <c r="BP240" i="46"/>
  <c r="AC241" i="46"/>
  <c r="DL247" i="46"/>
  <c r="DL248" i="46" s="1"/>
  <c r="EA247" i="46"/>
  <c r="EA248" i="46" s="1"/>
  <c r="AR247" i="46"/>
  <c r="AR248" i="46" s="1"/>
  <c r="EY247" i="46"/>
  <c r="EY248" i="46" s="1"/>
  <c r="BV247" i="46"/>
  <c r="BV248" i="46" s="1"/>
  <c r="BP247" i="46"/>
  <c r="BP248" i="46" s="1"/>
  <c r="EG247" i="46"/>
  <c r="EG248" i="46" s="1"/>
  <c r="EM247" i="46"/>
  <c r="EM248" i="46" s="1"/>
  <c r="DC247" i="46"/>
  <c r="DC248" i="46" s="1"/>
  <c r="AU247" i="46"/>
  <c r="AU248" i="46" s="1"/>
  <c r="BG247" i="46"/>
  <c r="BG248" i="46" s="1"/>
  <c r="CB247" i="46"/>
  <c r="CB248" i="46" s="1"/>
  <c r="CW247" i="46"/>
  <c r="CW248" i="46" s="1"/>
  <c r="DR247" i="46"/>
  <c r="DR248" i="46" s="1"/>
  <c r="FK247" i="46"/>
  <c r="FK248" i="46" s="1"/>
  <c r="CT247" i="46"/>
  <c r="CT248" i="46" s="1"/>
  <c r="CN247" i="46"/>
  <c r="CN248" i="46" s="1"/>
  <c r="DI247" i="46"/>
  <c r="DI248" i="46" s="1"/>
  <c r="Z247" i="46"/>
  <c r="Z248" i="46" s="1"/>
  <c r="CQ247" i="46"/>
  <c r="CQ248" i="46" s="1"/>
  <c r="BD247" i="46"/>
  <c r="BD248" i="46" s="1"/>
  <c r="DO247" i="46"/>
  <c r="DO248" i="46" s="1"/>
  <c r="DU247" i="46"/>
  <c r="DU248" i="46" s="1"/>
  <c r="CZ247" i="46"/>
  <c r="CZ248" i="46" s="1"/>
  <c r="AC247" i="46"/>
  <c r="AC248" i="46" s="1"/>
  <c r="EP247" i="46"/>
  <c r="EP248" i="46" s="1"/>
  <c r="BY247" i="46"/>
  <c r="BY248" i="46" s="1"/>
  <c r="CK247" i="46"/>
  <c r="CK248" i="46" s="1"/>
  <c r="AI247" i="46"/>
  <c r="AI248" i="46" s="1"/>
  <c r="BJ247" i="46"/>
  <c r="BJ248" i="46" s="1"/>
  <c r="EV247" i="46"/>
  <c r="EV248" i="46" s="1"/>
  <c r="ES247" i="46"/>
  <c r="ES248" i="46" s="1"/>
  <c r="DX247" i="46"/>
  <c r="DX248" i="46" s="1"/>
  <c r="T247" i="46"/>
  <c r="T248" i="46" s="1"/>
  <c r="AO247" i="46"/>
  <c r="AO248" i="46" s="1"/>
  <c r="FB247" i="46"/>
  <c r="FB248" i="46" s="1"/>
  <c r="AL247" i="46"/>
  <c r="AL248" i="46" s="1"/>
  <c r="BS247" i="46"/>
  <c r="BS248" i="46" s="1"/>
  <c r="FH247" i="46"/>
  <c r="FH248" i="46" s="1"/>
  <c r="DF247" i="46"/>
  <c r="DF248" i="46" s="1"/>
  <c r="AX247" i="46"/>
  <c r="AX248" i="46" s="1"/>
  <c r="AF247" i="46"/>
  <c r="AF248" i="46" s="1"/>
  <c r="EJ247" i="46"/>
  <c r="EJ248" i="46" s="1"/>
  <c r="BM247" i="46"/>
  <c r="BM248" i="46" s="1"/>
  <c r="FE247" i="46"/>
  <c r="FE248" i="46" s="1"/>
  <c r="BA247" i="46"/>
  <c r="BA248" i="46" s="1"/>
  <c r="ED247" i="46"/>
  <c r="ED248" i="46" s="1"/>
  <c r="CH247" i="46"/>
  <c r="CH248" i="46" s="1"/>
  <c r="CE247" i="46"/>
  <c r="CE248" i="46" s="1"/>
  <c r="W247" i="46"/>
  <c r="W248" i="46" s="1"/>
  <c r="EM244" i="46"/>
  <c r="EM245" i="46" s="1"/>
  <c r="EG244" i="46"/>
  <c r="EG245" i="46" s="1"/>
  <c r="BS244" i="46"/>
  <c r="BS245" i="46" s="1"/>
  <c r="AR244" i="46"/>
  <c r="AR245" i="46" s="1"/>
  <c r="EA244" i="46"/>
  <c r="EA245" i="46" s="1"/>
  <c r="DL244" i="46"/>
  <c r="DL245" i="46" s="1"/>
  <c r="BY244" i="46"/>
  <c r="BY245" i="46" s="1"/>
  <c r="ES244" i="46"/>
  <c r="ES245" i="46" s="1"/>
  <c r="FB244" i="46"/>
  <c r="FB245" i="46" s="1"/>
  <c r="DR244" i="46"/>
  <c r="DR245" i="46" s="1"/>
  <c r="DC244" i="46"/>
  <c r="DC245" i="46" s="1"/>
  <c r="DI244" i="46"/>
  <c r="DI245" i="46" s="1"/>
  <c r="BA244" i="46"/>
  <c r="BA245" i="46" s="1"/>
  <c r="DX244" i="46"/>
  <c r="DX245" i="46" s="1"/>
  <c r="EJ244" i="46"/>
  <c r="EJ245" i="46" s="1"/>
  <c r="CB244" i="46"/>
  <c r="CB245" i="46" s="1"/>
  <c r="CE244" i="46"/>
  <c r="CE245" i="46" s="1"/>
  <c r="AL244" i="46"/>
  <c r="AL245" i="46" s="1"/>
  <c r="CQ244" i="46"/>
  <c r="CQ245" i="46" s="1"/>
  <c r="FH244" i="46"/>
  <c r="FH245" i="46" s="1"/>
  <c r="CT244" i="46"/>
  <c r="CT245" i="46" s="1"/>
  <c r="AO244" i="46"/>
  <c r="AO245" i="46" s="1"/>
  <c r="AI244" i="46"/>
  <c r="AI245" i="46" s="1"/>
  <c r="EY244" i="46"/>
  <c r="EY245" i="46" s="1"/>
  <c r="CZ244" i="46"/>
  <c r="CZ245" i="46" s="1"/>
  <c r="AX244" i="46"/>
  <c r="AX245" i="46" s="1"/>
  <c r="FE244" i="46"/>
  <c r="FE245" i="46" s="1"/>
  <c r="BP244" i="46"/>
  <c r="BP245" i="46" s="1"/>
  <c r="CN244" i="46"/>
  <c r="CN245" i="46" s="1"/>
  <c r="BJ244" i="46"/>
  <c r="BJ245" i="46" s="1"/>
  <c r="DO244" i="46"/>
  <c r="DO245" i="46" s="1"/>
  <c r="BD244" i="46"/>
  <c r="BD245" i="46" s="1"/>
  <c r="DF244" i="46"/>
  <c r="DF245" i="46" s="1"/>
  <c r="CW244" i="46"/>
  <c r="CW245" i="46" s="1"/>
  <c r="CH244" i="46"/>
  <c r="CH245" i="46" s="1"/>
  <c r="AC244" i="46"/>
  <c r="AC245" i="46" s="1"/>
  <c r="EV244" i="46"/>
  <c r="EV245" i="46" s="1"/>
  <c r="Z244" i="46"/>
  <c r="Z245" i="46" s="1"/>
  <c r="T244" i="46"/>
  <c r="T245" i="46" s="1"/>
  <c r="ED244" i="46"/>
  <c r="ED245" i="46" s="1"/>
  <c r="AF244" i="46"/>
  <c r="AF245" i="46" s="1"/>
  <c r="FK244" i="46"/>
  <c r="FK245" i="46" s="1"/>
  <c r="BG244" i="46"/>
  <c r="BG245" i="46" s="1"/>
  <c r="DU244" i="46"/>
  <c r="DU245" i="46" s="1"/>
  <c r="W244" i="46"/>
  <c r="W245" i="46" s="1"/>
  <c r="AU244" i="46"/>
  <c r="AU245" i="46" s="1"/>
  <c r="BV244" i="46"/>
  <c r="BV245" i="46" s="1"/>
  <c r="BM244" i="46"/>
  <c r="BM245" i="46" s="1"/>
  <c r="CK244" i="46"/>
  <c r="CK245" i="46" s="1"/>
  <c r="EP244" i="46"/>
  <c r="EP245" i="46" s="1"/>
  <c r="BS234" i="46"/>
  <c r="DR234" i="46"/>
  <c r="CQ234" i="46"/>
  <c r="DU234" i="46"/>
  <c r="EA234" i="46"/>
  <c r="EJ230" i="46"/>
  <c r="CE230" i="46"/>
  <c r="DL230" i="46"/>
  <c r="Z230" i="46"/>
  <c r="FB234" i="46"/>
  <c r="DO234" i="46"/>
  <c r="EV234" i="46"/>
  <c r="FE234" i="46"/>
  <c r="W234" i="46"/>
  <c r="CN230" i="46"/>
  <c r="EP234" i="46"/>
  <c r="AX234" i="46"/>
  <c r="BY230" i="46"/>
  <c r="DO230" i="46"/>
  <c r="AL234" i="46"/>
  <c r="BY234" i="46"/>
  <c r="FK234" i="46"/>
  <c r="BJ234" i="46"/>
  <c r="CB234" i="46"/>
  <c r="DI234" i="46"/>
  <c r="DF234" i="46"/>
  <c r="DC230" i="46"/>
  <c r="BM230" i="46"/>
  <c r="FH230" i="46"/>
  <c r="AI230" i="46"/>
  <c r="EJ234" i="46"/>
  <c r="CQ230" i="46"/>
  <c r="DF230" i="46"/>
  <c r="AF234" i="46"/>
  <c r="BD230" i="46"/>
  <c r="CK230" i="46"/>
  <c r="CT230" i="46"/>
  <c r="AL230" i="46"/>
  <c r="DI230" i="46"/>
  <c r="CZ230" i="46"/>
  <c r="AO234" i="46"/>
  <c r="CT234" i="46"/>
  <c r="Z234" i="46"/>
  <c r="EP230" i="46"/>
  <c r="FB230" i="46"/>
  <c r="ED230" i="46"/>
  <c r="CB230" i="46"/>
  <c r="EY230" i="46"/>
  <c r="ED234" i="46"/>
  <c r="AC234" i="46"/>
  <c r="CK234" i="46"/>
  <c r="AF230" i="46"/>
  <c r="EV230" i="46"/>
  <c r="ES230" i="46"/>
  <c r="BG234" i="46"/>
  <c r="BP234" i="46"/>
  <c r="AR230" i="46"/>
  <c r="AU230" i="46"/>
  <c r="BP230" i="46"/>
  <c r="DX230" i="46"/>
  <c r="FK230" i="46"/>
  <c r="DC234" i="46"/>
  <c r="BS230" i="46"/>
  <c r="EA230" i="46"/>
  <c r="FE230" i="46"/>
  <c r="EG234" i="46"/>
  <c r="DL234" i="46"/>
  <c r="T230" i="46"/>
  <c r="M230" i="46"/>
  <c r="BV230" i="46"/>
  <c r="EM230" i="46"/>
  <c r="W230" i="46"/>
  <c r="CH230" i="46"/>
  <c r="CE234" i="46"/>
  <c r="FH234" i="46"/>
  <c r="CH234" i="46"/>
  <c r="CN234" i="46"/>
  <c r="EG230" i="46"/>
  <c r="BJ230" i="46"/>
  <c r="DU230" i="46"/>
  <c r="DR230" i="46"/>
  <c r="CW230" i="46"/>
  <c r="ES234" i="46"/>
  <c r="AR234" i="46"/>
  <c r="EM234" i="46"/>
  <c r="AO230" i="46"/>
  <c r="BG230" i="46"/>
  <c r="AX230" i="46"/>
  <c r="AC230" i="46"/>
  <c r="BA230" i="46"/>
  <c r="CZ234" i="46"/>
  <c r="BD234" i="46"/>
  <c r="AI234" i="46"/>
  <c r="T234" i="46"/>
  <c r="BM234" i="46"/>
  <c r="BX62" i="3"/>
  <c r="BX60" i="3"/>
  <c r="BX59" i="3"/>
  <c r="BX61" i="3"/>
  <c r="BX67" i="3"/>
  <c r="BX63" i="3"/>
  <c r="BX68" i="3"/>
  <c r="BX65" i="3"/>
  <c r="BX64" i="3"/>
  <c r="CB238" i="46" l="1"/>
  <c r="DC242" i="46"/>
  <c r="BD242" i="46"/>
  <c r="S27" i="51"/>
  <c r="S22" i="51"/>
  <c r="S39" i="51"/>
  <c r="S40" i="51"/>
  <c r="S29" i="51"/>
  <c r="S19" i="51"/>
  <c r="S23" i="51"/>
  <c r="S13" i="51"/>
  <c r="S51" i="51"/>
  <c r="S36" i="51"/>
  <c r="S10" i="51"/>
  <c r="S37" i="51"/>
  <c r="S24" i="51"/>
  <c r="S18" i="51"/>
  <c r="S54" i="51"/>
  <c r="S12" i="51"/>
  <c r="S55" i="51"/>
  <c r="S41" i="51"/>
  <c r="S49" i="51"/>
  <c r="S8" i="51"/>
  <c r="S35" i="51"/>
  <c r="S15" i="51"/>
  <c r="S28" i="51"/>
  <c r="S25" i="51"/>
  <c r="S50" i="51"/>
  <c r="S32" i="51"/>
  <c r="S17" i="51"/>
  <c r="S42" i="51"/>
  <c r="S16" i="51"/>
  <c r="S20" i="51"/>
  <c r="S30" i="51"/>
  <c r="S47" i="51"/>
  <c r="S44" i="51"/>
  <c r="S31" i="51"/>
  <c r="S9" i="51"/>
  <c r="S53" i="51"/>
  <c r="S38" i="51"/>
  <c r="S11" i="51"/>
  <c r="S48" i="51"/>
  <c r="S45" i="51"/>
  <c r="S52" i="51"/>
  <c r="S33" i="51"/>
  <c r="S43" i="51"/>
  <c r="S34" i="51"/>
  <c r="S26" i="51"/>
  <c r="S21" i="51"/>
  <c r="S46" i="51"/>
  <c r="S14" i="51"/>
  <c r="FK250" i="46"/>
  <c r="EG250" i="46"/>
  <c r="BP250" i="46"/>
  <c r="AU250" i="46"/>
  <c r="T250" i="46"/>
  <c r="DO250" i="46"/>
  <c r="EV250" i="46"/>
  <c r="BY250" i="46"/>
  <c r="CQ250" i="46"/>
  <c r="CN250" i="46"/>
  <c r="AL250" i="46"/>
  <c r="EP250" i="46"/>
  <c r="AC250" i="46"/>
  <c r="FE250" i="46"/>
  <c r="ES250" i="46"/>
  <c r="DC250" i="46"/>
  <c r="CW250" i="46"/>
  <c r="CZ250" i="46"/>
  <c r="AI250" i="46"/>
  <c r="AR250" i="46"/>
  <c r="DL250" i="46"/>
  <c r="EY250" i="46"/>
  <c r="EA250" i="46"/>
  <c r="Z250" i="46"/>
  <c r="AX250" i="46"/>
  <c r="DU250" i="46"/>
  <c r="CB250" i="46"/>
  <c r="EM250" i="46"/>
  <c r="W250" i="46"/>
  <c r="BJ250" i="46"/>
  <c r="AO250" i="46"/>
  <c r="CH250" i="46"/>
  <c r="BV250" i="46"/>
  <c r="FB250" i="46"/>
  <c r="BA250" i="46"/>
  <c r="AF250" i="46"/>
  <c r="BM250" i="46"/>
  <c r="BD250" i="46"/>
  <c r="BG250" i="46"/>
  <c r="CE250" i="46"/>
  <c r="FH250" i="46"/>
  <c r="EJ250" i="46"/>
  <c r="ED250" i="46"/>
  <c r="DF250" i="46"/>
  <c r="DI250" i="46"/>
  <c r="CT250" i="46"/>
  <c r="DR250" i="46"/>
  <c r="CK250" i="46"/>
  <c r="BS250" i="46"/>
  <c r="DX250" i="46"/>
  <c r="BO30" i="45"/>
  <c r="BO48" i="45"/>
  <c r="BO13" i="45"/>
  <c r="BO19" i="45"/>
  <c r="BO9" i="45"/>
  <c r="BO44" i="45"/>
  <c r="BO20" i="45"/>
  <c r="BO8" i="45"/>
  <c r="BO40" i="45"/>
  <c r="BO17" i="45"/>
  <c r="BO11" i="45"/>
  <c r="BO41" i="45"/>
  <c r="BO7" i="45"/>
  <c r="BO38" i="45"/>
  <c r="BO12" i="45"/>
  <c r="BO16" i="45"/>
  <c r="BO31" i="45"/>
  <c r="BO51" i="45"/>
  <c r="BO6" i="45"/>
  <c r="BO23" i="45"/>
  <c r="BO37" i="45"/>
  <c r="BO34" i="45"/>
  <c r="BO27" i="45"/>
  <c r="BO36" i="45"/>
  <c r="BO22" i="45"/>
  <c r="BO18" i="45"/>
  <c r="BO35" i="45"/>
  <c r="BO49" i="45"/>
  <c r="BO28" i="45"/>
  <c r="BO24" i="45"/>
  <c r="BO45" i="45"/>
  <c r="BO46" i="45"/>
  <c r="BO21" i="45"/>
  <c r="BO33" i="45"/>
  <c r="BO50" i="45"/>
  <c r="BO4" i="45"/>
  <c r="BO10" i="45"/>
  <c r="BO26" i="45"/>
  <c r="BO47" i="45"/>
  <c r="BO32" i="45"/>
  <c r="BO15" i="45"/>
  <c r="BO39" i="45"/>
  <c r="BO25" i="45"/>
  <c r="BO5" i="45"/>
  <c r="BO14" i="45"/>
  <c r="BO29" i="45"/>
  <c r="BO43" i="45"/>
  <c r="BO42" i="45"/>
  <c r="DL238" i="46"/>
  <c r="CN238" i="46"/>
  <c r="DX242" i="46"/>
  <c r="CZ242" i="46"/>
  <c r="AU238" i="46"/>
  <c r="DF242" i="46"/>
  <c r="CK242" i="46"/>
  <c r="CQ242" i="46"/>
  <c r="EP242" i="46"/>
  <c r="BY238" i="46"/>
  <c r="DO242" i="46"/>
  <c r="FE242" i="46"/>
  <c r="DF238" i="46"/>
  <c r="DC252" i="46"/>
  <c r="W252" i="46"/>
  <c r="W259" i="46" s="1"/>
  <c r="ED252" i="46"/>
  <c r="Z252" i="46"/>
  <c r="BP252" i="46"/>
  <c r="CH252" i="46"/>
  <c r="EG252" i="46"/>
  <c r="FH252" i="46"/>
  <c r="EJ252" i="46"/>
  <c r="T252" i="46"/>
  <c r="AX252" i="46"/>
  <c r="CZ252" i="46"/>
  <c r="BJ252" i="46"/>
  <c r="DL252" i="46"/>
  <c r="DU252" i="46"/>
  <c r="AC252" i="46"/>
  <c r="AR252" i="46"/>
  <c r="EM252" i="46"/>
  <c r="DX252" i="46"/>
  <c r="EP252" i="46"/>
  <c r="EP259" i="46" s="1"/>
  <c r="DF252" i="46"/>
  <c r="AO252" i="46"/>
  <c r="FK252" i="46"/>
  <c r="CK252" i="46"/>
  <c r="CW252" i="46"/>
  <c r="BS252" i="46"/>
  <c r="FB252" i="46"/>
  <c r="AU252" i="46"/>
  <c r="CN252" i="46"/>
  <c r="AI252" i="46"/>
  <c r="BD252" i="46"/>
  <c r="DI252" i="46"/>
  <c r="DI259" i="46" s="1"/>
  <c r="EV252" i="46"/>
  <c r="DO252" i="46"/>
  <c r="CE252" i="46"/>
  <c r="CE259" i="46" s="1"/>
  <c r="CB252" i="46"/>
  <c r="CQ252" i="46"/>
  <c r="BG252" i="46"/>
  <c r="BA252" i="46"/>
  <c r="FE252" i="46"/>
  <c r="BV252" i="46"/>
  <c r="BM252" i="46"/>
  <c r="CT252" i="46"/>
  <c r="AF252" i="46"/>
  <c r="EY252" i="46"/>
  <c r="EA252" i="46"/>
  <c r="ES252" i="46"/>
  <c r="BY252" i="46"/>
  <c r="DR252" i="46"/>
  <c r="AL252" i="46"/>
  <c r="AL259" i="46" s="1"/>
  <c r="BM43" i="45"/>
  <c r="BM11" i="45"/>
  <c r="BM44" i="45"/>
  <c r="BM9" i="45"/>
  <c r="BM27" i="45"/>
  <c r="BM28" i="45"/>
  <c r="BM37" i="45"/>
  <c r="BM6" i="45"/>
  <c r="BM49" i="45"/>
  <c r="BM42" i="45"/>
  <c r="BM13" i="45"/>
  <c r="BM47" i="45"/>
  <c r="BM16" i="45"/>
  <c r="BM10" i="45"/>
  <c r="BM29" i="45"/>
  <c r="BM30" i="45"/>
  <c r="BM25" i="45"/>
  <c r="BM8" i="45"/>
  <c r="BM46" i="45"/>
  <c r="BL46" i="45" s="1"/>
  <c r="BK46" i="45" s="1"/>
  <c r="BM18" i="45"/>
  <c r="BM23" i="45"/>
  <c r="BM45" i="45"/>
  <c r="BM19" i="45"/>
  <c r="BM21" i="45"/>
  <c r="BM41" i="45"/>
  <c r="BM20" i="45"/>
  <c r="BM15" i="45"/>
  <c r="BM50" i="45"/>
  <c r="BM38" i="45"/>
  <c r="BL38" i="45" s="1"/>
  <c r="BK38" i="45" s="1"/>
  <c r="BM22" i="45"/>
  <c r="BM7" i="45"/>
  <c r="BM48" i="45"/>
  <c r="BM12" i="45"/>
  <c r="BM32" i="45"/>
  <c r="BM35" i="45"/>
  <c r="BM34" i="45"/>
  <c r="BM26" i="45"/>
  <c r="BM24" i="45"/>
  <c r="BM31" i="45"/>
  <c r="BM33" i="45"/>
  <c r="BM4" i="45"/>
  <c r="BM40" i="45"/>
  <c r="BM36" i="45"/>
  <c r="BM39" i="45"/>
  <c r="BM5" i="45"/>
  <c r="BL5" i="45" s="1"/>
  <c r="BK5" i="45" s="1"/>
  <c r="BM14" i="45"/>
  <c r="BL14" i="45" s="1"/>
  <c r="BK14" i="45" s="1"/>
  <c r="BM17" i="45"/>
  <c r="BM51" i="45"/>
  <c r="EJ238" i="46"/>
  <c r="CK238" i="46"/>
  <c r="EV242" i="46"/>
  <c r="FH242" i="46"/>
  <c r="AC238" i="46"/>
  <c r="BV238" i="46"/>
  <c r="DO238" i="46"/>
  <c r="EY242" i="46"/>
  <c r="ES242" i="46"/>
  <c r="AF242" i="46"/>
  <c r="CE238" i="46"/>
  <c r="BJ238" i="46"/>
  <c r="W238" i="46"/>
  <c r="FK238" i="46"/>
  <c r="BG238" i="46"/>
  <c r="FB238" i="46"/>
  <c r="W242" i="46"/>
  <c r="BY242" i="46"/>
  <c r="CQ238" i="46"/>
  <c r="CH242" i="46"/>
  <c r="CE242" i="46"/>
  <c r="FE238" i="46"/>
  <c r="AI242" i="46"/>
  <c r="EV238" i="46"/>
  <c r="FK242" i="46"/>
  <c r="AL238" i="46"/>
  <c r="BV242" i="46"/>
  <c r="AO242" i="46"/>
  <c r="AC242" i="46"/>
  <c r="ES238" i="46"/>
  <c r="EY238" i="46"/>
  <c r="AR238" i="46"/>
  <c r="BA242" i="46"/>
  <c r="DI242" i="46"/>
  <c r="BJ242" i="46"/>
  <c r="AU242" i="46"/>
  <c r="BS238" i="46"/>
  <c r="ED242" i="46"/>
  <c r="FB242" i="46"/>
  <c r="CN242" i="46"/>
  <c r="EJ242" i="46"/>
  <c r="CW242" i="46"/>
  <c r="BM242" i="46"/>
  <c r="DR242" i="46"/>
  <c r="AX242" i="46"/>
  <c r="EM238" i="46"/>
  <c r="AO238" i="46"/>
  <c r="EM242" i="46"/>
  <c r="EA238" i="46"/>
  <c r="T238" i="46"/>
  <c r="M238" i="46"/>
  <c r="EG238" i="46"/>
  <c r="CZ238" i="46"/>
  <c r="DU242" i="46"/>
  <c r="ED238" i="46"/>
  <c r="BA238" i="46"/>
  <c r="CW238" i="46"/>
  <c r="CH238" i="46"/>
  <c r="BM238" i="46"/>
  <c r="BP242" i="46"/>
  <c r="BG242" i="46"/>
  <c r="DL242" i="46"/>
  <c r="Z238" i="46"/>
  <c r="FH238" i="46"/>
  <c r="AX238" i="46"/>
  <c r="DC238" i="46"/>
  <c r="BD238" i="46"/>
  <c r="AR242" i="46"/>
  <c r="T242" i="46"/>
  <c r="M242" i="46"/>
  <c r="DX238" i="46"/>
  <c r="CT238" i="46"/>
  <c r="CT242" i="46"/>
  <c r="BS242" i="46"/>
  <c r="DU238" i="46"/>
  <c r="EP238" i="46"/>
  <c r="DI238" i="46"/>
  <c r="CB242" i="46"/>
  <c r="EG242" i="46"/>
  <c r="AL242" i="46"/>
  <c r="EA242" i="46"/>
  <c r="AF238" i="46"/>
  <c r="DR238" i="46"/>
  <c r="AI238" i="46"/>
  <c r="BP238" i="46"/>
  <c r="BY69" i="3"/>
  <c r="BY62" i="3"/>
  <c r="BY67" i="3"/>
  <c r="BY64" i="3"/>
  <c r="BY58" i="3"/>
  <c r="BY63" i="3"/>
  <c r="BY66" i="3"/>
  <c r="BY60" i="3"/>
  <c r="BY61" i="3"/>
  <c r="BY65" i="3"/>
  <c r="BY68" i="3"/>
  <c r="BY59" i="3"/>
  <c r="BL30" i="45" l="1"/>
  <c r="BK30" i="45" s="1"/>
  <c r="BL23" i="45"/>
  <c r="BK23" i="45" s="1"/>
  <c r="BL47" i="45"/>
  <c r="BK47" i="45" s="1"/>
  <c r="BL16" i="45"/>
  <c r="BK16" i="45" s="1"/>
  <c r="BL48" i="45"/>
  <c r="BK48" i="45" s="1"/>
  <c r="BL50" i="45"/>
  <c r="BK50" i="45" s="1"/>
  <c r="BL40" i="45"/>
  <c r="BK40" i="45" s="1"/>
  <c r="BL10" i="45"/>
  <c r="BK10" i="45" s="1"/>
  <c r="CB259" i="46"/>
  <c r="AO259" i="46"/>
  <c r="FH259" i="46"/>
  <c r="DR259" i="46"/>
  <c r="BP259" i="46"/>
  <c r="BL13" i="45"/>
  <c r="BK13" i="45" s="1"/>
  <c r="BL31" i="45"/>
  <c r="BK31" i="45" s="1"/>
  <c r="ES259" i="46"/>
  <c r="BL42" i="45"/>
  <c r="BK42" i="45" s="1"/>
  <c r="EM259" i="46"/>
  <c r="BL12" i="45"/>
  <c r="BK12" i="45" s="1"/>
  <c r="BL25" i="45"/>
  <c r="BK25" i="45" s="1"/>
  <c r="BL43" i="45"/>
  <c r="BK43" i="45" s="1"/>
  <c r="EJ259" i="46"/>
  <c r="BL4" i="45"/>
  <c r="BK4" i="45" s="1"/>
  <c r="DF259" i="46"/>
  <c r="EG259" i="46"/>
  <c r="BL33" i="45"/>
  <c r="BK33" i="45" s="1"/>
  <c r="BL20" i="45"/>
  <c r="BK20" i="45" s="1"/>
  <c r="CH259" i="46"/>
  <c r="BL8" i="45"/>
  <c r="BK8" i="45" s="1"/>
  <c r="FE259" i="46"/>
  <c r="BL27" i="45"/>
  <c r="BK27" i="45" s="1"/>
  <c r="BL44" i="45"/>
  <c r="BK44" i="45" s="1"/>
  <c r="CW259" i="46"/>
  <c r="BL36" i="45"/>
  <c r="BK36" i="45" s="1"/>
  <c r="BL29" i="45"/>
  <c r="BK29" i="45" s="1"/>
  <c r="CQ259" i="46"/>
  <c r="FK259" i="46"/>
  <c r="BL24" i="45"/>
  <c r="BK24" i="45" s="1"/>
  <c r="EA259" i="46"/>
  <c r="Z259" i="46"/>
  <c r="BL19" i="45"/>
  <c r="BK19" i="45" s="1"/>
  <c r="BD259" i="46"/>
  <c r="ED259" i="46"/>
  <c r="BL37" i="45"/>
  <c r="BK37" i="45" s="1"/>
  <c r="CN259" i="46"/>
  <c r="BL51" i="45"/>
  <c r="BK51" i="45" s="1"/>
  <c r="BL28" i="45"/>
  <c r="BK28" i="45" s="1"/>
  <c r="BM259" i="46"/>
  <c r="AU259" i="46"/>
  <c r="DO259" i="46"/>
  <c r="BL41" i="45"/>
  <c r="BK41" i="45" s="1"/>
  <c r="EV259" i="46"/>
  <c r="BL21" i="45"/>
  <c r="BK21" i="45" s="1"/>
  <c r="BY259" i="46"/>
  <c r="DX259" i="46"/>
  <c r="BL26" i="45"/>
  <c r="BK26" i="45" s="1"/>
  <c r="BL49" i="45"/>
  <c r="BK49" i="45" s="1"/>
  <c r="AR259" i="46"/>
  <c r="BL45" i="45"/>
  <c r="BK45" i="45" s="1"/>
  <c r="BL6" i="45"/>
  <c r="BK6" i="45" s="1"/>
  <c r="AF259" i="46"/>
  <c r="AI259" i="46"/>
  <c r="AC259" i="46"/>
  <c r="BL15" i="45"/>
  <c r="BK15" i="45" s="1"/>
  <c r="T52" i="51"/>
  <c r="T40" i="51"/>
  <c r="T43" i="51"/>
  <c r="T34" i="51"/>
  <c r="T27" i="51"/>
  <c r="T26" i="51"/>
  <c r="T51" i="51"/>
  <c r="T21" i="51"/>
  <c r="T49" i="51"/>
  <c r="T11" i="51"/>
  <c r="T53" i="51"/>
  <c r="T25" i="51"/>
  <c r="T15" i="51"/>
  <c r="T44" i="51"/>
  <c r="T29" i="51"/>
  <c r="T23" i="51"/>
  <c r="T13" i="51"/>
  <c r="T36" i="51"/>
  <c r="T37" i="51"/>
  <c r="T24" i="51"/>
  <c r="T28" i="51"/>
  <c r="T18" i="51"/>
  <c r="T54" i="51"/>
  <c r="T12" i="51"/>
  <c r="T55" i="51"/>
  <c r="T41" i="51"/>
  <c r="T8" i="51"/>
  <c r="T47" i="51"/>
  <c r="T19" i="51"/>
  <c r="T45" i="51"/>
  <c r="T20" i="51"/>
  <c r="T30" i="51"/>
  <c r="T46" i="51"/>
  <c r="T32" i="51"/>
  <c r="T38" i="51"/>
  <c r="T17" i="51"/>
  <c r="T42" i="51"/>
  <c r="T16" i="51"/>
  <c r="T31" i="51"/>
  <c r="T14" i="51"/>
  <c r="T48" i="51"/>
  <c r="T22" i="51"/>
  <c r="T39" i="51"/>
  <c r="T10" i="51"/>
  <c r="T50" i="51"/>
  <c r="T35" i="51"/>
  <c r="T9" i="51"/>
  <c r="T33" i="51"/>
  <c r="EY259" i="46"/>
  <c r="BL34" i="45"/>
  <c r="BK34" i="45" s="1"/>
  <c r="BL35" i="45"/>
  <c r="BK35" i="45" s="1"/>
  <c r="CT259" i="46"/>
  <c r="DU259" i="46"/>
  <c r="DC259" i="46"/>
  <c r="BL18" i="45"/>
  <c r="BK18" i="45" s="1"/>
  <c r="BL17" i="45"/>
  <c r="BK17" i="45" s="1"/>
  <c r="BV259" i="46"/>
  <c r="FB259" i="46"/>
  <c r="BJ259" i="46"/>
  <c r="BL32" i="45"/>
  <c r="BK32" i="45" s="1"/>
  <c r="CZ259" i="46"/>
  <c r="BL7" i="45"/>
  <c r="BK7" i="45" s="1"/>
  <c r="BA259" i="46"/>
  <c r="AX259" i="46"/>
  <c r="DL259" i="46"/>
  <c r="BL9" i="45"/>
  <c r="BK9" i="45" s="1"/>
  <c r="BS259" i="46"/>
  <c r="BL39" i="45"/>
  <c r="BK39" i="45" s="1"/>
  <c r="BL22" i="45"/>
  <c r="BK22" i="45" s="1"/>
  <c r="BL11" i="45"/>
  <c r="BK11" i="45" s="1"/>
  <c r="BG259" i="46"/>
  <c r="CK259" i="46"/>
  <c r="T259" i="46"/>
  <c r="R12" i="51"/>
  <c r="R15" i="51"/>
  <c r="R46" i="51"/>
  <c r="R27" i="51"/>
  <c r="R21" i="51"/>
  <c r="Q21" i="51" s="1"/>
  <c r="P21" i="51" s="1"/>
  <c r="R9" i="51"/>
  <c r="R32" i="51"/>
  <c r="R30" i="51"/>
  <c r="R50" i="51"/>
  <c r="R45" i="51"/>
  <c r="R33" i="51"/>
  <c r="R10" i="51"/>
  <c r="R48" i="51"/>
  <c r="R51" i="51"/>
  <c r="R31" i="51"/>
  <c r="R36" i="51"/>
  <c r="R34" i="51"/>
  <c r="R26" i="51"/>
  <c r="R19" i="51"/>
  <c r="R47" i="51"/>
  <c r="R11" i="51"/>
  <c r="Q11" i="51" s="1"/>
  <c r="P11" i="51" s="1"/>
  <c r="R55" i="51"/>
  <c r="Q55" i="51" s="1"/>
  <c r="P55" i="51" s="1"/>
  <c r="R54" i="51"/>
  <c r="R18" i="51"/>
  <c r="R23" i="51"/>
  <c r="R44" i="51"/>
  <c r="R25" i="51"/>
  <c r="R40" i="51"/>
  <c r="R49" i="51"/>
  <c r="R29" i="51"/>
  <c r="R22" i="51"/>
  <c r="R53" i="51"/>
  <c r="R24" i="51"/>
  <c r="R14" i="51"/>
  <c r="R8" i="51"/>
  <c r="R43" i="51"/>
  <c r="R39" i="51"/>
  <c r="R17" i="51"/>
  <c r="R41" i="51"/>
  <c r="R28" i="51"/>
  <c r="R13" i="51"/>
  <c r="R37" i="51"/>
  <c r="R38" i="51"/>
  <c r="R52" i="51"/>
  <c r="R42" i="51"/>
  <c r="R20" i="51"/>
  <c r="R35" i="51"/>
  <c r="R16" i="51"/>
  <c r="BZ62" i="3"/>
  <c r="CA62" i="3" s="1"/>
  <c r="BZ65" i="3"/>
  <c r="BZ61" i="3"/>
  <c r="BZ66" i="3"/>
  <c r="BZ59" i="3"/>
  <c r="BZ67" i="3"/>
  <c r="BZ69" i="3"/>
  <c r="BZ58" i="3"/>
  <c r="BZ68" i="3"/>
  <c r="BZ63" i="3"/>
  <c r="BZ64" i="3"/>
  <c r="BZ60" i="3"/>
  <c r="Q52" i="51" l="1"/>
  <c r="P52" i="51" s="1"/>
  <c r="Q8" i="51"/>
  <c r="P8" i="51" s="1"/>
  <c r="Q40" i="51"/>
  <c r="P40" i="51" s="1"/>
  <c r="Q39" i="51"/>
  <c r="P39" i="51" s="1"/>
  <c r="Q29" i="51"/>
  <c r="P29" i="51" s="1"/>
  <c r="Q15" i="51"/>
  <c r="P15" i="51" s="1"/>
  <c r="Q46" i="51"/>
  <c r="P46" i="51" s="1"/>
  <c r="Q20" i="51"/>
  <c r="P20" i="51" s="1"/>
  <c r="Q43" i="51"/>
  <c r="P43" i="51" s="1"/>
  <c r="Q24" i="51"/>
  <c r="P24" i="51" s="1"/>
  <c r="Q26" i="51"/>
  <c r="P26" i="51" s="1"/>
  <c r="Q27" i="51"/>
  <c r="P27" i="51" s="1"/>
  <c r="Q44" i="51"/>
  <c r="P44" i="51" s="1"/>
  <c r="Q50" i="51"/>
  <c r="P50" i="51" s="1"/>
  <c r="Q30" i="51"/>
  <c r="P30" i="51" s="1"/>
  <c r="Q47" i="51"/>
  <c r="P47" i="51" s="1"/>
  <c r="Q32" i="51"/>
  <c r="P32" i="51" s="1"/>
  <c r="Q9" i="51"/>
  <c r="P9" i="51" s="1"/>
  <c r="Q37" i="51"/>
  <c r="P37" i="51" s="1"/>
  <c r="Q10" i="51"/>
  <c r="P10" i="51" s="1"/>
  <c r="Q28" i="51"/>
  <c r="P28" i="51" s="1"/>
  <c r="Q23" i="51"/>
  <c r="P23" i="51" s="1"/>
  <c r="Q33" i="51"/>
  <c r="P33" i="51" s="1"/>
  <c r="Q17" i="51"/>
  <c r="P17" i="51" s="1"/>
  <c r="Q18" i="51"/>
  <c r="P18" i="51" s="1"/>
  <c r="Q45" i="51"/>
  <c r="P45" i="51" s="1"/>
  <c r="Q38" i="51"/>
  <c r="P38" i="51" s="1"/>
  <c r="Q49" i="51"/>
  <c r="P49" i="51" s="1"/>
  <c r="Q51" i="51"/>
  <c r="P51" i="51" s="1"/>
  <c r="Q48" i="51"/>
  <c r="P48" i="51" s="1"/>
  <c r="Q54" i="51"/>
  <c r="P54" i="51" s="1"/>
  <c r="Q41" i="51"/>
  <c r="P41" i="51" s="1"/>
  <c r="Q16" i="51"/>
  <c r="P16" i="51" s="1"/>
  <c r="Q14" i="51"/>
  <c r="P14" i="51" s="1"/>
  <c r="Q35" i="51"/>
  <c r="P35" i="51" s="1"/>
  <c r="Q19" i="51"/>
  <c r="P19" i="51" s="1"/>
  <c r="Q53" i="51"/>
  <c r="P53" i="51" s="1"/>
  <c r="Q42" i="51"/>
  <c r="P42" i="51" s="1"/>
  <c r="Q22" i="51"/>
  <c r="P22" i="51" s="1"/>
  <c r="Q34" i="51"/>
  <c r="P34" i="51" s="1"/>
  <c r="Q36" i="51"/>
  <c r="P36" i="51" s="1"/>
  <c r="Q31" i="51"/>
  <c r="P31" i="51" s="1"/>
  <c r="Q12" i="51"/>
  <c r="P12" i="51" s="1"/>
  <c r="Q13" i="51"/>
  <c r="P13" i="51" s="1"/>
  <c r="Q25" i="51"/>
  <c r="P25" i="51" s="1"/>
  <c r="CE59" i="3"/>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l="1"/>
  <c r="BN69" i="3" s="1"/>
  <c r="CF62" i="3"/>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AO58" i="51" s="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AN264" i="46" s="1"/>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FJ264" i="46" s="1"/>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FG264" i="46"/>
  <c r="CJ264" i="46"/>
  <c r="AO42" i="51" l="1"/>
  <c r="AO41" i="51"/>
  <c r="AO39" i="51"/>
  <c r="AG35" i="51"/>
  <c r="AO35" i="51" s="1"/>
  <c r="AO59" i="51"/>
  <c r="AO46" i="51"/>
  <c r="AO54" i="51"/>
  <c r="AO51" i="51"/>
  <c r="AO65" i="51"/>
  <c r="AO55" i="51"/>
  <c r="AO40" i="51"/>
  <c r="AO45" i="51"/>
  <c r="AO60" i="51"/>
  <c r="AO64" i="51"/>
  <c r="AO53" i="51"/>
  <c r="AO63" i="51"/>
  <c r="AO66" i="51"/>
  <c r="AO38" i="51"/>
  <c r="AO57" i="51"/>
  <c r="AO36" i="51"/>
  <c r="AO48" i="51"/>
  <c r="AO56" i="51"/>
  <c r="AO52" i="51"/>
  <c r="AO47" i="51"/>
  <c r="AO50" i="51"/>
  <c r="AO44" i="51"/>
  <c r="AO43" i="51"/>
  <c r="AO37" i="51"/>
  <c r="AO61" i="51"/>
  <c r="AO49" i="51"/>
  <c r="AO62" i="51"/>
  <c r="EI4" i="46"/>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AP35" i="51" l="1"/>
  <c r="EF263" i="46"/>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N38" i="50" l="1"/>
  <c r="U38" i="50"/>
  <c r="AB31" i="50"/>
  <c r="M49" i="50"/>
  <c r="Z49" i="50"/>
  <c r="AA49" i="50"/>
  <c r="AK31" i="50"/>
  <c r="AK49" i="50"/>
  <c r="Q32" i="50"/>
  <c r="AH49" i="50"/>
  <c r="R49" i="50"/>
  <c r="S49" i="50"/>
  <c r="V32" i="50"/>
  <c r="AG38" i="50"/>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<sst xmlns="http://schemas.openxmlformats.org/spreadsheetml/2006/main" count="16874" uniqueCount="2763">
  <si>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</si>
  <si>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</si>
  <si>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</si>
  <si>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</si>
  <si>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</si>
  <si>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</si>
  <si>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</si>
  <si>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</si>
  <si>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</si>
  <si>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</si>
  <si>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</si>
  <si>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</si>
  <si>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</si>
  <si>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</si>
  <si>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</si>
  <si>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</si>
  <si>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</si>
  <si>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</si>
  <si>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</si>
  <si>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</si>
  <si>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</si>
  <si>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</si>
  <si>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</si>
  <si>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</si>
  <si>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</si>
  <si>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</si>
  <si>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</si>
  <si>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</si>
  <si>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</si>
  <si>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</si>
  <si>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</si>
  <si>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</si>
  <si>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</si>
  <si>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</si>
  <si>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</si>
  <si>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</si>
  <si>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</si>
  <si>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</si>
  <si>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</si>
  <si>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</si>
  <si>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</si>
  <si>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</si>
  <si>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</si>
  <si>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</si>
  <si>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</si>
  <si>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</si>
  <si>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</si>
  <si>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</si>
  <si>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</si>
  <si>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</si>
  <si>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</si>
  <si>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</si>
  <si>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</si>
  <si>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</si>
  <si>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</si>
  <si>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</si>
  <si>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</si>
  <si>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</si>
  <si>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</si>
  <si>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</si>
  <si>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</si>
  <si>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</si>
  <si>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</si>
  <si>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</si>
  <si>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</si>
  <si>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</si>
  <si>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</si>
  <si>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</si>
  <si>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</si>
  <si>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</si>
  <si>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</si>
  <si>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</si>
  <si>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</si>
  <si>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</si>
  <si>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</si>
  <si>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</si>
  <si>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</si>
  <si>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</si>
  <si>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</si>
  <si>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</si>
  <si>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</si>
  <si>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</si>
  <si>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</si>
  <si>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</si>
  <si>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</si>
  <si>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</si>
  <si>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</si>
  <si>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</si>
  <si>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</si>
  <si>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</si>
  <si>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</si>
  <si>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</si>
  <si>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</si>
  <si>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</si>
  <si>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</si>
  <si>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</si>
  <si>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</si>
  <si>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</si>
  <si>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</si>
  <si>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</si>
  <si>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</si>
  <si>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</si>
  <si>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</si>
  <si>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</si>
  <si>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</si>
  <si>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</si>
  <si>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</si>
  <si>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</si>
  <si>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</si>
  <si>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</si>
  <si>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</si>
  <si>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</si>
  <si>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</si>
  <si>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</si>
  <si>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</si>
  <si>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</si>
  <si>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</si>
  <si>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</si>
  <si>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</si>
  <si>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</si>
  <si>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</si>
  <si>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</si>
  <si>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</si>
  <si>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</si>
  <si>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</si>
  <si>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</si>
  <si>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</si>
  <si>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</si>
  <si>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</si>
  <si>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</si>
  <si>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</si>
  <si>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</si>
  <si>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</si>
  <si>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</si>
  <si>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</si>
  <si>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</si>
  <si>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</si>
  <si>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</si>
  <si>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</si>
  <si>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</si>
  <si>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</si>
  <si>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</si>
  <si>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</si>
  <si>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</si>
  <si>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</si>
  <si>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</si>
  <si>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</si>
  <si>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</si>
  <si>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</si>
  <si>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</si>
  <si>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</si>
  <si>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</si>
  <si>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</si>
  <si>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</si>
  <si>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</si>
  <si>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</si>
  <si>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</si>
  <si>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</si>
  <si>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</si>
  <si>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</si>
  <si>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</si>
  <si>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</si>
  <si>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</si>
  <si>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</si>
  <si>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</si>
  <si>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</si>
  <si>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</si>
  <si>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</si>
  <si>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</si>
  <si>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</si>
  <si>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</si>
  <si>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</si>
  <si>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</si>
  <si>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</si>
  <si>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</si>
  <si>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</si>
  <si>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</si>
  <si>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</si>
  <si>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</si>
  <si>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</si>
  <si>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</si>
  <si>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</si>
  <si>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</si>
  <si>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</si>
  <si>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</si>
  <si>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</si>
  <si>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</si>
  <si>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</si>
  <si>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</si>
  <si>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</si>
  <si>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</si>
  <si>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</si>
  <si>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</si>
  <si>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</si>
  <si>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</si>
  <si>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</si>
  <si>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</si>
  <si>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</si>
  <si>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</si>
  <si>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</si>
  <si>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</si>
  <si>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</si>
  <si>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</si>
  <si>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</si>
  <si>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</si>
  <si>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</si>
  <si>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</si>
  <si>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</si>
  <si>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</si>
  <si>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</si>
  <si>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</si>
  <si>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</si>
  <si>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</si>
  <si>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</si>
  <si>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</si>
  <si>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</si>
  <si>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</si>
  <si>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</si>
  <si>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</si>
  <si>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</si>
  <si>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</si>
  <si>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</si>
  <si>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</si>
  <si>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</si>
  <si>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</si>
  <si>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</si>
  <si>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</si>
  <si>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</si>
  <si>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</si>
  <si>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</si>
  <si>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</si>
  <si>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</si>
  <si>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</si>
  <si>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</si>
  <si>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</si>
  <si>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</si>
  <si>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</si>
  <si>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</si>
  <si>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</si>
  <si>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</si>
  <si>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</si>
  <si>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</si>
  <si>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</si>
  <si>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</si>
  <si>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</si>
  <si>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</si>
  <si>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</si>
  <si>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</si>
  <si>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</si>
  <si>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</si>
  <si>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</si>
  <si>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</si>
  <si>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</si>
  <si>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</si>
  <si>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</si>
  <si>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</si>
  <si>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</si>
  <si>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</si>
  <si>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</si>
  <si>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</si>
  <si>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</si>
  <si>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</si>
  <si>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</si>
  <si>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</si>
  <si>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</si>
  <si>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</si>
  <si>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</si>
  <si>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</si>
  <si>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</si>
  <si>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</si>
  <si>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</si>
  <si>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</si>
  <si>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</si>
  <si>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</si>
  <si>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</si>
  <si>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</si>
  <si>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</si>
  <si>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</si>
  <si>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</si>
  <si>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</si>
  <si>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</si>
  <si>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</si>
  <si>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</si>
  <si>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</si>
  <si>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</si>
  <si>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</si>
  <si>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</si>
  <si>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</si>
  <si>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</si>
  <si>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</si>
  <si>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</si>
  <si>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</si>
  <si>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</si>
  <si>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</si>
  <si>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</si>
  <si>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</si>
  <si>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</si>
  <si>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</si>
  <si>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</si>
  <si>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</si>
  <si>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</si>
  <si>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</si>
  <si>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</si>
  <si>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</si>
  <si>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</si>
  <si>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</si>
  <si>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</si>
  <si>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</si>
  <si>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</si>
  <si>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</si>
  <si>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</si>
  <si>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</si>
  <si>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</si>
  <si>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</si>
  <si>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</si>
  <si>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</si>
  <si>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</si>
  <si>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</si>
  <si>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</si>
  <si>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</si>
  <si>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</si>
  <si>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</si>
  <si>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</si>
  <si>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</si>
  <si>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</si>
  <si>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</si>
  <si>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</si>
  <si>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</si>
  <si>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</si>
  <si>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</si>
  <si>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</si>
  <si>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</si>
  <si>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</si>
  <si>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</si>
  <si>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</si>
  <si>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</si>
  <si>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</si>
  <si>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</si>
  <si>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</si>
  <si>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</si>
  <si>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</si>
  <si>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</si>
  <si>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</si>
  <si>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</si>
  <si>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</si>
  <si>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</si>
  <si>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</si>
  <si>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</si>
  <si>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</si>
  <si>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</si>
  <si>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</si>
  <si>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</si>
  <si>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</si>
  <si>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</si>
  <si>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</si>
  <si>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</si>
  <si>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</si>
  <si>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</si>
  <si>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</si>
  <si>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</si>
  <si>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</si>
  <si>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</si>
  <si>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</si>
  <si>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</si>
  <si>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</si>
  <si>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</si>
  <si>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</si>
  <si>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</si>
  <si>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</si>
  <si>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</si>
  <si>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</si>
  <si>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</si>
  <si>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</si>
  <si>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</si>
  <si>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</si>
  <si>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</si>
  <si>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</si>
  <si>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</si>
  <si>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</si>
  <si>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</si>
  <si>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</si>
  <si>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</si>
  <si>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</si>
  <si>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</si>
  <si>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</si>
  <si>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</si>
  <si>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</si>
  <si>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</si>
  <si>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</si>
  <si>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</si>
  <si>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</si>
  <si>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</si>
  <si>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</si>
  <si>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</si>
  <si>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</si>
  <si>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</si>
  <si>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</si>
  <si>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</si>
  <si>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</si>
  <si>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</si>
  <si>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</si>
  <si>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</si>
  <si>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</si>
  <si>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</si>
  <si>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</si>
  <si>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</si>
  <si>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</si>
  <si>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</si>
  <si>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</si>
  <si>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</si>
  <si>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</si>
  <si>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</si>
  <si>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</si>
  <si>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</si>
  <si>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</si>
  <si>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</si>
  <si>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</si>
  <si>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</si>
  <si>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</si>
  <si>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</si>
  <si>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</si>
  <si>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</si>
  <si>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</si>
  <si>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</si>
  <si>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</si>
  <si>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</si>
  <si>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</si>
  <si>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</si>
  <si>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</si>
  <si>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</si>
  <si>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</si>
  <si>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</si>
  <si>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</si>
  <si>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</si>
  <si>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</si>
  <si>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</si>
  <si>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</si>
  <si>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</si>
  <si>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</si>
  <si>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</si>
  <si>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</si>
  <si>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</si>
  <si>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</si>
  <si>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</si>
  <si>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</si>
  <si>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</si>
  <si>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</si>
  <si>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</si>
  <si>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</si>
  <si>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</si>
  <si>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</si>
  <si>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</si>
  <si>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</si>
  <si>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</si>
  <si>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</si>
  <si>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</si>
  <si>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</si>
  <si>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</si>
  <si>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</si>
  <si>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</si>
  <si>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</si>
  <si>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</si>
  <si>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</si>
  <si>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</si>
  <si>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</si>
  <si>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</si>
  <si>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</si>
  <si>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</si>
  <si>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</si>
  <si>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</si>
  <si>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</si>
  <si>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</si>
  <si>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</si>
  <si>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</si>
  <si>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</si>
  <si>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</si>
  <si>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</si>
  <si>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</si>
  <si>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</si>
  <si>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</si>
  <si>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</si>
  <si>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</si>
  <si>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</si>
  <si>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</si>
  <si>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</si>
  <si>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</si>
  <si>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</si>
  <si>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</si>
  <si>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</si>
  <si>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</si>
  <si>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</si>
  <si>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</si>
  <si>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</si>
  <si>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</si>
  <si>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</si>
  <si>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</si>
  <si>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</si>
  <si>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</si>
  <si>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</si>
  <si>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</si>
  <si>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</si>
  <si>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</si>
  <si>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</si>
  <si>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</si>
  <si>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</si>
  <si>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</si>
  <si>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</si>
  <si>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</si>
  <si>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</si>
  <si>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</si>
  <si>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</si>
  <si>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</si>
  <si>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</si>
  <si>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</si>
  <si>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</si>
  <si>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</si>
  <si>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</si>
  <si>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</si>
  <si>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</si>
  <si>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</si>
  <si>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</si>
  <si>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</si>
  <si>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</si>
  <si>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</si>
  <si>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</si>
  <si>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</si>
  <si>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</si>
  <si>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</si>
  <si>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</si>
  <si>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</si>
  <si>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</si>
  <si>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</si>
  <si>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</si>
  <si>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</si>
  <si>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</si>
  <si>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</si>
  <si>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</si>
  <si>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</si>
  <si>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</si>
  <si>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</si>
  <si>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</si>
  <si>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</si>
  <si>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</si>
  <si>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</si>
  <si>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</si>
  <si>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</si>
  <si>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</si>
  <si>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</si>
  <si>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</si>
  <si>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</si>
  <si>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</si>
  <si>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</si>
  <si>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</si>
  <si>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</si>
  <si>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</si>
  <si>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</si>
  <si>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</si>
  <si>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</si>
  <si>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</si>
  <si>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</si>
  <si>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</si>
  <si>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</si>
  <si>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</si>
  <si>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</si>
  <si>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</si>
  <si>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</si>
  <si>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</si>
  <si>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</si>
  <si>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</si>
  <si>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</si>
  <si>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</si>
  <si>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</si>
  <si>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</si>
  <si>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</si>
  <si>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</si>
  <si>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</si>
  <si>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</si>
  <si>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</si>
  <si>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</si>
  <si>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</si>
  <si>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</si>
  <si>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</si>
  <si>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</si>
  <si>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</si>
  <si>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</si>
  <si>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</si>
  <si>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</si>
  <si>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</si>
  <si>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</si>
  <si>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</si>
  <si>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</si>
  <si>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</si>
  <si>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</si>
  <si>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</si>
  <si>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</si>
  <si>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</si>
  <si>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</si>
  <si>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</si>
  <si>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</si>
  <si>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</si>
  <si>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</si>
  <si>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</si>
  <si>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</si>
  <si>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</si>
  <si>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</si>
  <si>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</si>
  <si>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</si>
  <si>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</si>
  <si>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</si>
  <si>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</si>
  <si>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</si>
  <si>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</si>
  <si>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</si>
  <si>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</si>
  <si>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</si>
  <si>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</si>
  <si>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</si>
  <si>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</si>
  <si>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</si>
  <si>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</si>
  <si>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</si>
  <si>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</si>
  <si>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</si>
  <si>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</si>
  <si>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</si>
  <si>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</si>
  <si>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</si>
  <si>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</si>
  <si>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</si>
  <si>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</si>
  <si>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</si>
  <si>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</si>
  <si>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</si>
  <si>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</si>
  <si>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</si>
  <si>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</si>
  <si>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</si>
  <si>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</si>
  <si>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</si>
  <si>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</si>
  <si>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</si>
  <si>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</si>
  <si>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</si>
  <si>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</si>
  <si>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</si>
  <si>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</si>
  <si>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</si>
  <si>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</si>
  <si>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</si>
  <si>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</si>
  <si>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</si>
  <si>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</si>
  <si>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</si>
  <si>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</si>
  <si>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</si>
  <si>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</si>
  <si>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</si>
  <si>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</si>
  <si>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</si>
  <si>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</si>
  <si>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</si>
  <si>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</si>
  <si>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</si>
  <si>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</si>
  <si>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</si>
  <si>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</si>
  <si>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</si>
  <si>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</si>
  <si>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</si>
  <si>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</si>
  <si>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</si>
  <si>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</si>
  <si>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</si>
  <si>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</si>
  <si>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</si>
  <si>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</si>
  <si>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</si>
  <si>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</si>
  <si>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</si>
  <si>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</si>
  <si>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</si>
  <si>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</si>
  <si>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</si>
  <si>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</si>
  <si>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</si>
  <si>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</si>
  <si>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</si>
  <si>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</si>
  <si>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</si>
  <si>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</si>
  <si>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</si>
  <si>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</si>
  <si>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</si>
  <si>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</si>
  <si>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</si>
  <si>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</si>
  <si>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</si>
  <si>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</si>
  <si>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</si>
  <si>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</si>
  <si>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</si>
  <si>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</si>
  <si>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</si>
  <si>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</si>
  <si>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</si>
  <si>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</si>
  <si>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</si>
  <si>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</si>
  <si>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</si>
  <si>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</si>
  <si>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</si>
  <si>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</si>
  <si>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</si>
  <si>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</si>
  <si>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</si>
  <si>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</si>
  <si>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</si>
  <si>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</si>
  <si>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</si>
  <si>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</si>
  <si>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</si>
  <si>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</si>
  <si>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</si>
  <si>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</si>
  <si>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</si>
  <si>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</si>
  <si>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</si>
  <si>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</si>
  <si>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</si>
  <si>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</si>
  <si>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</si>
  <si>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</si>
  <si>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</si>
  <si>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</si>
  <si>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</si>
  <si>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</si>
  <si>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</si>
  <si>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</si>
  <si>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</si>
  <si>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</si>
  <si>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</si>
  <si>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</si>
  <si>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</si>
  <si>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</si>
  <si>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</si>
  <si>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</si>
  <si>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</si>
  <si>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</si>
  <si>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</si>
  <si>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</si>
  <si>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</si>
  <si>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</si>
  <si>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</si>
  <si>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</si>
  <si>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</si>
  <si>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</si>
  <si>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</si>
  <si>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</si>
  <si>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</si>
  <si>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</si>
  <si>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</si>
  <si>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</si>
  <si>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</si>
  <si>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</si>
  <si>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</si>
  <si>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</si>
  <si>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</si>
  <si>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</si>
  <si>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</si>
  <si>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</si>
  <si>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</si>
  <si>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</si>
  <si>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</si>
  <si>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</si>
  <si>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</si>
  <si>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</si>
  <si>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</si>
  <si>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</si>
  <si>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</si>
  <si>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</si>
  <si>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</si>
  <si>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</si>
  <si>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</si>
  <si>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</si>
  <si>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</si>
  <si>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</si>
  <si>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</si>
  <si>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</si>
  <si>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</si>
  <si>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</si>
  <si>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</si>
  <si>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</si>
  <si>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</si>
  <si>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</si>
  <si>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</si>
  <si>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</si>
  <si>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</si>
  <si>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</si>
  <si>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</si>
  <si>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</si>
  <si>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</si>
  <si>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</si>
  <si>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</si>
  <si>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</si>
  <si>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</si>
  <si>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</si>
  <si>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</si>
  <si>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</si>
  <si>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</si>
  <si>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</si>
  <si>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</si>
  <si>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</si>
  <si>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</si>
  <si>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</si>
  <si>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</si>
  <si>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</si>
  <si>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</si>
  <si>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</si>
  <si>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</si>
  <si>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</si>
  <si>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</si>
  <si>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</si>
  <si>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</si>
  <si>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</si>
  <si>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</si>
  <si>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</si>
  <si>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</si>
  <si>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</si>
  <si>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</si>
  <si>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</si>
  <si>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</si>
  <si>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</si>
  <si>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</si>
  <si>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</si>
  <si>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</si>
  <si>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</si>
  <si>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</si>
  <si>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</si>
  <si>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</si>
  <si>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</si>
  <si>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</si>
  <si>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</si>
  <si>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</si>
  <si>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</si>
  <si>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</si>
  <si>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</si>
  <si>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</si>
  <si>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</si>
  <si>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</si>
  <si>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</si>
  <si>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</si>
  <si>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</si>
  <si>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</si>
  <si>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</si>
  <si>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</si>
  <si>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</si>
  <si>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</si>
  <si>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</si>
  <si>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</si>
  <si>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</si>
  <si>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</si>
  <si>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</si>
  <si>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</si>
  <si>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</si>
  <si>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</si>
  <si>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</si>
  <si>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</si>
  <si>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</si>
  <si>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</si>
  <si>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</si>
  <si>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</si>
  <si>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</si>
  <si>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</si>
  <si>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</si>
  <si>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</si>
  <si>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</si>
  <si>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</si>
  <si>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</si>
  <si>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</si>
  <si>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</si>
  <si>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</si>
  <si>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</si>
  <si>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</si>
  <si>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</si>
  <si>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</si>
  <si>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</si>
  <si>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</si>
  <si>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</si>
  <si>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</si>
  <si>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</si>
  <si>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</si>
  <si>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</si>
  <si>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</si>
  <si>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</si>
  <si>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</si>
  <si>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</si>
  <si>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</si>
  <si>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</si>
  <si>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</si>
  <si>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</si>
  <si>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</si>
  <si>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</si>
  <si>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</si>
  <si>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</si>
  <si>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</si>
  <si>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</si>
  <si>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</si>
  <si>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</si>
  <si>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</si>
  <si>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</si>
  <si>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</si>
  <si>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</si>
  <si>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</si>
  <si>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</si>
  <si>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</si>
  <si>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</si>
  <si>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</si>
  <si>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</si>
  <si>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</si>
  <si>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</si>
  <si>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</si>
  <si>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</si>
  <si>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</si>
  <si>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</si>
  <si>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</si>
  <si>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</si>
  <si>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</si>
  <si>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</si>
  <si>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</si>
  <si>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</si>
  <si>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</si>
  <si>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</si>
  <si>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</si>
  <si>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</si>
  <si>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</si>
  <si>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</si>
  <si>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</si>
  <si>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</si>
  <si>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</si>
  <si>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</si>
  <si>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</si>
  <si>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</si>
  <si>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</si>
  <si>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</si>
  <si>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</si>
  <si>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</si>
  <si>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</si>
  <si>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</si>
  <si>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</si>
  <si>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</si>
  <si>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</si>
  <si>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</si>
  <si>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</si>
  <si>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</si>
  <si>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</si>
  <si>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</si>
  <si>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</si>
  <si>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</si>
  <si>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</si>
  <si>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</si>
  <si>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</si>
  <si>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</si>
  <si>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</si>
  <si>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</si>
  <si>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</si>
  <si>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</si>
  <si>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</si>
  <si>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</si>
  <si>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</si>
  <si>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</si>
  <si>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</si>
  <si>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</si>
  <si>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</si>
  <si>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</si>
  <si>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</si>
  <si>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</si>
  <si>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</si>
  <si>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</si>
  <si>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</si>
  <si>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</si>
  <si>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</si>
  <si>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</si>
  <si>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</si>
  <si>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</si>
  <si>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</si>
  <si>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</si>
  <si>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</si>
  <si>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</si>
  <si>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</si>
  <si>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</si>
  <si>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</si>
  <si>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</si>
  <si>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</si>
  <si>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</si>
  <si>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</si>
  <si>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</si>
  <si>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</si>
  <si>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</si>
  <si>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</si>
  <si>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</si>
  <si>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</si>
  <si>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</si>
  <si>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</si>
  <si>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</si>
  <si>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</si>
  <si>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</si>
  <si>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</si>
  <si>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</si>
  <si>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</si>
  <si>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</si>
  <si>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</si>
  <si>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</si>
  <si>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</si>
  <si>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</si>
  <si>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</si>
  <si>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</si>
  <si>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</si>
  <si>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</si>
  <si>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</si>
  <si>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</si>
  <si>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</si>
  <si>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</si>
  <si>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</si>
  <si>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</si>
  <si>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</si>
  <si>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</si>
  <si>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</si>
  <si>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</si>
  <si>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</si>
  <si>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</si>
  <si>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</si>
  <si>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</si>
  <si>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</si>
  <si>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</si>
  <si>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</si>
  <si>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</si>
  <si>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</si>
  <si>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</si>
  <si>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</si>
  <si>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</si>
  <si>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</si>
  <si>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</si>
  <si>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</si>
  <si>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</si>
  <si>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</si>
  <si>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</si>
  <si>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</si>
  <si>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</si>
  <si>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</si>
  <si>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</si>
  <si>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</si>
  <si>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</si>
  <si>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</si>
  <si>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</si>
  <si>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</si>
  <si>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</si>
  <si>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</si>
  <si>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</si>
  <si>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</si>
  <si>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</si>
  <si>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</si>
  <si>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</si>
  <si>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</si>
  <si>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</si>
  <si>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</si>
  <si>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</si>
  <si>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</si>
  <si>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</si>
  <si>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</si>
  <si>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</si>
  <si>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</si>
  <si>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</si>
  <si>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</si>
  <si>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</si>
  <si>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</si>
  <si>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</si>
  <si>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</si>
  <si>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</si>
  <si>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</si>
  <si>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</si>
  <si>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</si>
  <si>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</si>
  <si>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</si>
  <si>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</si>
  <si>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</si>
  <si>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</si>
  <si>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</si>
  <si>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</si>
  <si>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</si>
  <si>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</si>
  <si>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</si>
  <si>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</si>
  <si>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</si>
  <si>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</si>
  <si>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</si>
  <si>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</si>
  <si>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</si>
  <si>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</si>
  <si>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</si>
  <si>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</si>
  <si>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</si>
  <si>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</si>
  <si>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</si>
  <si>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</si>
  <si>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</si>
  <si>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</si>
  <si>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</si>
  <si>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</si>
  <si>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</si>
  <si>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</si>
  <si>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</si>
  <si>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</si>
  <si>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</si>
  <si>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</si>
  <si>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</si>
  <si>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</si>
  <si>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</si>
  <si>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</si>
  <si>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</si>
  <si>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</si>
  <si>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</si>
  <si>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</si>
  <si>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</si>
  <si>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</si>
  <si>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</si>
  <si>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</si>
  <si>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</si>
  <si>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</si>
  <si>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</si>
  <si>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</si>
  <si>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</si>
  <si>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</si>
  <si>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</si>
  <si>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</si>
  <si>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</si>
  <si>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</si>
  <si>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</si>
  <si>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</si>
  <si>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</si>
  <si>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</si>
  <si>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</si>
  <si>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</si>
  <si>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</si>
  <si>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</si>
  <si>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</si>
  <si>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</si>
  <si>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</si>
  <si>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</si>
  <si>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</si>
  <si>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</si>
  <si>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</si>
  <si>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</si>
  <si>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</si>
  <si>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</si>
  <si>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</si>
  <si>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</si>
  <si>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</si>
  <si>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</si>
  <si>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</si>
  <si>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</si>
  <si>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</si>
  <si>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</si>
  <si>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</si>
  <si>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</si>
  <si>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</si>
  <si>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</si>
  <si>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</si>
  <si>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</si>
  <si>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</si>
  <si>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</si>
  <si>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</si>
  <si>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</si>
  <si>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</si>
  <si>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</si>
  <si>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</si>
  <si>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</si>
  <si>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</si>
  <si>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</si>
  <si>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</si>
  <si>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</si>
  <si>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</si>
  <si>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</si>
  <si>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</si>
  <si>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</si>
  <si>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</si>
  <si>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</si>
  <si>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</si>
  <si>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</si>
  <si>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</si>
  <si>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</si>
  <si>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</si>
  <si>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</si>
  <si>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</si>
  <si>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</si>
  <si>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</si>
  <si>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</si>
  <si>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</si>
  <si>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</si>
  <si>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</si>
  <si>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</si>
  <si>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</si>
  <si>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</si>
  <si>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</si>
  <si>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</si>
  <si>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</si>
  <si>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</si>
  <si>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</si>
  <si>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</si>
  <si>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</si>
  <si>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</si>
  <si>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</si>
  <si>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</si>
  <si>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</si>
  <si>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</si>
  <si>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</si>
  <si>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</si>
  <si>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</si>
  <si>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</si>
  <si>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</si>
  <si>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</si>
  <si>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</si>
  <si>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</si>
  <si>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</si>
  <si>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</si>
  <si>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</si>
  <si>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</si>
  <si>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</si>
  <si>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</si>
  <si>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</si>
  <si>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</si>
  <si>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</si>
  <si>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</si>
  <si>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</si>
  <si>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</si>
  <si>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</si>
  <si>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</si>
  <si>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</si>
  <si>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</si>
  <si>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</si>
  <si>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</si>
  <si>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</si>
  <si>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</si>
  <si>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</si>
  <si>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</si>
  <si>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</si>
  <si>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</si>
  <si>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</si>
  <si>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</si>
  <si>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</si>
  <si>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</si>
  <si>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</si>
  <si>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</si>
  <si>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</si>
  <si>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</si>
  <si>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</si>
  <si>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</si>
  <si>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</si>
  <si>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</si>
  <si>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</si>
  <si>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</si>
  <si>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</si>
  <si>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</si>
  <si>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</si>
  <si>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</si>
  <si>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</si>
  <si>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</si>
  <si>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</si>
  <si>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</si>
  <si>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</si>
  <si>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</si>
  <si>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</si>
  <si>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</si>
  <si>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</si>
  <si>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</si>
  <si>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</si>
  <si>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</si>
  <si>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</si>
  <si>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</si>
  <si>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</si>
  <si>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</si>
  <si>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</si>
  <si>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</si>
  <si>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</si>
  <si>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</si>
  <si>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</si>
  <si>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</si>
  <si>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</si>
  <si>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</si>
  <si>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</si>
  <si>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</si>
  <si>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</si>
  <si>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</si>
  <si>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</si>
  <si>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</si>
  <si>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</si>
  <si>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</si>
  <si>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</si>
  <si>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</si>
  <si>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</si>
  <si>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</si>
  <si>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</si>
  <si>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</si>
  <si>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</si>
  <si>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</si>
  <si>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</si>
  <si>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</si>
  <si>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</si>
  <si>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</si>
  <si>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</si>
  <si>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</si>
  <si>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</si>
  <si>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</si>
  <si>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</si>
  <si>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</si>
  <si>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</si>
  <si>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</si>
  <si>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</si>
  <si>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</si>
  <si>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</si>
  <si>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</si>
  <si>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</si>
  <si>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</si>
  <si>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</si>
  <si>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</si>
  <si>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</si>
  <si>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</si>
  <si>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</si>
  <si>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</si>
  <si>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</si>
  <si>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</si>
  <si>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</si>
  <si>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</si>
  <si>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</si>
  <si>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</si>
  <si>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</si>
  <si>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</si>
  <si>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</si>
  <si>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</si>
  <si>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</si>
  <si>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</si>
  <si>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</si>
  <si>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</si>
  <si>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</si>
  <si>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</si>
  <si>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</si>
  <si>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</si>
  <si>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</si>
  <si>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</si>
  <si>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</si>
  <si>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</si>
  <si>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</si>
  <si>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</si>
  <si>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</si>
  <si>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</si>
  <si>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</si>
  <si>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</si>
  <si>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</si>
  <si>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</si>
  <si>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</si>
  <si>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</si>
  <si>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</si>
  <si>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</si>
  <si>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</si>
  <si>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</si>
  <si>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</si>
  <si>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</si>
  <si>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</si>
  <si>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</si>
  <si>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</si>
  <si>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</si>
  <si>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</si>
  <si>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</si>
  <si>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</si>
  <si>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</si>
  <si>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</si>
  <si>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</si>
  <si>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</si>
  <si>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</si>
  <si>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</si>
  <si>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</si>
  <si>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</si>
  <si>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</si>
  <si>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</si>
  <si>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</si>
  <si>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</si>
  <si>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</si>
  <si>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</si>
  <si>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</si>
  <si>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</si>
  <si>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</si>
  <si>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</si>
  <si>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</si>
  <si>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</si>
  <si>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</si>
  <si>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</si>
  <si>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</si>
  <si>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</si>
  <si>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</si>
  <si>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</si>
  <si>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</si>
  <si>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</si>
  <si>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</si>
  <si>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</si>
  <si>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</si>
  <si>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</si>
  <si>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</si>
  <si>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</si>
  <si>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</si>
  <si>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</si>
  <si>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</si>
  <si>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</si>
  <si>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</si>
  <si>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</si>
  <si>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</si>
  <si>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</si>
  <si>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</si>
  <si>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</si>
  <si>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</si>
  <si>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</si>
  <si>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</si>
  <si>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</si>
  <si>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</si>
  <si>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</si>
  <si>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</si>
  <si>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</si>
  <si>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</si>
  <si>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</si>
  <si>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</si>
  <si>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</si>
  <si>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</si>
  <si>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</si>
  <si>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</si>
  <si>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</si>
  <si>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</si>
  <si>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</si>
  <si>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</si>
  <si>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</si>
  <si>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</si>
  <si>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</si>
  <si>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</si>
  <si>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</si>
  <si>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</si>
  <si>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</si>
  <si>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</si>
  <si>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</si>
  <si>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</si>
  <si>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</si>
  <si>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</si>
  <si>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</si>
  <si>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</si>
  <si>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</si>
  <si>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</si>
  <si>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</si>
  <si>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</si>
  <si>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</si>
  <si>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</si>
  <si>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</si>
  <si>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</si>
  <si>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</si>
  <si>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</si>
  <si>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</si>
  <si>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</si>
  <si>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</si>
  <si>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</si>
  <si>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</si>
  <si>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</si>
  <si>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</si>
  <si>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</si>
  <si>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</si>
  <si>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</si>
  <si>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</si>
  <si>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</si>
  <si>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</si>
  <si>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</si>
  <si>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</si>
  <si>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</si>
  <si>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</si>
  <si>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</si>
  <si>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</si>
  <si>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</si>
  <si>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</si>
  <si>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</si>
  <si>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</si>
  <si>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</si>
  <si>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</si>
  <si>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</si>
  <si>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</si>
  <si>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</si>
  <si>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</si>
  <si>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</si>
  <si>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</si>
  <si>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</si>
  <si>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</si>
  <si>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</si>
  <si>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</si>
  <si>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</si>
  <si>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</si>
  <si>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</si>
  <si>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</si>
  <si>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</si>
  <si>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</si>
  <si>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</si>
  <si>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</si>
  <si>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</si>
  <si>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</si>
  <si>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</si>
  <si>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</si>
  <si>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</si>
  <si>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</si>
  <si>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</si>
  <si>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</si>
  <si>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</si>
  <si>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</si>
  <si>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</si>
  <si>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</si>
  <si>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</si>
  <si>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</si>
  <si>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</si>
  <si>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</si>
  <si>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</si>
  <si>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</si>
  <si>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</si>
  <si>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</si>
  <si>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</si>
  <si>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</si>
  <si>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</si>
  <si>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</si>
  <si>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</si>
  <si>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</si>
  <si>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</si>
  <si>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</si>
  <si>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</si>
  <si>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</si>
  <si>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</si>
  <si>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</si>
  <si>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</si>
  <si>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</si>
  <si>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</si>
  <si>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</si>
  <si>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</si>
  <si>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</si>
  <si>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</si>
  <si>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</si>
  <si>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</si>
  <si>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</si>
  <si>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</si>
  <si>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</si>
  <si>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</si>
  <si>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</si>
  <si>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</si>
  <si>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</si>
  <si>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</si>
  <si>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</si>
  <si>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</si>
  <si>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</si>
  <si>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</si>
  <si>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</si>
  <si>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</si>
  <si>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</si>
  <si>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</si>
  <si>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</si>
  <si>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</si>
  <si>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</si>
  <si>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</si>
  <si>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</si>
  <si>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</si>
  <si>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</si>
  <si>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</si>
  <si>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</si>
  <si>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</si>
  <si>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</si>
  <si>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</si>
  <si>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</si>
  <si>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</si>
  <si>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</si>
  <si>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</si>
  <si>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</si>
  <si>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</si>
  <si>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</si>
  <si>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</si>
  <si>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</si>
  <si>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</si>
  <si>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</si>
  <si>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</si>
  <si>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</si>
  <si>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</si>
  <si>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</si>
  <si>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</si>
  <si>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</si>
  <si>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</si>
  <si>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</si>
  <si>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</si>
  <si>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</si>
  <si>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</si>
  <si>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</si>
  <si>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</si>
  <si>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</si>
  <si>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</si>
  <si>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</si>
  <si>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</si>
  <si>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</si>
  <si>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</si>
  <si>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</si>
  <si>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</si>
  <si>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</si>
  <si>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</si>
  <si>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</si>
  <si>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</si>
  <si>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</si>
  <si>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</si>
  <si>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</si>
  <si>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</si>
  <si>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</si>
  <si>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</si>
  <si>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</si>
  <si>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</si>
  <si>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</si>
  <si>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</si>
  <si>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</si>
  <si>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</si>
  <si>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</si>
  <si>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</si>
  <si>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</si>
  <si>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</si>
  <si>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</si>
  <si>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</si>
  <si>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</si>
  <si>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</si>
  <si>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</si>
  <si>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</si>
  <si>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</si>
  <si>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</si>
  <si>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</si>
  <si>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</si>
  <si>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</si>
  <si>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</si>
  <si>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</si>
  <si>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</si>
  <si>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</si>
  <si>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</si>
  <si>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</si>
  <si>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</si>
  <si>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</si>
  <si>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</si>
  <si>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</si>
  <si>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</si>
  <si>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</si>
  <si>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</si>
  <si>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</si>
  <si>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</si>
  <si>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</si>
  <si>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</si>
  <si>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</si>
  <si>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</si>
  <si>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</si>
  <si>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</si>
  <si>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</si>
  <si>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</si>
  <si>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</si>
  <si>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</si>
  <si>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</si>
  <si>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</si>
  <si>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</si>
  <si>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</si>
  <si>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</si>
  <si>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</si>
  <si>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</si>
  <si>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</si>
  <si>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</si>
  <si>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</si>
  <si>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</si>
  <si>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</si>
  <si>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</si>
  <si>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</si>
  <si>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</si>
  <si>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</si>
  <si>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</si>
  <si>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</si>
  <si>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</si>
  <si>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</si>
  <si>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</si>
  <si>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</si>
  <si>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</si>
  <si>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</si>
  <si>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</si>
  <si>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</si>
  <si>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</si>
  <si>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</si>
  <si>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</si>
  <si>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</si>
  <si>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</si>
  <si>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</si>
  <si>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</si>
  <si>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</si>
  <si>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</si>
  <si>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</si>
  <si>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</si>
  <si>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</si>
  <si>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</si>
  <si>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</si>
  <si>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</si>
  <si>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</si>
  <si>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</si>
  <si>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</si>
  <si>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</si>
  <si>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</si>
  <si>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</si>
  <si>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</si>
  <si>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</si>
  <si>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</si>
  <si>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</si>
  <si>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</si>
  <si>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</si>
  <si>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</si>
  <si>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</si>
  <si>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</si>
  <si>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</si>
  <si>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</si>
  <si>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</si>
  <si>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</si>
  <si>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</si>
  <si>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</si>
  <si>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</si>
  <si>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</si>
  <si>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</si>
  <si>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</si>
  <si>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</si>
  <si>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</si>
  <si>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</si>
  <si>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</si>
  <si>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</si>
  <si>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</si>
  <si>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</si>
  <si>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</si>
  <si>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</si>
  <si>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</si>
  <si>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</si>
  <si>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</si>
  <si>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</si>
  <si>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</si>
  <si>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</si>
  <si>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</si>
  <si>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</si>
  <si>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</si>
  <si>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</si>
  <si>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</si>
  <si>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</si>
  <si>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</si>
  <si>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</si>
  <si>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</si>
  <si>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</si>
  <si>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</si>
  <si>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</si>
  <si>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</si>
  <si>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</si>
  <si>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</si>
  <si>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</si>
  <si>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</si>
  <si>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</si>
  <si>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</si>
  <si>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</si>
  <si>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</si>
  <si>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</si>
  <si>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</si>
  <si>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</si>
  <si>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</si>
  <si>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</si>
  <si>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</si>
  <si>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</si>
  <si>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</si>
  <si>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</si>
  <si>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</si>
  <si>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</si>
  <si>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</si>
  <si>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</si>
  <si>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</si>
  <si>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</si>
  <si>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</si>
  <si>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</si>
  <si>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</si>
  <si>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</si>
  <si>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</si>
  <si>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</si>
  <si>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</si>
  <si>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</si>
  <si>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</si>
  <si>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</si>
  <si>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</si>
  <si>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</si>
  <si>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</si>
  <si>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</si>
  <si>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</si>
  <si>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</si>
  <si>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</si>
  <si>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</si>
  <si>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</si>
  <si>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</si>
  <si>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</si>
  <si>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</si>
  <si>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</si>
  <si>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</si>
  <si>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</si>
  <si>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</si>
  <si>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</si>
  <si>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</si>
  <si>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</si>
  <si>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</si>
  <si>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</si>
  <si>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</si>
  <si>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</si>
  <si>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</si>
  <si>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</si>
  <si>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</si>
  <si>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</si>
  <si>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</si>
  <si>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</si>
  <si>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</si>
  <si>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</si>
  <si>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</si>
  <si>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</si>
  <si>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</si>
  <si>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</si>
  <si>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</si>
  <si>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</si>
  <si>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</si>
  <si>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</si>
  <si>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</si>
  <si>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</si>
  <si>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</si>
  <si>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</si>
  <si>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</si>
  <si>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</si>
  <si>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</si>
  <si>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</si>
  <si>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</si>
  <si>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</si>
  <si>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</si>
  <si>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</si>
  <si>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</si>
  <si>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</si>
  <si>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</si>
  <si>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</si>
  <si>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</si>
  <si>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</si>
  <si>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</si>
  <si>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</si>
  <si>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</si>
  <si>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</si>
  <si>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</si>
  <si>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</si>
  <si>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</si>
  <si>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</si>
  <si>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</si>
  <si>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</si>
  <si>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</si>
  <si>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</si>
  <si>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</si>
  <si>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</si>
  <si>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</si>
  <si>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</si>
  <si>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</si>
  <si>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</si>
  <si>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</si>
  <si>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</si>
  <si>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</si>
  <si>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</si>
  <si>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</si>
  <si>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</si>
  <si>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</si>
  <si>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</si>
  <si>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</si>
  <si>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</si>
  <si>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</si>
  <si>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</si>
  <si>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</si>
  <si>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</si>
  <si>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</si>
  <si>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</si>
  <si>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</si>
  <si>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</si>
  <si>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</si>
  <si>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</si>
  <si>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</si>
  <si>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</si>
  <si>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</si>
  <si>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</si>
  <si>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</si>
  <si>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</si>
  <si>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</si>
  <si>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</si>
  <si>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</si>
  <si>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</si>
  <si>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</si>
  <si>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</si>
  <si>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</si>
  <si>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</si>
  <si>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</si>
  <si>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</si>
  <si>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</si>
  <si>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</si>
  <si>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</si>
  <si>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</si>
  <si>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</si>
  <si>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</si>
  <si>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</si>
  <si>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</si>
  <si>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</si>
  <si>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</si>
  <si>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</si>
  <si>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</si>
  <si>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</si>
  <si>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</si>
  <si>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</si>
  <si>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</si>
  <si>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</si>
  <si>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</si>
  <si>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</si>
  <si>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</si>
  <si>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</si>
  <si>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</si>
  <si>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</si>
  <si>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</si>
  <si>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</si>
  <si>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</si>
  <si>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</si>
  <si>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</si>
  <si>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</si>
  <si>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</si>
  <si>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</si>
  <si>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</si>
  <si>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</si>
  <si>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</si>
  <si>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</si>
  <si>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</si>
  <si>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</si>
  <si>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</si>
  <si>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</si>
  <si>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</si>
  <si>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</si>
  <si>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</si>
  <si>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</si>
  <si>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</si>
  <si>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</si>
  <si>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</si>
  <si>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</si>
  <si>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</si>
  <si>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</si>
  <si>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</si>
  <si>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</si>
  <si>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</si>
  <si>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</si>
  <si>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</si>
  <si>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</si>
  <si>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</si>
  <si>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</si>
  <si>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</si>
  <si>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</si>
  <si>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</si>
  <si>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</si>
  <si>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</si>
  <si>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</si>
  <si>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</si>
  <si>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</si>
  <si>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</si>
  <si>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</si>
  <si>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</si>
  <si>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</si>
  <si>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</si>
  <si>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</si>
  <si>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</si>
  <si>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</si>
  <si>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</si>
  <si>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</si>
  <si>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</si>
  <si>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</si>
  <si>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</si>
  <si>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</si>
  <si>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</si>
  <si>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</si>
  <si>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</si>
  <si>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</si>
  <si>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</si>
  <si>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</si>
  <si>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</si>
  <si>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</si>
  <si>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</si>
  <si>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</si>
  <si>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</si>
  <si>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</si>
  <si>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</si>
  <si>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</si>
  <si>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</si>
  <si>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</si>
  <si>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</si>
  <si>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</si>
  <si>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</si>
  <si>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Havertz</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</si>
  <si>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</si>
  <si>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</si>
  <si>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</si>
  <si>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</si>
  <si>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</si>
  <si>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</si>
  <si>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</si>
  <si>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</si>
  <si>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</si>
  <si>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</si>
  <si>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</si>
  <si>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</si>
  <si>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</si>
  <si>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</si>
  <si>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</si>
  <si>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</si>
  <si>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</si>
  <si>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</si>
  <si>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</si>
  <si>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</si>
  <si>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</si>
  <si>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</si>
  <si>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</si>
  <si>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</si>
  <si>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</si>
  <si>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</si>
  <si>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</si>
  <si>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</si>
  <si>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</si>
  <si>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</si>
  <si>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</si>
  <si>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</si>
  <si>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</si>
  <si>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</si>
  <si>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</si>
  <si>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</si>
  <si>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</si>
  <si>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</si>
  <si>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</si>
  <si>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</si>
  <si>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</si>
  <si>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</si>
  <si>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</si>
  <si>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</si>
  <si>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</si>
  <si>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</si>
  <si>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</si>
  <si>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</si>
  <si>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</si>
  <si>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</si>
  <si>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</si>
  <si>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</si>
  <si>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</si>
  <si>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</si>
  <si>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</si>
  <si>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</si>
  <si>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</si>
  <si>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</si>
  <si>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</si>
  <si>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</si>
  <si>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</si>
  <si>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</si>
  <si>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</si>
  <si>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</si>
  <si>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</si>
  <si>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</si>
  <si>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</si>
  <si>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</si>
  <si>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</si>
  <si>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</si>
  <si>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</si>
  <si>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</si>
  <si>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</si>
  <si>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</si>
  <si>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</si>
  <si>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</si>
  <si>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</si>
  <si>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</si>
  <si>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</si>
  <si>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</si>
  <si>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</si>
  <si>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</si>
  <si>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</si>
  <si>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</si>
  <si>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</si>
  <si>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</si>
  <si>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</si>
  <si>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</si>
  <si>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</si>
  <si>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</si>
  <si>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</si>
  <si>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</si>
  <si>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</si>
  <si>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</si>
  <si>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</si>
  <si>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</si>
  <si>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</si>
  <si>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</si>
  <si>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</si>
  <si>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</si>
  <si>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</si>
  <si>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</si>
  <si>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</si>
  <si>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</si>
  <si>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</si>
  <si>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</si>
  <si>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</si>
  <si>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</si>
  <si>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</si>
  <si>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</si>
  <si>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</si>
  <si>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</si>
  <si>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</si>
  <si>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</si>
  <si>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</si>
  <si>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</si>
  <si>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</si>
  <si>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</si>
  <si>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</si>
  <si>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</si>
  <si>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</si>
  <si>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</si>
  <si>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</si>
  <si>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</si>
  <si>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</si>
  <si>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</si>
  <si>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</si>
  <si>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</si>
  <si>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</si>
  <si>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</si>
  <si>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</si>
  <si>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</si>
  <si>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</si>
  <si>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</si>
  <si>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</si>
  <si>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</si>
  <si>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</si>
  <si>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</si>
  <si>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</si>
  <si>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</si>
  <si>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</si>
  <si>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</si>
  <si>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</si>
  <si>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</si>
  <si>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</si>
  <si>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</si>
  <si>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</si>
  <si>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</si>
  <si>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</si>
  <si>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</si>
  <si>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</si>
  <si>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</si>
  <si>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</si>
  <si>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</si>
  <si>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</si>
  <si>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</si>
  <si>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</si>
  <si>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</si>
  <si>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</si>
  <si>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</si>
  <si>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</si>
  <si>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</si>
  <si>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</si>
  <si>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</si>
  <si>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</si>
  <si>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</si>
  <si>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</si>
  <si>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</si>
  <si>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</si>
  <si>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</si>
  <si>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</si>
  <si>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</si>
  <si>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</si>
  <si>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</si>
  <si>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</si>
  <si>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</si>
  <si>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</si>
  <si>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</si>
  <si>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</si>
  <si>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</si>
  <si>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</si>
  <si>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</si>
  <si>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</si>
  <si>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</si>
  <si>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</si>
  <si>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</si>
  <si>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</si>
  <si>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</si>
  <si>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</si>
  <si>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</si>
  <si>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</si>
  <si>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</si>
  <si>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</si>
  <si>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</si>
  <si>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</si>
  <si>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</si>
  <si>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</si>
  <si>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</si>
  <si>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</si>
  <si>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</si>
  <si>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</si>
  <si>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</si>
  <si>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</si>
  <si>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</si>
  <si>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</si>
  <si>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</si>
  <si>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</si>
  <si>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</si>
  <si>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</si>
  <si>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</si>
  <si>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</si>
  <si>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</si>
  <si>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</si>
  <si>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</si>
  <si>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</si>
  <si>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</si>
  <si>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</si>
  <si>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</si>
  <si>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</si>
  <si>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</si>
  <si>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</si>
  <si>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</si>
  <si>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</si>
  <si>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</si>
  <si>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</si>
  <si>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</si>
  <si>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</si>
  <si>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</si>
  <si>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</si>
  <si>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</si>
  <si>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</si>
  <si>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</si>
  <si>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</si>
  <si>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</si>
  <si>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</si>
  <si>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</si>
  <si>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</si>
  <si>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</si>
  <si>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</si>
  <si>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</si>
  <si>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</si>
  <si>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</si>
  <si>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</si>
  <si>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</si>
  <si>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</si>
  <si>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</si>
  <si>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</si>
  <si>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</si>
  <si>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</si>
  <si>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</si>
  <si>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</si>
  <si>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</si>
  <si>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</si>
  <si>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</si>
  <si>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</si>
  <si>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</si>
  <si>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</si>
  <si>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</si>
  <si>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</si>
  <si>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</si>
  <si>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</si>
  <si>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</si>
  <si>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</si>
  <si>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</si>
  <si>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</si>
  <si>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</si>
  <si>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</si>
  <si>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</si>
  <si>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</si>
  <si>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</si>
  <si>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</si>
  <si>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</si>
  <si>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</si>
  <si>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</si>
  <si>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</si>
  <si>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</si>
  <si>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</si>
  <si>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</si>
  <si>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</si>
  <si>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</si>
  <si>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</si>
  <si>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</si>
  <si>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</si>
  <si>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</si>
  <si>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</si>
  <si>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</si>
  <si>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</si>
  <si>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</si>
  <si>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</si>
  <si>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</si>
  <si>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</si>
  <si>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</si>
  <si>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</si>
  <si>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</si>
  <si>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</si>
  <si>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</si>
  <si>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</si>
  <si>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</si>
  <si>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</si>
  <si>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</si>
  <si>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</si>
  <si>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</si>
  <si>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</si>
  <si>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</si>
  <si>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</si>
  <si>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</si>
  <si>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</si>
  <si>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</si>
  <si>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</si>
  <si>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</si>
  <si>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</si>
  <si>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</si>
  <si>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</si>
  <si>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</si>
  <si>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</si>
  <si>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</si>
  <si>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</si>
  <si>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</si>
  <si>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</si>
  <si>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</si>
  <si>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</si>
  <si>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</si>
  <si>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</si>
  <si>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</si>
  <si>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</si>
  <si>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</si>
  <si>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</si>
  <si>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</si>
  <si>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</si>
  <si>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</si>
  <si>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</si>
  <si>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</si>
  <si>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</si>
  <si>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</si>
  <si>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</si>
  <si>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</si>
  <si>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</si>
  <si>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</si>
  <si>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</si>
  <si>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</si>
  <si>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</si>
  <si>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</si>
  <si>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</si>
  <si>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</si>
  <si>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</si>
  <si>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</si>
  <si>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</si>
  <si>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</si>
  <si>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</si>
  <si>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</si>
  <si>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</si>
  <si>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</si>
  <si>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</si>
  <si>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</si>
  <si>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</si>
  <si>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</si>
  <si>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</si>
  <si>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</si>
  <si>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</si>
  <si>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</si>
  <si>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</si>
  <si>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</si>
  <si>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</si>
  <si>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</si>
  <si>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</si>
  <si>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</si>
  <si>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</si>
  <si>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</si>
  <si>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</si>
  <si>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</si>
  <si>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</si>
  <si>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</si>
  <si>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</si>
  <si>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</si>
  <si>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</si>
  <si>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</si>
  <si>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</si>
  <si>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</si>
  <si>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</si>
  <si>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</si>
  <si>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</si>
  <si>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</si>
  <si>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</si>
  <si>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</si>
  <si>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</si>
  <si>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</si>
  <si>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</si>
  <si>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</si>
  <si>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</si>
  <si>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</si>
  <si>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</si>
  <si>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</si>
  <si>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</si>
  <si>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</si>
  <si>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</si>
  <si>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</si>
  <si>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</si>
  <si>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</si>
  <si>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</si>
  <si>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</si>
  <si>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</si>
  <si>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</si>
  <si>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</si>
  <si>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</si>
  <si>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</si>
  <si>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</si>
  <si>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</si>
  <si>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</si>
  <si>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</si>
  <si>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</si>
  <si>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</si>
  <si>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</si>
  <si>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</si>
  <si>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</si>
  <si>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</si>
  <si>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</si>
  <si>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</si>
  <si>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</si>
  <si>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</si>
  <si>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</si>
  <si>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</si>
  <si>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</si>
  <si>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</si>
  <si>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</si>
  <si>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</si>
  <si>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</si>
  <si>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</si>
  <si>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</si>
  <si>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</si>
  <si>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</si>
  <si>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</si>
  <si>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</si>
  <si>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</si>
  <si>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</si>
  <si>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</si>
  <si>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</si>
  <si>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</si>
  <si>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</si>
  <si>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</si>
  <si>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</si>
  <si>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</si>
  <si>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</si>
  <si>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</si>
  <si>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</si>
  <si>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</si>
  <si>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</si>
  <si>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</si>
  <si>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</si>
  <si>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</si>
  <si>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</si>
  <si>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</si>
  <si>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</si>
  <si>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</si>
  <si>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</si>
  <si>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</si>
  <si>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</si>
  <si>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</si>
  <si>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</si>
  <si>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</si>
  <si>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</si>
  <si>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</si>
  <si>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</si>
  <si>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</si>
  <si>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</si>
  <si>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</si>
  <si>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</si>
  <si>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</si>
  <si>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</si>
  <si>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</si>
  <si>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</si>
  <si>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</si>
  <si>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</si>
  <si>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</si>
  <si>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</si>
  <si>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</si>
  <si>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</si>
  <si>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</si>
  <si>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</si>
  <si>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</si>
  <si>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</si>
  <si>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</si>
  <si>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</si>
  <si>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</si>
  <si>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</si>
  <si>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</si>
  <si>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</si>
  <si>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</si>
  <si>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</si>
  <si>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</si>
  <si>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</si>
  <si>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</si>
  <si>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</si>
  <si>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</si>
  <si>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</si>
  <si>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</si>
  <si>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</si>
  <si>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</si>
  <si>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</si>
  <si>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</si>
  <si>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</si>
  <si>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</si>
  <si>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</si>
  <si>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</si>
  <si>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</si>
  <si>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</si>
  <si>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</si>
  <si>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</si>
  <si>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</si>
  <si>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</si>
  <si>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</si>
  <si>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</si>
  <si>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</si>
  <si>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</si>
  <si>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</si>
  <si>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</si>
  <si>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</si>
  <si>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</si>
  <si>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</si>
  <si>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</si>
  <si>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</si>
  <si>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</si>
  <si>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</si>
  <si>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</si>
  <si>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</si>
  <si>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</si>
  <si>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</si>
  <si>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</si>
  <si>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</si>
  <si>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</si>
  <si>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</si>
  <si>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</si>
  <si>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</si>
  <si>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</si>
  <si>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</si>
  <si>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</si>
  <si>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</si>
  <si>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</si>
  <si>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</si>
  <si>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</si>
  <si>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</si>
  <si>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</si>
  <si>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</si>
  <si>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</si>
  <si>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</si>
  <si>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</si>
  <si>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</si>
  <si>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</si>
  <si>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</si>
  <si>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</si>
  <si>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</si>
  <si>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</si>
  <si>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</si>
  <si>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</si>
  <si>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</si>
  <si>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</si>
  <si>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</si>
  <si>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</si>
  <si>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</si>
  <si>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</si>
  <si>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</si>
  <si>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</si>
  <si>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</si>
  <si>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</si>
  <si>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</si>
  <si>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</si>
  <si>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</si>
  <si>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</si>
  <si>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</si>
  <si>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</si>
  <si>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</si>
  <si>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</si>
  <si>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</si>
  <si>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</si>
  <si>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</si>
  <si>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</si>
  <si>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</si>
  <si>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</si>
  <si>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</si>
  <si>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</si>
  <si>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</si>
  <si>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</si>
  <si>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</si>
  <si>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</si>
  <si>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</si>
  <si>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</si>
  <si>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</si>
  <si>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</si>
  <si>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</si>
  <si>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</si>
  <si>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</si>
  <si>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</si>
  <si>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</si>
  <si>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</si>
  <si>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</si>
  <si>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</si>
  <si>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</si>
  <si>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</si>
  <si>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</si>
  <si>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</si>
  <si>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</si>
  <si>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</si>
  <si>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</si>
  <si>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</si>
  <si>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</si>
  <si>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</si>
  <si>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</si>
  <si>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</si>
  <si>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</si>
  <si>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</si>
  <si>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</si>
  <si>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</si>
  <si>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</si>
  <si>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</si>
  <si>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</si>
  <si>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</si>
  <si>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</si>
  <si>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</si>
  <si>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</si>
  <si>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</si>
  <si>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</si>
  <si>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</si>
  <si>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</si>
  <si>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</si>
  <si>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</si>
  <si>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</si>
  <si>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</si>
  <si>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</si>
  <si>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</si>
  <si>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</si>
  <si>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</si>
  <si>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</si>
  <si>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</si>
  <si>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</si>
  <si>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</si>
  <si>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</si>
  <si>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</si>
  <si>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</si>
  <si>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</si>
  <si>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</si>
  <si>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</si>
  <si>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</si>
  <si>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</si>
  <si>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</si>
  <si>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</si>
  <si>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</si>
  <si>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</si>
  <si>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</si>
  <si>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</si>
  <si>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</si>
  <si>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</si>
  <si>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</si>
  <si>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</si>
  <si>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</si>
  <si>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</si>
  <si>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</si>
  <si>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</si>
  <si>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</si>
  <si>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</si>
  <si>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</si>
  <si>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</si>
  <si>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</si>
  <si>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</si>
  <si>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</si>
  <si>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</si>
  <si>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</si>
  <si>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</si>
  <si>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</si>
  <si>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</si>
  <si>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</si>
  <si>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</si>
  <si>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</si>
  <si>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</si>
  <si>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</si>
  <si>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</si>
  <si>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</si>
  <si>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</si>
  <si>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</si>
  <si>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</si>
  <si>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</si>
  <si>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</si>
  <si>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</si>
  <si>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</si>
  <si>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</si>
  <si>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</si>
  <si>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</si>
  <si>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</si>
  <si>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</si>
  <si>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</si>
  <si>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</si>
  <si>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</si>
  <si>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</si>
  <si>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</si>
  <si>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</si>
  <si>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</si>
  <si>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</si>
  <si>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</si>
  <si>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</si>
  <si>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</si>
  <si>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</si>
  <si>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</si>
  <si>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</si>
  <si>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</si>
  <si>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</si>
  <si>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</si>
  <si>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</si>
  <si>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</si>
  <si>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</si>
  <si>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</si>
  <si>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</si>
  <si>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</si>
  <si>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</si>
  <si>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</si>
  <si>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</si>
  <si>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</si>
  <si>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</si>
  <si>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</si>
  <si>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</si>
  <si>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</si>
  <si>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</si>
  <si>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</si>
  <si>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</si>
  <si>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</si>
  <si>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</si>
  <si>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</si>
  <si>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</si>
  <si>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</si>
  <si>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</si>
  <si>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</si>
  <si>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</si>
  <si>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IGOR THIAGO</t>
  </si>
  <si>
    <t>PEDRI</t>
  </si>
  <si>
    <t xml:space="preserve">Ignacio Núñez </t>
  </si>
  <si>
    <t>Brasil-Túnez·1|3-0</t>
  </si>
  <si>
    <t>Alemania-Estados Unidos·1|2-1</t>
  </si>
  <si>
    <t>Ecuador-Senegal·1|2-1</t>
  </si>
  <si>
    <t>Turquía-Costa de Marfil·1|2-0</t>
  </si>
  <si>
    <t>Argentina-Paraguay·1|1-0</t>
  </si>
  <si>
    <t>Alemania-España·2|1-3</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</si>
  <si>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</si>
  <si>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</si>
  <si>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</si>
  <si>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</si>
  <si>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</si>
  <si>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</si>
  <si>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</si>
  <si>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</si>
  <si>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</si>
  <si>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</si>
  <si>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</si>
  <si>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</si>
  <si>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</si>
  <si>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</si>
  <si>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</si>
  <si>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</si>
  <si>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</si>
  <si>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</si>
  <si>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</si>
  <si>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</si>
  <si>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</si>
  <si>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</si>
  <si>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</si>
  <si>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</si>
  <si>
    <t>Yamal</t>
  </si>
  <si>
    <t>Fernandes</t>
  </si>
  <si>
    <t>Gakpo</t>
  </si>
  <si>
    <t>Vinicius 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</si>
</sst>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5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777240</xdr:colOff>
          <xdr:row>35</xdr:row>
          <xdr:rowOff>152400</xdr:rowOff>
        </xdr:from>
        <xdr:to>
          <xdr:col>4</xdr:col>
          <xdr:colOff>533400</xdr:colOff>
          <xdr:row>51</xdr:row>
          <xdr:rowOff>38100</xdr:rowOff>
        </xdr:to>
        <xdr:pic>
          <xdr:nvPicPr>
            <xdr:cNvPr id="18140" name="Imagen 7">
              <a:extLst>
                <a:ext uri="{FF2B5EF4-FFF2-40B4-BE49-F238E27FC236}">
                  <a16:creationId xmlns:a16="http://schemas.microsoft.com/office/drawing/2014/main" id="{96116066-84B2-3B30-0F5A-D6EBCCEEA541}"/>
                </a:ext>
              </a:extLst>
            </xdr:cNvPr>
            <xdr:cNvPicPr>
              <a:picLocks noChangeAspect="1" noChangeArrowheads="1"/>
              <a:extLst>
                <a:ext uri="{84589F7E-364E-4C9E-8A38-B11213B215E9}">
                  <a14:cameraTool cellRange="Grafico1X2" spid="_x0000_s18157"/>
                </a:ext>
              </a:extLst>
            </xdr:cNvPicPr>
          </xdr:nvPicPr>
          <xdr:blipFill>
            <a:blip xmlns:r="http://schemas.openxmlformats.org/officeDocument/2006/relationships" r:embed="rId1"/>
            <a:srcRect l="3374"/>
            <a:stretch>
              <a:fillRect/>
            </a:stretch>
          </xdr:blipFill>
          <xdr:spPr bwMode="auto">
            <a:xfrm>
              <a:off x="937260" y="6812280"/>
              <a:ext cx="2918460" cy="2842260"/>
            </a:xfrm>
            <a:prstGeom prst="rect">
              <a:avLst/>
            </a:prstGeom>
            <a:solidFill>
              <a:srgbClr val="EEEEEE"/>
            </a:solidFill>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39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0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46222</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26" zoomScaleNormal="100" workbookViewId="0">
      <selection activeCell="AD147" sqref="AD147"/>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799"/>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0"/>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09"/>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0"/>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3"/>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3"/>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24"/>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29"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29"/>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29"/>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29"/>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29"/>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0"/>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25"/>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26"/>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1"/>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1"/>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1"/>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2"/>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27"/>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27"/>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27"/>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27"/>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28"/>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35"/>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ca="1" si="329"/>
        <v>Argentina</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35"/>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ca="1" si="329"/>
        <v>Suiza</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ca="1" si="332"/>
        <v>Suiza</v>
      </c>
      <c r="AB127" s="301">
        <v>1</v>
      </c>
      <c r="AC127" s="310">
        <v>0</v>
      </c>
      <c r="AD127" s="310">
        <v>0</v>
      </c>
      <c r="AE127" s="301">
        <v>0</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 ca="1">IF(AND(OR(AC131="",AD131="")),"W"&amp;AH131,IF(AC131&gt;AD131,AA131,IF(AC131&lt;AD131,AF131,IF(AND(AC131=AD131,AB131=AE131),"W"&amp;AH131,IF(AND(AC131=AD131,OR(AB131="",AE131="")),"W"&amp;AH131,IF(AND(AC131=AD131,AB131&gt;AE131),AA131,AF131))))))</f>
        <v>Francia</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v>2</v>
      </c>
      <c r="AD131" s="305">
        <v>0</v>
      </c>
      <c r="AE131" s="279"/>
      <c r="AF131" s="312" t="str">
        <f ca="1">+INDEX($N$101:$N$147,MATCH(AH131,$J$101:$J$147,0))</f>
        <v>Marruecos</v>
      </c>
      <c r="AG131" s="417">
        <f ca="1">IF(D131="W"&amp;AH131,0,1)</f>
        <v>1</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 ca="1">IF(AND(OR(AC132="",AD132="")),"W"&amp;AH132,IF(AC132&gt;AD132,AA132,IF(AC132&lt;AD132,AF132,IF(AND(AC132=AD132,AB132=AE132),"W"&amp;AH132,IF(AND(AC132=AD132,OR(AB132="",AE132="")),"W"&amp;AH132,IF(AND(AC132=AD132,AB132&gt;AE132),AA132,AF132))))))</f>
        <v>España</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37"/>
      <c r="X132" s="189">
        <f ca="1">Horarios!C132</f>
        <v>46213.875</v>
      </c>
      <c r="Y132" s="190">
        <f ca="1">Horarios!C132</f>
        <v>46213.875</v>
      </c>
      <c r="Z132" s="311">
        <f t="shared" si="336"/>
        <v>98</v>
      </c>
      <c r="AA132" s="277" t="str">
        <f t="shared" ca="1" si="337"/>
        <v>España</v>
      </c>
      <c r="AB132" s="278"/>
      <c r="AC132" s="309">
        <v>2</v>
      </c>
      <c r="AD132" s="309">
        <v>1</v>
      </c>
      <c r="AE132" s="278"/>
      <c r="AF132" s="312" t="str">
        <f ca="1">+INDEX($N$101:$N$147,MATCH(AH132,$J$101:$J$147,0))</f>
        <v>Bélgica</v>
      </c>
      <c r="AG132" s="417">
        <f ca="1">IF(D132="W"&amp;AH132,0,1)</f>
        <v>1</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 ca="1">IF(AND(OR(AC133="",AD133="")),"W"&amp;AH133,IF(AC133&gt;AD133,AA133,IF(AC133&lt;AD133,AF133,IF(AND(AC133=AD133,AB133=AE133),"W"&amp;AH133,IF(AND(AC133=AD133,OR(AB133="",AE133="")),"W"&amp;AH133,IF(AND(AC133=AD133,AB133&gt;AE133),AA133,AF133))))))</f>
        <v>Inglaterra</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ca="1" si="337"/>
        <v>Noruega</v>
      </c>
      <c r="AB133" s="278"/>
      <c r="AC133" s="309">
        <v>1</v>
      </c>
      <c r="AD133" s="309">
        <v>2</v>
      </c>
      <c r="AE133" s="278"/>
      <c r="AF133" s="312" t="str">
        <f ca="1">+INDEX($N$101:$N$147,MATCH(AH133,$J$101:$J$147,0))</f>
        <v>Inglaterra</v>
      </c>
      <c r="AG133" s="417">
        <f ca="1">IF(D133="W"&amp;AH133,0,1)</f>
        <v>1</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 ca="1">IF(AND(OR(AC134="",AD134="")),"W"&amp;AH134,IF(AC134&gt;AD134,AA134,IF(AC134&lt;AD134,AF134,IF(AND(AC134=AD134,AB134=AE134),"W"&amp;AH134,IF(AND(AC134=AD134,OR(AB134="",AE134="")),"W"&amp;AH134,IF(AND(AC134=AD134,AB134&gt;AE134),AA134,AF134))))))</f>
        <v>Argentina</v>
      </c>
      <c r="E134" s="744">
        <v>95</v>
      </c>
      <c r="F134" s="744">
        <v>96</v>
      </c>
      <c r="G134" s="744"/>
      <c r="H134" s="744"/>
      <c r="I134" s="744"/>
      <c r="J134" s="738">
        <v>100</v>
      </c>
      <c r="K134" s="738">
        <v>46214.875</v>
      </c>
      <c r="L134" s="738" t="s">
        <v>712</v>
      </c>
      <c r="M134" s="744" t="str">
        <f t="shared" ca="1" si="335"/>
        <v>Argentina</v>
      </c>
      <c r="N134" s="744" t="str">
        <f t="shared" ca="1" si="335"/>
        <v>Suiza</v>
      </c>
      <c r="O134" s="744"/>
      <c r="P134" s="744"/>
      <c r="Q134" s="744"/>
      <c r="R134" s="744"/>
      <c r="S134" s="744"/>
      <c r="T134" s="744"/>
      <c r="U134" s="744"/>
      <c r="V134" s="172"/>
      <c r="W134" s="838"/>
      <c r="X134" s="228">
        <f ca="1">Horarios!C134</f>
        <v>46215.125</v>
      </c>
      <c r="Y134" s="229">
        <f ca="1">Horarios!C134</f>
        <v>46215.125</v>
      </c>
      <c r="Z134" s="314">
        <f t="shared" si="336"/>
        <v>100</v>
      </c>
      <c r="AA134" s="300" t="str">
        <f t="shared" ca="1" si="337"/>
        <v>Argentina</v>
      </c>
      <c r="AB134" s="301"/>
      <c r="AC134" s="310">
        <v>3</v>
      </c>
      <c r="AD134" s="310">
        <v>1</v>
      </c>
      <c r="AE134" s="301"/>
      <c r="AF134" s="315" t="str">
        <f ca="1">+INDEX($N$101:$N$147,MATCH(AH134,$J$101:$J$147,0))</f>
        <v>Suiza</v>
      </c>
      <c r="AG134" s="417">
        <f ca="1">IF(D134="W"&amp;AH134,0,1)</f>
        <v>1</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Argentina-Suiza</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 ca="1">IF(AND(OR(AC138="",AD138="")),"W"&amp;AH138,IF(AC138&gt;AD138,AA138,IF(AC138&lt;AD138,AF138,IF(AND(AC138=AD138,AB138=AE138),"W"&amp;AH138,IF(AND(AC138=AD138,OR(AB138="",AE138="")),"W"&amp;AH138,IF(AND(AC138=AD138,AB138&gt;AE138),AA138,AF138))))))</f>
        <v>España</v>
      </c>
      <c r="E138" s="744">
        <v>97</v>
      </c>
      <c r="F138" s="744">
        <v>98</v>
      </c>
      <c r="G138" s="744"/>
      <c r="H138" s="744" t="str">
        <f ca="1">IF(AND(OR(AC138="",AD138="")),"L101",IF(AC138&gt;AD138,AF138,IF(AC138&lt;AD138,AA138,IF(AND(AC138=AD138,AB138=AE138),"L101",IF(AND(AC138=AD138,OR(AB138="",AE138="")),"L101",IF(AND(AC138=AD138,AB138&gt;AE138),AF138,AA138))))))</f>
        <v>Francia</v>
      </c>
      <c r="I138" s="744"/>
      <c r="J138" s="738">
        <v>101</v>
      </c>
      <c r="K138" s="738">
        <v>46217.875</v>
      </c>
      <c r="L138" s="738" t="s">
        <v>713</v>
      </c>
      <c r="M138" s="738" t="str">
        <f ca="1">+INDEX($D$101:$D$147,MATCH(E138,$AH$101:$AH$147,0))</f>
        <v>Francia</v>
      </c>
      <c r="N138" s="738" t="str">
        <f ca="1">+INDEX($D$101:$D$147,MATCH(F138,$AH$101:$AH$147,0))</f>
        <v>España</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ca="1" si="340">+INDEX($M$101:$M$147,MATCH(AH138,$J$101:$J$147,0))</f>
        <v>Francia</v>
      </c>
      <c r="AB138" s="278"/>
      <c r="AC138" s="323">
        <v>0</v>
      </c>
      <c r="AD138" s="323">
        <v>2</v>
      </c>
      <c r="AE138" s="278"/>
      <c r="AF138" s="312" t="str">
        <f ca="1">+INDEX($N$101:$N$147,MATCH(AH138,$J$101:$J$147,0))</f>
        <v>España</v>
      </c>
      <c r="AG138" s="417">
        <f ca="1">IF(D138="W"&amp;AH138,0,1)</f>
        <v>1</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Francia-España</v>
      </c>
      <c r="DU138" s="744"/>
      <c r="DV138" s="744"/>
      <c r="DW138" s="8"/>
    </row>
    <row r="139" spans="1:127" ht="16.2" customHeight="1" thickBot="1">
      <c r="A139" s="738" t="s">
        <v>756</v>
      </c>
      <c r="B139" s="738" t="s">
        <v>757</v>
      </c>
      <c r="C139" s="739"/>
      <c r="D139" s="747" t="str">
        <f ca="1">IF(AND(OR(AC139="",AD139="")),"W"&amp;AH139,IF(AC139&gt;AD139,AA139,IF(AC139&lt;AD139,AF139,IF(AND(AC139=AD139,AB139=AE139),"W"&amp;AH139,IF(AND(AC139=AD139,OR(AB139="",AE139="")),"W"&amp;AH139,IF(AND(AC139=AD139,AB139&gt;AE139),AA139,AF139))))))</f>
        <v>Argentina</v>
      </c>
      <c r="E139" s="744">
        <v>99</v>
      </c>
      <c r="F139" s="744">
        <v>100</v>
      </c>
      <c r="G139" s="744"/>
      <c r="H139" s="744" t="str">
        <f ca="1">IF(AND(OR(AC139="",AD139="")),"L102",IF(AC139&gt;AD139,AF139,IF(AC139&lt;AD139,AA139,IF(AND(AC139=AD139,AB139=AE139),"W102",IF(AND(AC139=AD139,OR(AB139="",AE139="")),"L102",IF(AND(AC139=AD139,AB139&gt;AE139),AF139,AA139))))))</f>
        <v>Inglaterra</v>
      </c>
      <c r="I139" s="744"/>
      <c r="J139" s="738">
        <v>102</v>
      </c>
      <c r="K139" s="738">
        <v>46218.875</v>
      </c>
      <c r="L139" s="738" t="s">
        <v>714</v>
      </c>
      <c r="M139" s="738" t="str">
        <f ca="1">+INDEX($D$101:$D$147,MATCH(E139,$AH$101:$AH$147,0))</f>
        <v>Inglaterra</v>
      </c>
      <c r="N139" s="738" t="str">
        <f ca="1">+INDEX($D$101:$D$147,MATCH(F139,$AH$101:$AH$147,0))</f>
        <v>Argentina</v>
      </c>
      <c r="O139" s="738"/>
      <c r="P139" s="738"/>
      <c r="Q139" s="738"/>
      <c r="R139" s="738"/>
      <c r="S139" s="738"/>
      <c r="T139" s="738"/>
      <c r="U139" s="738"/>
      <c r="V139" s="172"/>
      <c r="W139" s="840"/>
      <c r="X139" s="324">
        <f ca="1">Horarios!C139</f>
        <v>46218.875</v>
      </c>
      <c r="Y139" s="325">
        <f ca="1">Horarios!C139</f>
        <v>46218.875</v>
      </c>
      <c r="Z139" s="326">
        <f t="shared" si="339"/>
        <v>102</v>
      </c>
      <c r="AA139" s="327" t="str">
        <f t="shared" ca="1" si="340"/>
        <v>Inglaterra</v>
      </c>
      <c r="AB139" s="328"/>
      <c r="AC139" s="310">
        <v>1</v>
      </c>
      <c r="AD139" s="310">
        <v>2</v>
      </c>
      <c r="AE139" s="328"/>
      <c r="AF139" s="329" t="str">
        <f ca="1">+INDEX($N$101:$N$147,MATCH(AH139,$J$101:$J$147,0))</f>
        <v>Argentina</v>
      </c>
      <c r="AG139" s="417">
        <f ca="1">IF(D139="W"&amp;AH139,0,1)</f>
        <v>1</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Inglaterra-Argentina</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 ca="1">IF(AND(OR(AC143="",AD143="")),"W"&amp;AH143,IF(AC143&gt;AD143,AA143,IF(AC143&lt;AD143,AF143,IF(AND(AC143=AD143,AB143=AE143),"W"&amp;AH143,IF(AND(AC143=AD143,OR(AB143="",AE143="")),"W"&amp;AH143,IF(AND(AC143=AD143,AB143&gt;AE143),AA143,AF143))))))</f>
        <v>Inglaterra</v>
      </c>
      <c r="E143" s="744">
        <v>101</v>
      </c>
      <c r="F143" s="744">
        <v>102</v>
      </c>
      <c r="G143" s="744"/>
      <c r="H143" s="744"/>
      <c r="I143" s="744"/>
      <c r="J143" s="738">
        <v>103</v>
      </c>
      <c r="K143" s="738">
        <v>46221.875</v>
      </c>
      <c r="L143" s="738" t="s">
        <v>715</v>
      </c>
      <c r="M143" s="738" t="str">
        <f ca="1">+INDEX($D$101:$D$147,MATCH(E143,$AH$101:$AH$147,0))</f>
        <v>España</v>
      </c>
      <c r="N143" s="738" t="str">
        <f ca="1">+INDEX($D$101:$D$147,MATCH(F143,$AH$101:$AH$147,0))</f>
        <v>Argentina</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Francia</v>
      </c>
      <c r="AB143" s="334"/>
      <c r="AC143" s="335">
        <v>4</v>
      </c>
      <c r="AD143" s="335">
        <v>6</v>
      </c>
      <c r="AE143" s="334"/>
      <c r="AF143" s="336" t="str">
        <f ca="1">IF(AND(OR(AC139="",AD139="")),"L102",IF(AC139&gt;AD139,AF139,IF(AC139&lt;AD139,AA139,IF(AND(AC139=AD139,AB139=AE139),"L102",IF(AND(AC139=AD139,OR(AB139="",AE139="")),"L102",IF(AND(AC139=AD139,AB139&gt;AE139),AF139,AA139))))))</f>
        <v>Inglaterra</v>
      </c>
      <c r="AG143" s="417">
        <f ca="1">IF(D143="W"&amp;AH143,0,1)</f>
        <v>1</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Francia-Inglaterra</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 ca="1">+INDEX($D$101:$D$147,MATCH(E147,$AH$101:$AH$147,0))</f>
        <v>España</v>
      </c>
      <c r="N147" s="738" t="str">
        <f ca="1">+INDEX($D$101:$D$147,MATCH(F147,$AH$101:$AH$147,0))</f>
        <v>Argentina</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España</v>
      </c>
      <c r="AB147" s="334"/>
      <c r="AC147" s="335"/>
      <c r="AD147" s="335"/>
      <c r="AE147" s="334"/>
      <c r="AF147" s="336" t="str">
        <f ca="1">IF(AND(OR(AC139="",AD139="")),"W"&amp;AH139,IF(AC139&gt;AD139,AA139,IF(AC139&lt;AD139,AF139,IF(AND(AC139=AD139,AB139=AE139),"W"&amp;AH139,IF(AND(AC139=AD139,OR(AB139="",AE139="")),"W"&amp;AH139,IF(AND(AC139=AD139,AB139&gt;AE139),AA139,AF139))))))</f>
        <v>Argentina</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España-Argentina</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 ca="1">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 ca="1">IF(AND(OR(AC143="",AD143="")),"W34",IF(AC143&gt;AD143,AA143,IF(AC143&lt;AD143,AF143,IF(AND(AC143=AD143,AB143=AE143),"W34",IF(AND(AC143=AD143,OR(AB143="",AE143="")),"W34",IF(AND(AC143=AD143,AB143&gt;AE143),AA143,AF143))))))</f>
        <v>Inglaterra</v>
      </c>
      <c r="AB152" s="360"/>
      <c r="AC152" s="360"/>
      <c r="AD152" s="360"/>
      <c r="AE152" s="360"/>
      <c r="AF152" s="361"/>
      <c r="AG152" s="417">
        <f ca="1">IF(AA152="W34",0,1)</f>
        <v>1</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 ca="1">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233" zoomScaleNormal="100" workbookViewId="0">
      <selection activeCell="EI257" sqref="EI257"/>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29</v>
      </c>
      <c r="T1" s="87"/>
      <c r="U1" s="65"/>
      <c r="V1" s="87">
        <f ca="1">+IFERROR(RANK(V2,OFFSET($S$2,0,0,1,$D$5*3),0),"-")</f>
        <v>19</v>
      </c>
      <c r="W1" s="87"/>
      <c r="X1" s="65"/>
      <c r="Y1" s="87">
        <f ca="1">+IFERROR(RANK(Y2,OFFSET($S$2,0,0,1,$D$5*3),0),"-")</f>
        <v>15</v>
      </c>
      <c r="Z1" s="87"/>
      <c r="AA1" s="65"/>
      <c r="AB1" s="87">
        <f ca="1">+IFERROR(RANK(AB2,OFFSET($S$2,0,0,1,$D$5*3),0),"-")</f>
        <v>16</v>
      </c>
      <c r="AC1" s="87"/>
      <c r="AD1" s="65"/>
      <c r="AE1" s="87">
        <f ca="1">+IFERROR(RANK(AE2,OFFSET($S$2,0,0,1,$D$5*3),0),"-")</f>
        <v>11</v>
      </c>
      <c r="AF1" s="87"/>
      <c r="AG1" s="65"/>
      <c r="AH1" s="87">
        <f ca="1">+IFERROR(RANK(AH2,OFFSET($S$2,0,0,1,$D$5*3),0),"-")</f>
        <v>18</v>
      </c>
      <c r="AI1" s="87"/>
      <c r="AJ1" s="65"/>
      <c r="AK1" s="87">
        <f ca="1">+IFERROR(RANK(AK2,OFFSET($S$2,0,0,1,$D$5*3),0),"-")</f>
        <v>23</v>
      </c>
      <c r="AL1" s="87"/>
      <c r="AM1" s="65"/>
      <c r="AN1" s="87">
        <f ca="1">+IFERROR(RANK(AN2,OFFSET($S$2,0,0,1,$D$5*3),0),"-")</f>
        <v>21</v>
      </c>
      <c r="AO1" s="87"/>
      <c r="AP1" s="65"/>
      <c r="AQ1" s="87">
        <f ca="1">+IFERROR(RANK(AQ2,OFFSET($S$2,0,0,1,$D$5*3),0),"-")</f>
        <v>1</v>
      </c>
      <c r="AR1" s="87"/>
      <c r="AS1" s="65"/>
      <c r="AT1" s="87">
        <f ca="1">+IFERROR(RANK(AT2,OFFSET($S$2,0,0,1,$D$5*3),0),"-")</f>
        <v>33</v>
      </c>
      <c r="AU1" s="87"/>
      <c r="AV1" s="65"/>
      <c r="AW1" s="87">
        <f ca="1">+IFERROR(RANK(AW2,OFFSET($S$2,0,0,1,$D$5*3),0),"-")</f>
        <v>34</v>
      </c>
      <c r="AX1" s="87"/>
      <c r="AY1" s="65"/>
      <c r="AZ1" s="87">
        <f ca="1">+IFERROR(RANK(AZ2,OFFSET($S$2,0,0,1,$D$5*3),0),"-")</f>
        <v>28</v>
      </c>
      <c r="BA1" s="87"/>
      <c r="BB1" s="65"/>
      <c r="BC1" s="87">
        <f ca="1">+IFERROR(RANK(BC2,OFFSET($S$2,0,0,1,$D$5*3),0),"-")</f>
        <v>22</v>
      </c>
      <c r="BD1" s="87"/>
      <c r="BE1" s="65"/>
      <c r="BF1" s="87">
        <f ca="1">+IFERROR(RANK(BF2,OFFSET($S$2,0,0,1,$D$5*3),0),"-")</f>
        <v>6</v>
      </c>
      <c r="BG1" s="87"/>
      <c r="BH1" s="65"/>
      <c r="BI1" s="87">
        <f ca="1">+IFERROR(RANK(BI2,OFFSET($S$2,0,0,1,$D$5*3),0),"-")</f>
        <v>20</v>
      </c>
      <c r="BJ1" s="87"/>
      <c r="BK1" s="65"/>
      <c r="BL1" s="87">
        <f ca="1">+IFERROR(RANK(BL2,OFFSET($S$2,0,0,1,$D$5*3),0),"-")</f>
        <v>2</v>
      </c>
      <c r="BM1" s="87"/>
      <c r="BN1" s="65"/>
      <c r="BO1" s="87">
        <f ca="1">+IFERROR(RANK(BO2,OFFSET($S$2,0,0,1,$D$5*3),0),"-")</f>
        <v>14</v>
      </c>
      <c r="BP1" s="87"/>
      <c r="BQ1" s="65"/>
      <c r="BR1" s="87">
        <f ca="1">+IFERROR(RANK(BR2,OFFSET($S$2,0,0,1,$D$5*3),0),"-")</f>
        <v>12</v>
      </c>
      <c r="BS1" s="87"/>
      <c r="BT1" s="65"/>
      <c r="BU1" s="87">
        <f ca="1">+IFERROR(RANK(BU2,OFFSET($S$2,0,0,1,$D$5*3),0),"-")</f>
        <v>26</v>
      </c>
      <c r="BV1" s="87"/>
      <c r="BW1" s="65"/>
      <c r="BX1" s="87">
        <f ca="1">+IFERROR(RANK(BX2,OFFSET($S$2,0,0,1,$D$5*3),0),"-")</f>
        <v>13</v>
      </c>
      <c r="BY1" s="87"/>
      <c r="BZ1" s="65"/>
      <c r="CA1" s="87">
        <f ca="1">+IFERROR(RANK(CA2,OFFSET($S$2,0,0,1,$D$5*3),0),"-")</f>
        <v>17</v>
      </c>
      <c r="CB1" s="87"/>
      <c r="CC1" s="65"/>
      <c r="CD1" s="87">
        <f ca="1">+IFERROR(RANK(CD2,OFFSET($S$2,0,0,1,$D$5*3),0),"-")</f>
        <v>38</v>
      </c>
      <c r="CE1" s="87"/>
      <c r="CF1" s="65"/>
      <c r="CG1" s="87">
        <f ca="1">+IFERROR(RANK(CG2,OFFSET($S$2,0,0,1,$D$5*3),0),"-")</f>
        <v>25</v>
      </c>
      <c r="CH1" s="87"/>
      <c r="CI1" s="65"/>
      <c r="CJ1" s="87">
        <f ca="1">+IFERROR(RANK(CJ2,OFFSET($S$2,0,0,1,$D$5*3),0),"-")</f>
        <v>9</v>
      </c>
      <c r="CK1" s="87"/>
      <c r="CL1" s="65"/>
      <c r="CM1" s="87">
        <f ca="1">+IFERROR(RANK(CM2,OFFSET($S$2,0,0,1,$D$5*3),0),"-")</f>
        <v>30</v>
      </c>
      <c r="CN1" s="87"/>
      <c r="CO1" s="65"/>
      <c r="CP1" s="87">
        <f ca="1">+IFERROR(RANK(CP2,OFFSET($S$2,0,0,1,$D$5*3),0),"-")</f>
        <v>10</v>
      </c>
      <c r="CQ1" s="87"/>
      <c r="CR1" s="65"/>
      <c r="CS1" s="87">
        <f ca="1">+IFERROR(RANK(CS2,OFFSET($S$2,0,0,1,$D$5*3),0),"-")</f>
        <v>4</v>
      </c>
      <c r="CT1" s="87"/>
      <c r="CU1" s="65"/>
      <c r="CV1" s="87">
        <f ca="1">+IFERROR(RANK(CV2,OFFSET($S$2,0,0,1,$D$5*3),0),"-")</f>
        <v>7</v>
      </c>
      <c r="CW1" s="87"/>
      <c r="CX1" s="65"/>
      <c r="CY1" s="87">
        <f ca="1">+IFERROR(RANK(CY2,OFFSET($S$2,0,0,1,$D$5*3),0),"-")</f>
        <v>24</v>
      </c>
      <c r="CZ1" s="87"/>
      <c r="DA1" s="65"/>
      <c r="DB1" s="87">
        <f ca="1">+IFERROR(RANK(DB2,OFFSET($S$2,0,0,1,$D$5*3),0),"-")</f>
        <v>3</v>
      </c>
      <c r="DC1" s="87"/>
      <c r="DD1" s="65"/>
      <c r="DE1" s="87">
        <f ca="1">+IFERROR(RANK(DE2,OFFSET($S$2,0,0,1,$D$5*3),0),"-")</f>
        <v>40</v>
      </c>
      <c r="DF1" s="87"/>
      <c r="DG1" s="65"/>
      <c r="DH1" s="87">
        <f ca="1">+IFERROR(RANK(DH2,OFFSET($S$2,0,0,1,$D$5*3),0),"-")</f>
        <v>31</v>
      </c>
      <c r="DI1" s="87"/>
      <c r="DJ1" s="65"/>
      <c r="DK1" s="87">
        <f ca="1">+IFERROR(RANK(DK2,OFFSET($S$2,0,0,1,$D$5*3),0),"-")</f>
        <v>35</v>
      </c>
      <c r="DL1" s="87"/>
      <c r="DM1" s="65"/>
      <c r="DN1" s="87">
        <f ca="1">+IFERROR(RANK(DN2,OFFSET($S$2,0,0,1,$D$5*3),0),"-")</f>
        <v>27</v>
      </c>
      <c r="DO1" s="87"/>
      <c r="DP1" s="65"/>
      <c r="DQ1" s="87">
        <f ca="1">+IFERROR(RANK(DQ2,OFFSET($S$2,0,0,1,$D$5*3),0),"-")</f>
        <v>41</v>
      </c>
      <c r="DR1" s="87"/>
      <c r="DS1" s="65"/>
      <c r="DT1" s="87">
        <f ca="1">+IFERROR(RANK(DT2,OFFSET($S$2,0,0,1,$D$5*3),0),"-")</f>
        <v>36</v>
      </c>
      <c r="DU1" s="87"/>
      <c r="DV1" s="65"/>
      <c r="DW1" s="87">
        <f ca="1">+IFERROR(RANK(DW2,OFFSET($S$2,0,0,1,$D$5*3),0),"-")</f>
        <v>5</v>
      </c>
      <c r="DX1" s="87"/>
      <c r="DY1" s="65"/>
      <c r="DZ1" s="87">
        <f ca="1">+IFERROR(RANK(DZ2,OFFSET($S$2,0,0,1,$D$5*3),0),"-")</f>
        <v>32</v>
      </c>
      <c r="EA1" s="87"/>
      <c r="EB1" s="65"/>
      <c r="EC1" s="87">
        <f ca="1">+IFERROR(RANK(EC2,OFFSET($S$2,0,0,1,$D$5*3),0),"-")</f>
        <v>39</v>
      </c>
      <c r="ED1" s="87"/>
      <c r="EE1" s="65"/>
      <c r="EF1" s="87">
        <f ca="1">+IFERROR(RANK(EF2,OFFSET($S$2,0,0,1,$D$5*3),0),"-")</f>
        <v>37</v>
      </c>
      <c r="EG1" s="87"/>
      <c r="EH1" s="65"/>
      <c r="EI1" s="87">
        <f ca="1">+IFERROR(RANK(EI2,OFFSET($S$2,0,0,1,$D$5*3),0),"-")</f>
        <v>8</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294.99810000000002</v>
      </c>
      <c r="T2" s="87"/>
      <c r="U2" s="65"/>
      <c r="V2" s="87">
        <f t="shared" ref="V2" ca="1" si="0">V4-(COLUMN()/10000)</f>
        <v>311.99779999999998</v>
      </c>
      <c r="W2" s="87"/>
      <c r="X2" s="65"/>
      <c r="Y2" s="87">
        <f t="shared" ref="Y2" ca="1" si="1">Y4-(COLUMN()/10000)</f>
        <v>316.9975</v>
      </c>
      <c r="Z2" s="87"/>
      <c r="AA2" s="65"/>
      <c r="AB2" s="87">
        <f t="shared" ref="AB2" ca="1" si="2">AB4-(COLUMN()/10000)</f>
        <v>315.99720000000002</v>
      </c>
      <c r="AC2" s="87"/>
      <c r="AD2" s="65"/>
      <c r="AE2" s="87">
        <f t="shared" ref="AE2" ca="1" si="3">AE4-(COLUMN()/10000)</f>
        <v>320.99689999999998</v>
      </c>
      <c r="AF2" s="87"/>
      <c r="AG2" s="65"/>
      <c r="AH2" s="87">
        <f t="shared" ref="AH2" ca="1" si="4">AH4-(COLUMN()/10000)</f>
        <v>313.9966</v>
      </c>
      <c r="AI2" s="87"/>
      <c r="AJ2" s="65"/>
      <c r="AK2" s="87">
        <f t="shared" ref="AK2" ca="1" si="5">AK4-(COLUMN()/10000)</f>
        <v>301.99630000000002</v>
      </c>
      <c r="AL2" s="87"/>
      <c r="AM2" s="65"/>
      <c r="AN2" s="87">
        <f t="shared" ref="AN2" ca="1" si="6">AN4-(COLUMN()/10000)</f>
        <v>306.99599999999998</v>
      </c>
      <c r="AO2" s="87"/>
      <c r="AP2" s="65"/>
      <c r="AQ2" s="87">
        <f t="shared" ref="AQ2" ca="1" si="7">AQ4-(COLUMN()/10000)</f>
        <v>387.9957</v>
      </c>
      <c r="AR2" s="87"/>
      <c r="AS2" s="65"/>
      <c r="AT2" s="87">
        <f t="shared" ref="AT2" ca="1" si="8">AT4-(COLUMN()/10000)</f>
        <v>282.99540000000002</v>
      </c>
      <c r="AU2" s="87"/>
      <c r="AV2" s="65"/>
      <c r="AW2" s="87">
        <f t="shared" ref="AW2" ca="1" si="9">AW4-(COLUMN()/10000)</f>
        <v>274.99509999999998</v>
      </c>
      <c r="AX2" s="87"/>
      <c r="AY2" s="65"/>
      <c r="AZ2" s="87">
        <f t="shared" ref="AZ2" ca="1" si="10">AZ4-(COLUMN()/10000)</f>
        <v>295.9948</v>
      </c>
      <c r="BA2" s="87"/>
      <c r="BB2" s="65"/>
      <c r="BC2" s="87">
        <f t="shared" ref="BC2" ca="1" si="11">BC4-(COLUMN()/10000)</f>
        <v>304.99450000000002</v>
      </c>
      <c r="BD2" s="87"/>
      <c r="BE2" s="65"/>
      <c r="BF2" s="87">
        <f t="shared" ref="BF2" ca="1" si="12">BF4-(COLUMN()/10000)</f>
        <v>348.99419999999998</v>
      </c>
      <c r="BG2" s="87"/>
      <c r="BH2" s="65"/>
      <c r="BI2" s="87">
        <f t="shared" ref="BI2" ca="1" si="13">BI4-(COLUMN()/10000)</f>
        <v>311.9939</v>
      </c>
      <c r="BJ2" s="87"/>
      <c r="BK2" s="65"/>
      <c r="BL2" s="87">
        <f t="shared" ref="BL2" ca="1" si="14">BL4-(COLUMN()/10000)</f>
        <v>377.99360000000001</v>
      </c>
      <c r="BM2" s="87"/>
      <c r="BN2" s="65"/>
      <c r="BO2" s="87">
        <f t="shared" ref="BO2" ca="1" si="15">BO4-(COLUMN()/10000)</f>
        <v>317.99329999999998</v>
      </c>
      <c r="BP2" s="87"/>
      <c r="BQ2" s="65"/>
      <c r="BR2" s="87">
        <f t="shared" ref="BR2" ca="1" si="16">BR4-(COLUMN()/10000)</f>
        <v>319.99299999999999</v>
      </c>
      <c r="BS2" s="87"/>
      <c r="BT2" s="65"/>
      <c r="BU2" s="87">
        <f t="shared" ref="BU2" ca="1" si="17">BU4-(COLUMN()/10000)</f>
        <v>299.99270000000001</v>
      </c>
      <c r="BV2" s="87"/>
      <c r="BW2" s="65"/>
      <c r="BX2" s="87">
        <f t="shared" ref="BX2" ca="1" si="18">BX4-(COLUMN()/10000)</f>
        <v>318.99239999999998</v>
      </c>
      <c r="BY2" s="87"/>
      <c r="BZ2" s="65"/>
      <c r="CA2" s="87">
        <f t="shared" ref="CA2" ca="1" si="19">CA4-(COLUMN()/10000)</f>
        <v>314.99209999999999</v>
      </c>
      <c r="CB2" s="87"/>
      <c r="CC2" s="65"/>
      <c r="CD2" s="87">
        <f t="shared" ref="CD2" ca="1" si="20">CD4-(COLUMN()/10000)</f>
        <v>271.99180000000001</v>
      </c>
      <c r="CE2" s="87"/>
      <c r="CF2" s="65"/>
      <c r="CG2" s="87">
        <f t="shared" ref="CG2" ca="1" si="21">CG4-(COLUMN()/10000)</f>
        <v>300.99149999999997</v>
      </c>
      <c r="CH2" s="87"/>
      <c r="CI2" s="65"/>
      <c r="CJ2" s="87">
        <f t="shared" ref="CJ2" ca="1" si="22">CJ4-(COLUMN()/10000)</f>
        <v>329.99119999999999</v>
      </c>
      <c r="CK2" s="87"/>
      <c r="CL2" s="65"/>
      <c r="CM2" s="87">
        <f t="shared" ref="CM2" ca="1" si="23">CM4-(COLUMN()/10000)</f>
        <v>294.99090000000001</v>
      </c>
      <c r="CN2" s="87"/>
      <c r="CO2" s="65"/>
      <c r="CP2" s="87">
        <f t="shared" ref="CP2" ca="1" si="24">CP4-(COLUMN()/10000)</f>
        <v>328.99059999999997</v>
      </c>
      <c r="CQ2" s="87"/>
      <c r="CR2" s="65"/>
      <c r="CS2" s="87">
        <f t="shared" ref="CS2" ca="1" si="25">CS4-(COLUMN()/10000)</f>
        <v>352.99029999999999</v>
      </c>
      <c r="CT2" s="87"/>
      <c r="CU2" s="65"/>
      <c r="CV2" s="87">
        <f t="shared" ref="CV2" ca="1" si="26">CV4-(COLUMN()/10000)</f>
        <v>337.99</v>
      </c>
      <c r="CW2" s="87"/>
      <c r="CX2" s="65"/>
      <c r="CY2" s="87">
        <f t="shared" ref="CY2" ca="1" si="27">CY4-(COLUMN()/10000)</f>
        <v>301.98970000000003</v>
      </c>
      <c r="CZ2" s="87"/>
      <c r="DA2" s="65"/>
      <c r="DB2" s="87">
        <f t="shared" ref="DB2" ca="1" si="28">DB4-(COLUMN()/10000)</f>
        <v>358.98939999999999</v>
      </c>
      <c r="DC2" s="87"/>
      <c r="DD2" s="65"/>
      <c r="DE2" s="87">
        <f t="shared" ref="DE2" ca="1" si="29">DE4-(COLUMN()/10000)</f>
        <v>268.98910000000001</v>
      </c>
      <c r="DF2" s="87"/>
      <c r="DG2" s="65"/>
      <c r="DH2" s="87">
        <f t="shared" ref="DH2" ca="1" si="30">DH4-(COLUMN()/10000)</f>
        <v>294.98880000000003</v>
      </c>
      <c r="DI2" s="87"/>
      <c r="DJ2" s="65"/>
      <c r="DK2" s="87">
        <f t="shared" ref="DK2" ca="1" si="31">DK4-(COLUMN()/10000)</f>
        <v>272.98849999999999</v>
      </c>
      <c r="DL2" s="87"/>
      <c r="DM2" s="65"/>
      <c r="DN2" s="87">
        <f t="shared" ref="DN2" ca="1" si="32">DN4-(COLUMN()/10000)</f>
        <v>298.98820000000001</v>
      </c>
      <c r="DO2" s="87"/>
      <c r="DP2" s="65"/>
      <c r="DQ2" s="87">
        <f t="shared" ref="DQ2" ca="1" si="33">DQ4-(COLUMN()/10000)</f>
        <v>235.9879</v>
      </c>
      <c r="DR2" s="87"/>
      <c r="DS2" s="65"/>
      <c r="DT2" s="87">
        <f t="shared" ref="DT2" ca="1" si="34">DT4-(COLUMN()/10000)</f>
        <v>272.98759999999999</v>
      </c>
      <c r="DU2" s="87"/>
      <c r="DV2" s="65"/>
      <c r="DW2" s="87">
        <f t="shared" ref="DW2" ca="1" si="35">DW4-(COLUMN()/10000)</f>
        <v>352.9873</v>
      </c>
      <c r="DX2" s="87"/>
      <c r="DY2" s="65"/>
      <c r="DZ2" s="87">
        <f t="shared" ref="DZ2" ca="1" si="36">DZ4-(COLUMN()/10000)</f>
        <v>290.98700000000002</v>
      </c>
      <c r="EA2" s="87"/>
      <c r="EB2" s="65"/>
      <c r="EC2" s="87">
        <f t="shared" ref="EC2" ca="1" si="37">EC4-(COLUMN()/10000)</f>
        <v>271.98669999999998</v>
      </c>
      <c r="ED2" s="87"/>
      <c r="EE2" s="65"/>
      <c r="EF2" s="87">
        <f t="shared" ref="EF2" ca="1" si="38">EF4-(COLUMN()/10000)</f>
        <v>272.9864</v>
      </c>
      <c r="EG2" s="87"/>
      <c r="EH2" s="65"/>
      <c r="EI2" s="87">
        <f t="shared" ref="EI2" ca="1" si="39">EI4-(COLUMN()/10000)</f>
        <v>333.98610000000002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29</v>
      </c>
      <c r="T3" s="87"/>
      <c r="U3" s="65"/>
      <c r="V3" s="87">
        <f ca="1">RANK(V4,OFFSET($S$4,0,0,1,$D$5*3),0)</f>
        <v>19</v>
      </c>
      <c r="W3" s="87"/>
      <c r="X3" s="65"/>
      <c r="Y3" s="87">
        <f ca="1">RANK(Y4,OFFSET($S$4,0,0,1,$D$5*3),0)</f>
        <v>15</v>
      </c>
      <c r="Z3" s="87"/>
      <c r="AA3" s="65"/>
      <c r="AB3" s="87">
        <f ca="1">RANK(AB4,OFFSET($S$4,0,0,1,$D$5*3),0)</f>
        <v>16</v>
      </c>
      <c r="AC3" s="87"/>
      <c r="AD3" s="65"/>
      <c r="AE3" s="87">
        <f ca="1">RANK(AE4,OFFSET($S$4,0,0,1,$D$5*3),0)</f>
        <v>11</v>
      </c>
      <c r="AF3" s="87"/>
      <c r="AG3" s="65"/>
      <c r="AH3" s="87">
        <f ca="1">RANK(AH4,OFFSET($S$4,0,0,1,$D$5*3),0)</f>
        <v>18</v>
      </c>
      <c r="AI3" s="87"/>
      <c r="AJ3" s="65"/>
      <c r="AK3" s="87">
        <f ca="1">RANK(AK4,OFFSET($S$4,0,0,1,$D$5*3),0)</f>
        <v>23</v>
      </c>
      <c r="AL3" s="87"/>
      <c r="AM3" s="65"/>
      <c r="AN3" s="87">
        <f ca="1">RANK(AN4,OFFSET($S$4,0,0,1,$D$5*3),0)</f>
        <v>21</v>
      </c>
      <c r="AO3" s="87"/>
      <c r="AP3" s="65"/>
      <c r="AQ3" s="87">
        <f ca="1">RANK(AQ4,OFFSET($S$4,0,0,1,$D$5*3),0)</f>
        <v>1</v>
      </c>
      <c r="AR3" s="87"/>
      <c r="AS3" s="65"/>
      <c r="AT3" s="87">
        <f ca="1">RANK(AT4,OFFSET($S$4,0,0,1,$D$5*3),0)</f>
        <v>33</v>
      </c>
      <c r="AU3" s="87"/>
      <c r="AV3" s="65"/>
      <c r="AW3" s="87">
        <f ca="1">RANK(AW4,OFFSET($S$4,0,0,1,$D$5*3),0)</f>
        <v>34</v>
      </c>
      <c r="AX3" s="87"/>
      <c r="AY3" s="65"/>
      <c r="AZ3" s="87">
        <f ca="1">RANK(AZ4,OFFSET($S$4,0,0,1,$D$5*3),0)</f>
        <v>28</v>
      </c>
      <c r="BA3" s="87"/>
      <c r="BB3" s="65"/>
      <c r="BC3" s="87">
        <f ca="1">RANK(BC4,OFFSET($S$4,0,0,1,$D$5*3),0)</f>
        <v>22</v>
      </c>
      <c r="BD3" s="87"/>
      <c r="BE3" s="65"/>
      <c r="BF3" s="87">
        <f ca="1">RANK(BF4,OFFSET($S$4,0,0,1,$D$5*3),0)</f>
        <v>6</v>
      </c>
      <c r="BG3" s="87"/>
      <c r="BH3" s="65"/>
      <c r="BI3" s="87">
        <f ca="1">RANK(BI4,OFFSET($S$4,0,0,1,$D$5*3),0)</f>
        <v>19</v>
      </c>
      <c r="BJ3" s="87"/>
      <c r="BK3" s="65"/>
      <c r="BL3" s="87">
        <f ca="1">RANK(BL4,OFFSET($S$4,0,0,1,$D$5*3),0)</f>
        <v>2</v>
      </c>
      <c r="BM3" s="87"/>
      <c r="BN3" s="65"/>
      <c r="BO3" s="87">
        <f ca="1">RANK(BO4,OFFSET($S$4,0,0,1,$D$5*3),0)</f>
        <v>14</v>
      </c>
      <c r="BP3" s="87"/>
      <c r="BQ3" s="65"/>
      <c r="BR3" s="87">
        <f ca="1">RANK(BR4,OFFSET($S$4,0,0,1,$D$5*3),0)</f>
        <v>12</v>
      </c>
      <c r="BS3" s="87"/>
      <c r="BT3" s="65"/>
      <c r="BU3" s="87">
        <f ca="1">RANK(BU4,OFFSET($S$4,0,0,1,$D$5*3),0)</f>
        <v>26</v>
      </c>
      <c r="BV3" s="87"/>
      <c r="BW3" s="65"/>
      <c r="BX3" s="87">
        <f ca="1">RANK(BX4,OFFSET($S$4,0,0,1,$D$5*3),0)</f>
        <v>13</v>
      </c>
      <c r="BY3" s="87"/>
      <c r="BZ3" s="65"/>
      <c r="CA3" s="87">
        <f ca="1">RANK(CA4,OFFSET($S$4,0,0,1,$D$5*3),0)</f>
        <v>17</v>
      </c>
      <c r="CB3" s="87"/>
      <c r="CC3" s="65"/>
      <c r="CD3" s="87">
        <f ca="1">RANK(CD4,OFFSET($S$4,0,0,1,$D$5*3),0)</f>
        <v>38</v>
      </c>
      <c r="CE3" s="87"/>
      <c r="CF3" s="65"/>
      <c r="CG3" s="87">
        <f ca="1">RANK(CG4,OFFSET($S$4,0,0,1,$D$5*3),0)</f>
        <v>25</v>
      </c>
      <c r="CH3" s="87"/>
      <c r="CI3" s="65"/>
      <c r="CJ3" s="87">
        <f ca="1">RANK(CJ4,OFFSET($S$4,0,0,1,$D$5*3),0)</f>
        <v>9</v>
      </c>
      <c r="CK3" s="87"/>
      <c r="CL3" s="65"/>
      <c r="CM3" s="87">
        <f ca="1">RANK(CM4,OFFSET($S$4,0,0,1,$D$5*3),0)</f>
        <v>29</v>
      </c>
      <c r="CN3" s="87"/>
      <c r="CO3" s="65"/>
      <c r="CP3" s="87">
        <f ca="1">RANK(CP4,OFFSET($S$4,0,0,1,$D$5*3),0)</f>
        <v>10</v>
      </c>
      <c r="CQ3" s="87"/>
      <c r="CR3" s="65"/>
      <c r="CS3" s="87">
        <f ca="1">RANK(CS4,OFFSET($S$4,0,0,1,$D$5*3),0)</f>
        <v>4</v>
      </c>
      <c r="CT3" s="87"/>
      <c r="CU3" s="65"/>
      <c r="CV3" s="87">
        <f ca="1">RANK(CV4,OFFSET($S$4,0,0,1,$D$5*3),0)</f>
        <v>7</v>
      </c>
      <c r="CW3" s="87"/>
      <c r="CX3" s="65"/>
      <c r="CY3" s="87">
        <f ca="1">RANK(CY4,OFFSET($S$4,0,0,1,$D$5*3),0)</f>
        <v>23</v>
      </c>
      <c r="CZ3" s="87"/>
      <c r="DA3" s="65"/>
      <c r="DB3" s="87">
        <f ca="1">RANK(DB4,OFFSET($S$4,0,0,1,$D$5*3),0)</f>
        <v>3</v>
      </c>
      <c r="DC3" s="87"/>
      <c r="DD3" s="65"/>
      <c r="DE3" s="87">
        <f ca="1">RANK(DE4,OFFSET($S$4,0,0,1,$D$5*3),0)</f>
        <v>40</v>
      </c>
      <c r="DF3" s="87"/>
      <c r="DG3" s="65"/>
      <c r="DH3" s="87">
        <f ca="1">RANK(DH4,OFFSET($S$4,0,0,1,$D$5*3),0)</f>
        <v>29</v>
      </c>
      <c r="DI3" s="87"/>
      <c r="DJ3" s="65"/>
      <c r="DK3" s="87">
        <f ca="1">RANK(DK4,OFFSET($S$4,0,0,1,$D$5*3),0)</f>
        <v>35</v>
      </c>
      <c r="DL3" s="87"/>
      <c r="DM3" s="65"/>
      <c r="DN3" s="87">
        <f ca="1">RANK(DN4,OFFSET($S$4,0,0,1,$D$5*3),0)</f>
        <v>27</v>
      </c>
      <c r="DO3" s="87"/>
      <c r="DP3" s="65"/>
      <c r="DQ3" s="87">
        <f ca="1">RANK(DQ4,OFFSET($S$4,0,0,1,$D$5*3),0)</f>
        <v>41</v>
      </c>
      <c r="DR3" s="87"/>
      <c r="DS3" s="65"/>
      <c r="DT3" s="87">
        <f ca="1">RANK(DT4,OFFSET($S$4,0,0,1,$D$5*3),0)</f>
        <v>35</v>
      </c>
      <c r="DU3" s="87"/>
      <c r="DV3" s="65"/>
      <c r="DW3" s="87">
        <f ca="1">RANK(DW4,OFFSET($S$4,0,0,1,$D$5*3),0)</f>
        <v>4</v>
      </c>
      <c r="DX3" s="87"/>
      <c r="DY3" s="65"/>
      <c r="DZ3" s="87">
        <f ca="1">RANK(DZ4,OFFSET($S$4,0,0,1,$D$5*3),0)</f>
        <v>32</v>
      </c>
      <c r="EA3" s="87"/>
      <c r="EB3" s="65"/>
      <c r="EC3" s="87">
        <f ca="1">RANK(EC4,OFFSET($S$4,0,0,1,$D$5*3),0)</f>
        <v>38</v>
      </c>
      <c r="ED3" s="87"/>
      <c r="EE3" s="65"/>
      <c r="EF3" s="87">
        <f ca="1">RANK(EF4,OFFSET($S$4,0,0,1,$D$5*3),0)</f>
        <v>35</v>
      </c>
      <c r="EG3" s="87"/>
      <c r="EH3" s="65"/>
      <c r="EI3" s="87">
        <f ca="1">RANK(EI4,OFFSET($S$4,0,0,1,$D$5*3),0)</f>
        <v>8</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295</v>
      </c>
      <c r="T4" s="68"/>
      <c r="U4" s="65"/>
      <c r="V4" s="67">
        <f ca="1">SUM(W6:W259)/2</f>
        <v>312</v>
      </c>
      <c r="W4" s="68"/>
      <c r="X4" s="65"/>
      <c r="Y4" s="67">
        <f ca="1">SUM(Z6:Z259)/2</f>
        <v>317</v>
      </c>
      <c r="Z4" s="68"/>
      <c r="AA4" s="65"/>
      <c r="AB4" s="67">
        <f ca="1">SUM(AC6:AC259)/2</f>
        <v>316</v>
      </c>
      <c r="AC4" s="68"/>
      <c r="AD4" s="65"/>
      <c r="AE4" s="67">
        <f ca="1">SUM(AF6:AF259)/2</f>
        <v>321</v>
      </c>
      <c r="AF4" s="68"/>
      <c r="AG4" s="65"/>
      <c r="AH4" s="67">
        <f ca="1">SUM(AI6:AI259)/2</f>
        <v>314</v>
      </c>
      <c r="AI4" s="68"/>
      <c r="AJ4" s="65"/>
      <c r="AK4" s="67">
        <f ca="1">SUM(AL6:AL259)/2</f>
        <v>302</v>
      </c>
      <c r="AL4" s="68"/>
      <c r="AM4" s="65"/>
      <c r="AN4" s="67">
        <f ca="1">SUM(AO6:AO259)/2</f>
        <v>307</v>
      </c>
      <c r="AO4" s="68"/>
      <c r="AP4" s="65"/>
      <c r="AQ4" s="67">
        <f ca="1">SUM(AR6:AR259)/2</f>
        <v>388</v>
      </c>
      <c r="AR4" s="68"/>
      <c r="AS4" s="65"/>
      <c r="AT4" s="67">
        <f ca="1">SUM(AU6:AU259)/2</f>
        <v>283</v>
      </c>
      <c r="AU4" s="68"/>
      <c r="AV4" s="65"/>
      <c r="AW4" s="67">
        <f ca="1">SUM(AX6:AX259)/2</f>
        <v>275</v>
      </c>
      <c r="AX4" s="68"/>
      <c r="AY4" s="65"/>
      <c r="AZ4" s="67">
        <f ca="1">SUM(BA6:BA259)/2</f>
        <v>296</v>
      </c>
      <c r="BA4" s="68"/>
      <c r="BB4" s="65"/>
      <c r="BC4" s="67">
        <f ca="1">SUM(BD6:BD259)/2</f>
        <v>305</v>
      </c>
      <c r="BD4" s="68"/>
      <c r="BE4" s="65"/>
      <c r="BF4" s="67">
        <f ca="1">SUM(BG6:BG259)/2</f>
        <v>349</v>
      </c>
      <c r="BG4" s="68"/>
      <c r="BH4" s="65"/>
      <c r="BI4" s="67">
        <f ca="1">SUM(BJ6:BJ259)/2</f>
        <v>312</v>
      </c>
      <c r="BJ4" s="68"/>
      <c r="BK4" s="65"/>
      <c r="BL4" s="67">
        <f ca="1">SUM(BM6:BM259)/2</f>
        <v>378</v>
      </c>
      <c r="BM4" s="68"/>
      <c r="BN4" s="65"/>
      <c r="BO4" s="67">
        <f ca="1">SUM(BP6:BP259)/2</f>
        <v>318</v>
      </c>
      <c r="BP4" s="68"/>
      <c r="BQ4" s="65"/>
      <c r="BR4" s="67">
        <f ca="1">SUM(BS6:BS259)/2</f>
        <v>320</v>
      </c>
      <c r="BS4" s="68"/>
      <c r="BT4" s="65"/>
      <c r="BU4" s="67">
        <f ca="1">SUM(BV6:BV259)/2</f>
        <v>300</v>
      </c>
      <c r="BV4" s="68"/>
      <c r="BW4" s="65"/>
      <c r="BX4" s="67">
        <f ca="1">SUM(BY6:BY259)/2</f>
        <v>319</v>
      </c>
      <c r="BY4" s="68"/>
      <c r="BZ4" s="65"/>
      <c r="CA4" s="67">
        <f ca="1">SUM(CB6:CB259)/2</f>
        <v>315</v>
      </c>
      <c r="CB4" s="68"/>
      <c r="CC4" s="65"/>
      <c r="CD4" s="67">
        <f ca="1">SUM(CE6:CE259)/2</f>
        <v>272</v>
      </c>
      <c r="CE4" s="68"/>
      <c r="CF4" s="65"/>
      <c r="CG4" s="67">
        <f ca="1">SUM(CH6:CH259)/2</f>
        <v>301</v>
      </c>
      <c r="CH4" s="68"/>
      <c r="CI4" s="65"/>
      <c r="CJ4" s="67">
        <f ca="1">SUM(CK6:CK259)/2</f>
        <v>330</v>
      </c>
      <c r="CK4" s="68"/>
      <c r="CL4" s="65"/>
      <c r="CM4" s="67">
        <f ca="1">SUM(CN6:CN259)/2</f>
        <v>295</v>
      </c>
      <c r="CN4" s="68"/>
      <c r="CO4" s="65"/>
      <c r="CP4" s="67">
        <f ca="1">SUM(CQ6:CQ259)/2</f>
        <v>329</v>
      </c>
      <c r="CQ4" s="68"/>
      <c r="CR4" s="65"/>
      <c r="CS4" s="67">
        <f ca="1">SUM(CT6:CT259)/2</f>
        <v>353</v>
      </c>
      <c r="CT4" s="68"/>
      <c r="CU4" s="65"/>
      <c r="CV4" s="67">
        <f ca="1">SUM(CW6:CW259)/2</f>
        <v>338</v>
      </c>
      <c r="CW4" s="68"/>
      <c r="CX4" s="65"/>
      <c r="CY4" s="67">
        <f ca="1">SUM(CZ6:CZ259)/2</f>
        <v>302</v>
      </c>
      <c r="CZ4" s="68"/>
      <c r="DA4" s="65"/>
      <c r="DB4" s="67">
        <f ca="1">SUM(DC6:DC259)/2</f>
        <v>359</v>
      </c>
      <c r="DC4" s="68"/>
      <c r="DD4" s="65"/>
      <c r="DE4" s="67">
        <f ca="1">SUM(DF6:DF259)/2</f>
        <v>269</v>
      </c>
      <c r="DF4" s="68"/>
      <c r="DG4" s="65"/>
      <c r="DH4" s="67">
        <f ca="1">SUM(DI6:DI259)/2</f>
        <v>295</v>
      </c>
      <c r="DI4" s="68"/>
      <c r="DJ4" s="65"/>
      <c r="DK4" s="67">
        <f ca="1">SUM(DL6:DL259)/2</f>
        <v>273</v>
      </c>
      <c r="DL4" s="68"/>
      <c r="DM4" s="65"/>
      <c r="DN4" s="67">
        <f ca="1">SUM(DO6:DO259)/2</f>
        <v>299</v>
      </c>
      <c r="DO4" s="68"/>
      <c r="DP4" s="65"/>
      <c r="DQ4" s="67">
        <f ca="1">SUM(DR6:DR259)/2</f>
        <v>236</v>
      </c>
      <c r="DR4" s="68"/>
      <c r="DS4" s="65"/>
      <c r="DT4" s="67">
        <f ca="1">SUM(DU6:DU259)/2</f>
        <v>273</v>
      </c>
      <c r="DU4" s="68"/>
      <c r="DV4" s="65"/>
      <c r="DW4" s="67">
        <f ca="1">SUM(DX6:DX259)/2</f>
        <v>353</v>
      </c>
      <c r="DX4" s="68"/>
      <c r="DY4" s="65"/>
      <c r="DZ4" s="67">
        <f ca="1">SUM(EA6:EA259)/2</f>
        <v>291</v>
      </c>
      <c r="EA4" s="68"/>
      <c r="EB4" s="65"/>
      <c r="EC4" s="67">
        <f ca="1">SUM(ED6:ED259)/2</f>
        <v>272</v>
      </c>
      <c r="ED4" s="68"/>
      <c r="EE4" s="65"/>
      <c r="EF4" s="67">
        <f ca="1">SUM(EG6:EG259)/2</f>
        <v>273</v>
      </c>
      <c r="EG4" s="68"/>
      <c r="EH4" s="65"/>
      <c r="EI4" s="67">
        <f ca="1">SUM(EJ6:EJ259)/2</f>
        <v>334</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1998</v>
      </c>
      <c r="W5" s="70"/>
      <c r="X5" s="65">
        <v>2</v>
      </c>
      <c r="Y5" s="69" t="s">
        <v>2036</v>
      </c>
      <c r="Z5" s="70"/>
      <c r="AA5" s="65">
        <v>3</v>
      </c>
      <c r="AB5" s="69" t="s">
        <v>2068</v>
      </c>
      <c r="AC5" s="70"/>
      <c r="AD5" s="65">
        <v>4</v>
      </c>
      <c r="AE5" s="69" t="s">
        <v>2091</v>
      </c>
      <c r="AF5" s="70"/>
      <c r="AG5" s="65">
        <v>5</v>
      </c>
      <c r="AH5" s="69" t="s">
        <v>2120</v>
      </c>
      <c r="AI5" s="70"/>
      <c r="AJ5" s="65">
        <v>6</v>
      </c>
      <c r="AK5" s="69" t="s">
        <v>2146</v>
      </c>
      <c r="AL5" s="70"/>
      <c r="AM5" s="65">
        <v>7</v>
      </c>
      <c r="AN5" s="69" t="s">
        <v>2174</v>
      </c>
      <c r="AO5" s="70"/>
      <c r="AP5" s="65">
        <v>8</v>
      </c>
      <c r="AQ5" s="69" t="s">
        <v>2204</v>
      </c>
      <c r="AR5" s="70"/>
      <c r="AS5" s="65">
        <v>9</v>
      </c>
      <c r="AT5" s="69" t="s">
        <v>2251</v>
      </c>
      <c r="AU5" s="70"/>
      <c r="AV5" s="65">
        <v>10</v>
      </c>
      <c r="AW5" s="69" t="s">
        <v>2252</v>
      </c>
      <c r="AX5" s="70"/>
      <c r="AY5" s="65">
        <v>11</v>
      </c>
      <c r="AZ5" s="69" t="s">
        <v>2276</v>
      </c>
      <c r="BA5" s="70"/>
      <c r="BB5" s="65">
        <v>12</v>
      </c>
      <c r="BC5" s="69" t="s">
        <v>2229</v>
      </c>
      <c r="BD5" s="70"/>
      <c r="BE5" s="65">
        <v>13</v>
      </c>
      <c r="BF5" s="69" t="s">
        <v>2324</v>
      </c>
      <c r="BG5" s="70"/>
      <c r="BH5" s="65">
        <v>14</v>
      </c>
      <c r="BI5" s="69" t="s">
        <v>2342</v>
      </c>
      <c r="BJ5" s="70"/>
      <c r="BK5" s="65">
        <v>15</v>
      </c>
      <c r="BL5" s="69" t="s">
        <v>2362</v>
      </c>
      <c r="BM5" s="70"/>
      <c r="BN5" s="65">
        <v>16</v>
      </c>
      <c r="BO5" s="69" t="s">
        <v>2378</v>
      </c>
      <c r="BP5" s="70"/>
      <c r="BQ5" s="65">
        <v>17</v>
      </c>
      <c r="BR5" s="69" t="s">
        <v>2388</v>
      </c>
      <c r="BS5" s="70"/>
      <c r="BT5" s="65">
        <v>18</v>
      </c>
      <c r="BU5" s="69" t="s">
        <v>2400</v>
      </c>
      <c r="BV5" s="70"/>
      <c r="BW5" s="65">
        <v>19</v>
      </c>
      <c r="BX5" s="69" t="s">
        <v>2422</v>
      </c>
      <c r="BY5" s="70"/>
      <c r="BZ5" s="65">
        <v>20</v>
      </c>
      <c r="CA5" s="69" t="s">
        <v>2440</v>
      </c>
      <c r="CB5" s="70"/>
      <c r="CC5" s="65">
        <v>21</v>
      </c>
      <c r="CD5" s="69" t="s">
        <v>2462</v>
      </c>
      <c r="CE5" s="70"/>
      <c r="CF5" s="65">
        <v>22</v>
      </c>
      <c r="CG5" s="69" t="s">
        <v>2477</v>
      </c>
      <c r="CH5" s="70"/>
      <c r="CI5" s="65">
        <v>23</v>
      </c>
      <c r="CJ5" s="69" t="s">
        <v>2495</v>
      </c>
      <c r="CK5" s="70"/>
      <c r="CL5" s="65">
        <v>24</v>
      </c>
      <c r="CM5" s="69" t="s">
        <v>2508</v>
      </c>
      <c r="CN5" s="70"/>
      <c r="CO5" s="65">
        <v>25</v>
      </c>
      <c r="CP5" s="69" t="s">
        <v>2525</v>
      </c>
      <c r="CQ5" s="70"/>
      <c r="CR5" s="65">
        <v>26</v>
      </c>
      <c r="CS5" s="69" t="s">
        <v>2537</v>
      </c>
      <c r="CT5" s="70"/>
      <c r="CU5" s="65">
        <v>27</v>
      </c>
      <c r="CV5" s="69" t="s">
        <v>2543</v>
      </c>
      <c r="CW5" s="70"/>
      <c r="CX5" s="65">
        <v>28</v>
      </c>
      <c r="CY5" s="69" t="s">
        <v>2554</v>
      </c>
      <c r="CZ5" s="70"/>
      <c r="DA5" s="65">
        <v>29</v>
      </c>
      <c r="DB5" s="69" t="s">
        <v>2590</v>
      </c>
      <c r="DC5" s="70"/>
      <c r="DD5" s="65">
        <v>30</v>
      </c>
      <c r="DE5" s="69" t="s">
        <v>2591</v>
      </c>
      <c r="DF5" s="70"/>
      <c r="DG5" s="65">
        <v>31</v>
      </c>
      <c r="DH5" s="69" t="s">
        <v>2608</v>
      </c>
      <c r="DI5" s="70"/>
      <c r="DJ5" s="65">
        <v>32</v>
      </c>
      <c r="DK5" s="69" t="s">
        <v>2621</v>
      </c>
      <c r="DL5" s="70"/>
      <c r="DM5" s="65">
        <v>33</v>
      </c>
      <c r="DN5" s="792" t="s">
        <v>2635</v>
      </c>
      <c r="DO5" s="70"/>
      <c r="DP5" s="65">
        <v>34</v>
      </c>
      <c r="DQ5" s="792" t="s">
        <v>2646</v>
      </c>
      <c r="DR5" s="70"/>
      <c r="DS5" s="65">
        <v>35</v>
      </c>
      <c r="DT5" s="69" t="s">
        <v>2674</v>
      </c>
      <c r="DU5" s="70"/>
      <c r="DV5" s="65">
        <v>36</v>
      </c>
      <c r="DW5" s="69" t="s">
        <v>2698</v>
      </c>
      <c r="DX5" s="70"/>
      <c r="DY5" s="65">
        <v>37</v>
      </c>
      <c r="DZ5" s="69" t="s">
        <v>2712</v>
      </c>
      <c r="EA5" s="70"/>
      <c r="EB5" s="65">
        <v>38</v>
      </c>
      <c r="EC5" s="69" t="s">
        <v>2728</v>
      </c>
      <c r="ED5" s="70"/>
      <c r="EE5" s="65">
        <v>39</v>
      </c>
      <c r="EF5" s="69" t="s">
        <v>2735</v>
      </c>
      <c r="EG5" s="70"/>
      <c r="EH5" s="65">
        <v>40</v>
      </c>
      <c r="EI5" s="69" t="s">
        <v>2753</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2295</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1999</v>
      </c>
      <c r="W14" s="73">
        <f t="shared" si="99"/>
        <v>1</v>
      </c>
      <c r="X14" s="65"/>
      <c r="Y14" s="74" t="s">
        <v>1999</v>
      </c>
      <c r="Z14" s="73">
        <f t="shared" si="100"/>
        <v>1</v>
      </c>
      <c r="AA14" s="65"/>
      <c r="AB14" s="74" t="s">
        <v>1943</v>
      </c>
      <c r="AC14" s="73">
        <f t="shared" si="100"/>
        <v>1</v>
      </c>
      <c r="AD14" s="65"/>
      <c r="AE14" s="74" t="s">
        <v>1951</v>
      </c>
      <c r="AF14" s="73">
        <f t="shared" si="100"/>
        <v>1</v>
      </c>
      <c r="AG14" s="65"/>
      <c r="AH14" s="74" t="s">
        <v>1999</v>
      </c>
      <c r="AI14" s="73">
        <f t="shared" si="100"/>
        <v>1</v>
      </c>
      <c r="AJ14" s="65"/>
      <c r="AK14" s="74" t="s">
        <v>1951</v>
      </c>
      <c r="AL14" s="73">
        <f t="shared" si="100"/>
        <v>1</v>
      </c>
      <c r="AM14" s="65"/>
      <c r="AN14" s="74" t="s">
        <v>1999</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1999</v>
      </c>
      <c r="BJ14" s="73">
        <f t="shared" si="100"/>
        <v>1</v>
      </c>
      <c r="BK14" s="65"/>
      <c r="BL14" s="74" t="s">
        <v>1999</v>
      </c>
      <c r="BM14" s="73">
        <f t="shared" si="100"/>
        <v>1</v>
      </c>
      <c r="BN14" s="65"/>
      <c r="BO14" s="74" t="s">
        <v>1999</v>
      </c>
      <c r="BP14" s="73">
        <f t="shared" si="100"/>
        <v>1</v>
      </c>
      <c r="BQ14" s="65"/>
      <c r="BR14" s="74" t="s">
        <v>1958</v>
      </c>
      <c r="BS14" s="73">
        <f t="shared" si="100"/>
        <v>1</v>
      </c>
      <c r="BT14" s="65"/>
      <c r="BU14" s="74" t="s">
        <v>1999</v>
      </c>
      <c r="BV14" s="73">
        <f t="shared" si="100"/>
        <v>1</v>
      </c>
      <c r="BW14" s="65"/>
      <c r="BX14" s="74" t="s">
        <v>1958</v>
      </c>
      <c r="BY14" s="73">
        <f t="shared" si="100"/>
        <v>1</v>
      </c>
      <c r="BZ14" s="65"/>
      <c r="CA14" s="74" t="s">
        <v>1999</v>
      </c>
      <c r="CB14" s="73">
        <f t="shared" si="100"/>
        <v>1</v>
      </c>
      <c r="CC14" s="65"/>
      <c r="CD14" s="74" t="s">
        <v>1954</v>
      </c>
      <c r="CE14" s="73">
        <f t="shared" si="100"/>
        <v>1</v>
      </c>
      <c r="CF14" s="65"/>
      <c r="CG14" s="74" t="s">
        <v>1958</v>
      </c>
      <c r="CH14" s="73">
        <f t="shared" si="100"/>
        <v>1</v>
      </c>
      <c r="CI14" s="65"/>
      <c r="CJ14" s="74" t="s">
        <v>1999</v>
      </c>
      <c r="CK14" s="73">
        <f t="shared" si="70"/>
        <v>1</v>
      </c>
      <c r="CL14" s="65"/>
      <c r="CM14" s="74" t="s">
        <v>1951</v>
      </c>
      <c r="CN14" s="73">
        <f t="shared" si="70"/>
        <v>1</v>
      </c>
      <c r="CO14" s="65"/>
      <c r="CP14" s="74" t="s">
        <v>1951</v>
      </c>
      <c r="CQ14" s="73">
        <f t="shared" si="70"/>
        <v>1</v>
      </c>
      <c r="CR14" s="65"/>
      <c r="CS14" s="74" t="s">
        <v>1958</v>
      </c>
      <c r="CT14" s="73">
        <f t="shared" si="70"/>
        <v>1</v>
      </c>
      <c r="CU14" s="65"/>
      <c r="CV14" s="74" t="s">
        <v>1999</v>
      </c>
      <c r="CW14" s="73">
        <f t="shared" si="70"/>
        <v>1</v>
      </c>
      <c r="CX14" s="65"/>
      <c r="CY14" s="74" t="s">
        <v>1950</v>
      </c>
      <c r="CZ14" s="73">
        <f t="shared" si="70"/>
        <v>2</v>
      </c>
      <c r="DA14" s="65"/>
      <c r="DB14" s="74" t="s">
        <v>1958</v>
      </c>
      <c r="DC14" s="73">
        <f t="shared" si="70"/>
        <v>1</v>
      </c>
      <c r="DD14" s="65"/>
      <c r="DE14" s="74" t="s">
        <v>1999</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2000</v>
      </c>
      <c r="DU14" s="73">
        <f t="shared" si="70"/>
        <v>1</v>
      </c>
      <c r="DV14" s="65"/>
      <c r="DW14" s="74" t="s">
        <v>1950</v>
      </c>
      <c r="DX14" s="73">
        <f t="shared" si="70"/>
        <v>2</v>
      </c>
      <c r="DY14" s="65"/>
      <c r="DZ14" s="74" t="s">
        <v>1999</v>
      </c>
      <c r="EA14" s="73">
        <f t="shared" si="70"/>
        <v>1</v>
      </c>
      <c r="EB14" s="65"/>
      <c r="EC14" s="74" t="s">
        <v>1958</v>
      </c>
      <c r="ED14" s="73">
        <f t="shared" si="70"/>
        <v>1</v>
      </c>
      <c r="EE14" s="65"/>
      <c r="EF14" s="74" t="s">
        <v>1951</v>
      </c>
      <c r="EG14" s="73">
        <f t="shared" si="70"/>
        <v>1</v>
      </c>
      <c r="EH14" s="65"/>
      <c r="EI14" s="74" t="s">
        <v>1999</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1999</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1999</v>
      </c>
      <c r="BV20" s="73">
        <f t="shared" si="103"/>
        <v>0</v>
      </c>
      <c r="BW20" s="65"/>
      <c r="BX20" s="74" t="s">
        <v>1958</v>
      </c>
      <c r="BY20" s="73">
        <f t="shared" si="103"/>
        <v>0</v>
      </c>
      <c r="BZ20" s="65"/>
      <c r="CA20" s="74" t="s">
        <v>1959</v>
      </c>
      <c r="CB20" s="73">
        <f t="shared" si="103"/>
        <v>0</v>
      </c>
      <c r="CC20" s="65"/>
      <c r="CD20" s="74" t="s">
        <v>1954</v>
      </c>
      <c r="CE20" s="73">
        <f t="shared" si="103"/>
        <v>0</v>
      </c>
      <c r="CF20" s="65"/>
      <c r="CG20" s="74" t="s">
        <v>1999</v>
      </c>
      <c r="CH20" s="73">
        <f t="shared" si="103"/>
        <v>0</v>
      </c>
      <c r="CI20" s="65"/>
      <c r="CJ20" s="74" t="s">
        <v>1951</v>
      </c>
      <c r="CK20" s="73">
        <f t="shared" si="102"/>
        <v>0</v>
      </c>
      <c r="CL20" s="65"/>
      <c r="CM20" s="74" t="s">
        <v>1951</v>
      </c>
      <c r="CN20" s="73">
        <f t="shared" si="102"/>
        <v>0</v>
      </c>
      <c r="CO20" s="65"/>
      <c r="CP20" s="74" t="s">
        <v>1950</v>
      </c>
      <c r="CQ20" s="73">
        <f t="shared" si="102"/>
        <v>0</v>
      </c>
      <c r="CR20" s="65"/>
      <c r="CS20" s="74" t="s">
        <v>1999</v>
      </c>
      <c r="CT20" s="73">
        <f t="shared" si="102"/>
        <v>0</v>
      </c>
      <c r="CU20" s="65"/>
      <c r="CV20" s="74" t="s">
        <v>1999</v>
      </c>
      <c r="CW20" s="73">
        <f t="shared" si="102"/>
        <v>0</v>
      </c>
      <c r="CX20" s="65"/>
      <c r="CY20" s="74" t="s">
        <v>2555</v>
      </c>
      <c r="CZ20" s="73">
        <f t="shared" si="102"/>
        <v>0</v>
      </c>
      <c r="DA20" s="65"/>
      <c r="DB20" s="74" t="s">
        <v>1999</v>
      </c>
      <c r="DC20" s="73">
        <f t="shared" si="102"/>
        <v>0</v>
      </c>
      <c r="DD20" s="65"/>
      <c r="DE20" s="74" t="s">
        <v>1951</v>
      </c>
      <c r="DF20" s="73">
        <f t="shared" si="102"/>
        <v>0</v>
      </c>
      <c r="DG20" s="65"/>
      <c r="DH20" s="74" t="s">
        <v>1958</v>
      </c>
      <c r="DI20" s="73">
        <f t="shared" si="102"/>
        <v>0</v>
      </c>
      <c r="DJ20" s="65"/>
      <c r="DK20" s="74" t="s">
        <v>1999</v>
      </c>
      <c r="DL20" s="73">
        <f t="shared" si="102"/>
        <v>0</v>
      </c>
      <c r="DM20" s="65"/>
      <c r="DN20" s="795" t="s">
        <v>2000</v>
      </c>
      <c r="DO20" s="73">
        <f t="shared" si="102"/>
        <v>0</v>
      </c>
      <c r="DP20" s="65"/>
      <c r="DQ20" s="795" t="s">
        <v>1943</v>
      </c>
      <c r="DR20" s="73">
        <f t="shared" si="102"/>
        <v>0</v>
      </c>
      <c r="DS20" s="65"/>
      <c r="DT20" s="74" t="s">
        <v>1999</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1999</v>
      </c>
      <c r="EA20" s="73">
        <f t="shared" si="105"/>
        <v>0</v>
      </c>
      <c r="EB20" s="65"/>
      <c r="EC20" s="74" t="s">
        <v>1999</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2713</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1999</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1999</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1999</v>
      </c>
      <c r="CQ26" s="73">
        <f t="shared" si="102"/>
        <v>0</v>
      </c>
      <c r="CR26" s="65"/>
      <c r="CS26" s="74" t="s">
        <v>1999</v>
      </c>
      <c r="CT26" s="73">
        <f t="shared" si="102"/>
        <v>0</v>
      </c>
      <c r="CU26" s="65"/>
      <c r="CV26" s="74" t="s">
        <v>1999</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2000</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1999</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2000</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1999</v>
      </c>
      <c r="AL35" s="73">
        <f t="shared" si="108"/>
        <v>1</v>
      </c>
      <c r="AM35" s="65"/>
      <c r="AN35" s="74" t="s">
        <v>2175</v>
      </c>
      <c r="AO35" s="73">
        <f t="shared" si="108"/>
        <v>1</v>
      </c>
      <c r="AP35" s="65"/>
      <c r="AQ35" s="74" t="s">
        <v>1951</v>
      </c>
      <c r="AR35" s="73">
        <f t="shared" si="108"/>
        <v>1</v>
      </c>
      <c r="AS35" s="65"/>
      <c r="AT35" s="74" t="s">
        <v>1999</v>
      </c>
      <c r="AU35" s="73">
        <f t="shared" si="108"/>
        <v>1</v>
      </c>
      <c r="AV35" s="65"/>
      <c r="AW35" s="74" t="s">
        <v>1950</v>
      </c>
      <c r="AX35" s="73">
        <f t="shared" si="108"/>
        <v>1</v>
      </c>
      <c r="AY35" s="65"/>
      <c r="AZ35" s="74" t="s">
        <v>1999</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1999</v>
      </c>
      <c r="BV35" s="73">
        <f t="shared" si="108"/>
        <v>1</v>
      </c>
      <c r="BW35" s="65"/>
      <c r="BX35" s="74" t="s">
        <v>1958</v>
      </c>
      <c r="BY35" s="73">
        <f t="shared" si="108"/>
        <v>4</v>
      </c>
      <c r="BZ35" s="65"/>
      <c r="CA35" s="74" t="s">
        <v>1954</v>
      </c>
      <c r="CB35" s="73">
        <f t="shared" si="108"/>
        <v>1</v>
      </c>
      <c r="CC35" s="65"/>
      <c r="CD35" s="74" t="s">
        <v>1999</v>
      </c>
      <c r="CE35" s="73">
        <f t="shared" si="108"/>
        <v>1</v>
      </c>
      <c r="CF35" s="65"/>
      <c r="CG35" s="74" t="s">
        <v>1954</v>
      </c>
      <c r="CH35" s="73">
        <f t="shared" si="108"/>
        <v>1</v>
      </c>
      <c r="CI35" s="65"/>
      <c r="CJ35" s="74" t="s">
        <v>1951</v>
      </c>
      <c r="CK35" s="73">
        <f t="shared" si="107"/>
        <v>1</v>
      </c>
      <c r="CL35" s="65"/>
      <c r="CM35" s="74" t="s">
        <v>1999</v>
      </c>
      <c r="CN35" s="73">
        <f t="shared" si="107"/>
        <v>1</v>
      </c>
      <c r="CO35" s="65"/>
      <c r="CP35" s="74" t="s">
        <v>1950</v>
      </c>
      <c r="CQ35" s="73">
        <f t="shared" si="107"/>
        <v>1</v>
      </c>
      <c r="CR35" s="65"/>
      <c r="CS35" s="74" t="s">
        <v>1999</v>
      </c>
      <c r="CT35" s="73">
        <f t="shared" si="107"/>
        <v>1</v>
      </c>
      <c r="CU35" s="65"/>
      <c r="CV35" s="74" t="s">
        <v>1999</v>
      </c>
      <c r="CW35" s="73">
        <f t="shared" si="107"/>
        <v>1</v>
      </c>
      <c r="CX35" s="65"/>
      <c r="CY35" s="74" t="s">
        <v>1999</v>
      </c>
      <c r="CZ35" s="73">
        <f t="shared" si="107"/>
        <v>1</v>
      </c>
      <c r="DA35" s="65"/>
      <c r="DB35" s="74" t="s">
        <v>1999</v>
      </c>
      <c r="DC35" s="73">
        <f t="shared" si="107"/>
        <v>1</v>
      </c>
      <c r="DD35" s="65"/>
      <c r="DE35" s="74" t="s">
        <v>1950</v>
      </c>
      <c r="DF35" s="73">
        <f t="shared" si="107"/>
        <v>1</v>
      </c>
      <c r="DG35" s="65"/>
      <c r="DH35" s="74" t="s">
        <v>1958</v>
      </c>
      <c r="DI35" s="73">
        <f t="shared" si="107"/>
        <v>4</v>
      </c>
      <c r="DJ35" s="65"/>
      <c r="DK35" s="74" t="s">
        <v>1999</v>
      </c>
      <c r="DL35" s="73">
        <f t="shared" si="107"/>
        <v>1</v>
      </c>
      <c r="DM35" s="65"/>
      <c r="DN35" s="795" t="s">
        <v>1950</v>
      </c>
      <c r="DO35" s="73">
        <f t="shared" si="107"/>
        <v>1</v>
      </c>
      <c r="DP35" s="65"/>
      <c r="DQ35" s="795" t="s">
        <v>1958</v>
      </c>
      <c r="DR35" s="73">
        <f t="shared" si="107"/>
        <v>4</v>
      </c>
      <c r="DS35" s="65"/>
      <c r="DT35" s="74" t="s">
        <v>1958</v>
      </c>
      <c r="DU35" s="73">
        <f t="shared" si="107"/>
        <v>4</v>
      </c>
      <c r="DV35" s="65"/>
      <c r="DW35" s="74" t="s">
        <v>1999</v>
      </c>
      <c r="DX35" s="73">
        <f t="shared" si="109"/>
        <v>1</v>
      </c>
      <c r="DY35" s="65"/>
      <c r="DZ35" s="74" t="s">
        <v>1999</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2295</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1999</v>
      </c>
      <c r="AL39" s="73">
        <f t="shared" si="108"/>
        <v>0</v>
      </c>
      <c r="AM39" s="65"/>
      <c r="AN39" s="74" t="s">
        <v>1954</v>
      </c>
      <c r="AO39" s="73">
        <f t="shared" si="108"/>
        <v>0</v>
      </c>
      <c r="AP39" s="65"/>
      <c r="AQ39" s="74" t="s">
        <v>1958</v>
      </c>
      <c r="AR39" s="73">
        <f t="shared" si="108"/>
        <v>0</v>
      </c>
      <c r="AS39" s="65"/>
      <c r="AT39" s="74" t="s">
        <v>1958</v>
      </c>
      <c r="AU39" s="73">
        <f t="shared" si="108"/>
        <v>0</v>
      </c>
      <c r="AV39" s="65"/>
      <c r="AW39" s="74" t="s">
        <v>1999</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1999</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1999</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1999</v>
      </c>
      <c r="AL45" s="73">
        <f t="shared" si="112"/>
        <v>0</v>
      </c>
      <c r="AM45" s="65"/>
      <c r="AN45" s="74" t="s">
        <v>1999</v>
      </c>
      <c r="AO45" s="73">
        <f t="shared" si="112"/>
        <v>0</v>
      </c>
      <c r="AP45" s="65"/>
      <c r="AQ45" s="74" t="s">
        <v>1958</v>
      </c>
      <c r="AR45" s="73">
        <f t="shared" si="112"/>
        <v>0</v>
      </c>
      <c r="AS45" s="65"/>
      <c r="AT45" s="74" t="s">
        <v>1958</v>
      </c>
      <c r="AU45" s="73">
        <f t="shared" si="112"/>
        <v>0</v>
      </c>
      <c r="AV45" s="65"/>
      <c r="AW45" s="74" t="s">
        <v>1954</v>
      </c>
      <c r="AX45" s="73">
        <f t="shared" si="112"/>
        <v>0</v>
      </c>
      <c r="AY45" s="65"/>
      <c r="AZ45" s="74" t="s">
        <v>1999</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1999</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1999</v>
      </c>
      <c r="AR46" s="73">
        <f t="shared" si="112"/>
        <v>1</v>
      </c>
      <c r="AS46" s="65"/>
      <c r="AT46" s="74" t="s">
        <v>1999</v>
      </c>
      <c r="AU46" s="73">
        <f t="shared" si="112"/>
        <v>1</v>
      </c>
      <c r="AV46" s="65"/>
      <c r="AW46" s="74" t="s">
        <v>1951</v>
      </c>
      <c r="AX46" s="73">
        <f t="shared" si="112"/>
        <v>1</v>
      </c>
      <c r="AY46" s="65"/>
      <c r="AZ46" s="74" t="s">
        <v>1999</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1999</v>
      </c>
      <c r="BV46" s="73">
        <f t="shared" si="112"/>
        <v>1</v>
      </c>
      <c r="BW46" s="65"/>
      <c r="BX46" s="74" t="s">
        <v>1958</v>
      </c>
      <c r="BY46" s="73">
        <f t="shared" si="112"/>
        <v>4</v>
      </c>
      <c r="BZ46" s="65"/>
      <c r="CA46" s="74" t="s">
        <v>1999</v>
      </c>
      <c r="CB46" s="73">
        <f t="shared" si="112"/>
        <v>1</v>
      </c>
      <c r="CC46" s="65"/>
      <c r="CD46" s="74" t="s">
        <v>1942</v>
      </c>
      <c r="CE46" s="73">
        <f t="shared" si="112"/>
        <v>1</v>
      </c>
      <c r="CF46" s="65"/>
      <c r="CG46" s="74" t="s">
        <v>1958</v>
      </c>
      <c r="CH46" s="73">
        <f t="shared" si="112"/>
        <v>4</v>
      </c>
      <c r="CI46" s="65"/>
      <c r="CJ46" s="74" t="s">
        <v>1943</v>
      </c>
      <c r="CK46" s="73">
        <f t="shared" si="110"/>
        <v>1</v>
      </c>
      <c r="CL46" s="65"/>
      <c r="CM46" s="74" t="s">
        <v>1999</v>
      </c>
      <c r="CN46" s="73">
        <f t="shared" si="110"/>
        <v>1</v>
      </c>
      <c r="CO46" s="65"/>
      <c r="CP46" s="74" t="s">
        <v>1999</v>
      </c>
      <c r="CQ46" s="73">
        <f t="shared" si="110"/>
        <v>1</v>
      </c>
      <c r="CR46" s="65"/>
      <c r="CS46" s="74" t="s">
        <v>1999</v>
      </c>
      <c r="CT46" s="73">
        <f t="shared" si="110"/>
        <v>1</v>
      </c>
      <c r="CU46" s="65"/>
      <c r="CV46" s="74" t="s">
        <v>1999</v>
      </c>
      <c r="CW46" s="73">
        <f t="shared" si="110"/>
        <v>1</v>
      </c>
      <c r="CX46" s="65"/>
      <c r="CY46" s="74" t="s">
        <v>1999</v>
      </c>
      <c r="CZ46" s="73">
        <f t="shared" si="110"/>
        <v>1</v>
      </c>
      <c r="DA46" s="65"/>
      <c r="DB46" s="74" t="s">
        <v>1958</v>
      </c>
      <c r="DC46" s="73">
        <f t="shared" si="110"/>
        <v>4</v>
      </c>
      <c r="DD46" s="65"/>
      <c r="DE46" s="74" t="s">
        <v>1999</v>
      </c>
      <c r="DF46" s="73">
        <f t="shared" si="110"/>
        <v>1</v>
      </c>
      <c r="DG46" s="65"/>
      <c r="DH46" s="74" t="s">
        <v>1943</v>
      </c>
      <c r="DI46" s="73">
        <f t="shared" si="110"/>
        <v>1</v>
      </c>
      <c r="DJ46" s="65"/>
      <c r="DK46" s="74" t="s">
        <v>1999</v>
      </c>
      <c r="DL46" s="73">
        <f t="shared" si="110"/>
        <v>1</v>
      </c>
      <c r="DM46" s="65"/>
      <c r="DN46" s="795" t="s">
        <v>2175</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1999</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1999</v>
      </c>
      <c r="AR50" s="73">
        <f t="shared" si="112"/>
        <v>1</v>
      </c>
      <c r="AS50" s="65"/>
      <c r="AT50" s="74" t="s">
        <v>1943</v>
      </c>
      <c r="AU50" s="73">
        <f t="shared" si="112"/>
        <v>1</v>
      </c>
      <c r="AV50" s="65"/>
      <c r="AW50" s="74" t="s">
        <v>1999</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1999</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1999</v>
      </c>
      <c r="DO50" s="73">
        <f t="shared" si="110"/>
        <v>1</v>
      </c>
      <c r="DP50" s="65"/>
      <c r="DQ50" s="795" t="s">
        <v>1942</v>
      </c>
      <c r="DR50" s="73">
        <f t="shared" si="110"/>
        <v>1</v>
      </c>
      <c r="DS50" s="65"/>
      <c r="DT50" s="74" t="s">
        <v>1943</v>
      </c>
      <c r="DU50" s="73">
        <f t="shared" si="110"/>
        <v>1</v>
      </c>
      <c r="DV50" s="65"/>
      <c r="DW50" s="74" t="s">
        <v>1999</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1999</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1999</v>
      </c>
      <c r="AR59" s="73">
        <f t="shared" si="116"/>
        <v>1</v>
      </c>
      <c r="AS59" s="65"/>
      <c r="AT59" s="74" t="s">
        <v>1958</v>
      </c>
      <c r="AU59" s="73">
        <f t="shared" si="116"/>
        <v>1</v>
      </c>
      <c r="AV59" s="65"/>
      <c r="AW59" s="74" t="s">
        <v>1999</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1999</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1999</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2253</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2253</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2205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2253</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2205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2253</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2176</v>
      </c>
      <c r="AO76" s="73">
        <f t="shared" si="120"/>
        <v>1</v>
      </c>
      <c r="AP76" s="65"/>
      <c r="AQ76" s="74" t="s">
        <v>2205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2001</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2037</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2069</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2092</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2092</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2037</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2177</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2206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2254</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2177</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2296</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2325</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2037</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2363</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2379</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2389</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2401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2379</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2441</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2379</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2478</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2496</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2509</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2526</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2325</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2069</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2556</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2363</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2592</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2609</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2622</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2636</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2037</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2325</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2379</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2714</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2001</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2736</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2069</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2002</v>
      </c>
      <c r="W165" s="77">
        <f t="shared" ca="1" si="740"/>
        <v>2</v>
      </c>
      <c r="X165" s="110"/>
      <c r="Y165" s="74" t="s">
        <v>2038</v>
      </c>
      <c r="Z165" s="77">
        <f t="shared" ca="1" si="740"/>
        <v>1</v>
      </c>
      <c r="AA165" s="110"/>
      <c r="AB165" s="80" t="s">
        <v>2070</v>
      </c>
      <c r="AC165" s="77">
        <f t="shared" ca="1" si="740"/>
        <v>1</v>
      </c>
      <c r="AD165" s="110"/>
      <c r="AE165" s="74" t="s">
        <v>2093</v>
      </c>
      <c r="AF165" s="77">
        <f t="shared" ca="1" si="740"/>
        <v>0</v>
      </c>
      <c r="AG165" s="110"/>
      <c r="AH165" s="74" t="s">
        <v>2121</v>
      </c>
      <c r="AI165" s="77">
        <f t="shared" ca="1" si="740"/>
        <v>0</v>
      </c>
      <c r="AJ165" s="110"/>
      <c r="AK165" s="74" t="s">
        <v>2070</v>
      </c>
      <c r="AL165" s="77">
        <f t="shared" ca="1" si="740"/>
        <v>1</v>
      </c>
      <c r="AM165" s="110"/>
      <c r="AN165" s="74" t="s">
        <v>2178</v>
      </c>
      <c r="AO165" s="77">
        <f t="shared" ca="1" si="740"/>
        <v>4</v>
      </c>
      <c r="AP165" s="110"/>
      <c r="AQ165" s="74" t="s">
        <v>2207</v>
      </c>
      <c r="AR165" s="77">
        <f t="shared" ca="1" si="740"/>
        <v>0</v>
      </c>
      <c r="AS165" s="110"/>
      <c r="AT165" s="74" t="s">
        <v>2070</v>
      </c>
      <c r="AU165" s="77">
        <f t="shared" ca="1" si="740"/>
        <v>1</v>
      </c>
      <c r="AV165" s="110"/>
      <c r="AW165" s="74" t="s">
        <v>2178</v>
      </c>
      <c r="AX165" s="77">
        <f t="shared" ca="1" si="740"/>
        <v>4</v>
      </c>
      <c r="AY165" s="110"/>
      <c r="AZ165" s="74" t="s">
        <v>2038</v>
      </c>
      <c r="BA165" s="77">
        <f t="shared" ca="1" si="740"/>
        <v>1</v>
      </c>
      <c r="BB165" s="110"/>
      <c r="BC165" s="74" t="s">
        <v>2297</v>
      </c>
      <c r="BD165" s="77">
        <f t="shared" ca="1" si="740"/>
        <v>0</v>
      </c>
      <c r="BE165" s="110"/>
      <c r="BF165" s="74" t="s">
        <v>2070</v>
      </c>
      <c r="BG165" s="77">
        <f t="shared" ca="1" si="740"/>
        <v>1</v>
      </c>
      <c r="BH165" s="110"/>
      <c r="BI165" s="74" t="s">
        <v>2038</v>
      </c>
      <c r="BJ165" s="77">
        <f t="shared" ca="1" si="740"/>
        <v>1</v>
      </c>
      <c r="BK165" s="110"/>
      <c r="BL165" s="708" t="s">
        <v>2178</v>
      </c>
      <c r="BM165" s="77">
        <f t="shared" ca="1" si="740"/>
        <v>4</v>
      </c>
      <c r="BN165" s="110"/>
      <c r="BO165" s="74" t="s">
        <v>2038</v>
      </c>
      <c r="BP165" s="77">
        <f t="shared" ca="1" si="740"/>
        <v>1</v>
      </c>
      <c r="BQ165" s="110"/>
      <c r="BR165" s="74" t="s">
        <v>2070</v>
      </c>
      <c r="BS165" s="77">
        <f t="shared" ca="1" si="740"/>
        <v>1</v>
      </c>
      <c r="BT165" s="110"/>
      <c r="BU165" s="74" t="s">
        <v>2402</v>
      </c>
      <c r="BV165" s="77">
        <f t="shared" ca="1" si="740"/>
        <v>0</v>
      </c>
      <c r="BW165" s="110"/>
      <c r="BX165" s="74" t="s">
        <v>2070</v>
      </c>
      <c r="BY165" s="77">
        <f t="shared" ca="1" si="740"/>
        <v>1</v>
      </c>
      <c r="BZ165" s="110"/>
      <c r="CA165" s="74" t="s">
        <v>2442</v>
      </c>
      <c r="CB165" s="77">
        <f t="shared" ca="1" si="740"/>
        <v>0</v>
      </c>
      <c r="CC165" s="110"/>
      <c r="CD165" s="74" t="s">
        <v>2463</v>
      </c>
      <c r="CE165" s="77">
        <f t="shared" ca="1" si="740"/>
        <v>0</v>
      </c>
      <c r="CF165" s="110"/>
      <c r="CG165" s="74" t="s">
        <v>2178</v>
      </c>
      <c r="CH165" s="77">
        <f t="shared" ca="1" si="740"/>
        <v>4</v>
      </c>
      <c r="CI165" s="110"/>
      <c r="CJ165" s="74" t="s">
        <v>2178</v>
      </c>
      <c r="CK165" s="77">
        <f t="shared" ca="1" si="762"/>
        <v>4</v>
      </c>
      <c r="CL165" s="110"/>
      <c r="CM165" s="74" t="s">
        <v>2510</v>
      </c>
      <c r="CN165" s="77">
        <f t="shared" ca="1" si="762"/>
        <v>0</v>
      </c>
      <c r="CO165" s="110"/>
      <c r="CP165" s="74" t="s">
        <v>2527</v>
      </c>
      <c r="CQ165" s="77">
        <f t="shared" ca="1" si="762"/>
        <v>0</v>
      </c>
      <c r="CR165" s="110"/>
      <c r="CS165" s="74" t="s">
        <v>2538</v>
      </c>
      <c r="CT165" s="77">
        <f t="shared" ca="1" si="762"/>
        <v>1</v>
      </c>
      <c r="CU165" s="110"/>
      <c r="CV165" s="74" t="s">
        <v>2538</v>
      </c>
      <c r="CW165" s="77">
        <f t="shared" ca="1" si="762"/>
        <v>1</v>
      </c>
      <c r="CX165" s="110"/>
      <c r="CY165" s="74" t="s">
        <v>2557</v>
      </c>
      <c r="CZ165" s="77">
        <f t="shared" ca="1" si="762"/>
        <v>0</v>
      </c>
      <c r="DA165" s="110"/>
      <c r="DB165" s="74" t="s">
        <v>2178</v>
      </c>
      <c r="DC165" s="77">
        <f t="shared" ca="1" si="762"/>
        <v>4</v>
      </c>
      <c r="DD165" s="110"/>
      <c r="DE165" s="74" t="s">
        <v>2038</v>
      </c>
      <c r="DF165" s="77">
        <f t="shared" ca="1" si="762"/>
        <v>1</v>
      </c>
      <c r="DG165" s="110"/>
      <c r="DH165" s="74" t="s">
        <v>2070</v>
      </c>
      <c r="DI165" s="77">
        <f t="shared" ca="1" si="762"/>
        <v>1</v>
      </c>
      <c r="DJ165" s="110"/>
      <c r="DK165" s="74" t="s">
        <v>2623</v>
      </c>
      <c r="DL165" s="77">
        <f t="shared" ca="1" si="762"/>
        <v>0</v>
      </c>
      <c r="DM165" s="110"/>
      <c r="DN165" s="795" t="s">
        <v>2070</v>
      </c>
      <c r="DO165" s="77">
        <f t="shared" ca="1" si="762"/>
        <v>1</v>
      </c>
      <c r="DP165" s="110"/>
      <c r="DQ165" s="795" t="s">
        <v>2647</v>
      </c>
      <c r="DR165" s="77">
        <f t="shared" ca="1" si="762"/>
        <v>0</v>
      </c>
      <c r="DS165" s="110"/>
      <c r="DT165" s="74" t="s">
        <v>2675</v>
      </c>
      <c r="DU165" s="77">
        <f t="shared" ca="1" si="762"/>
        <v>0</v>
      </c>
      <c r="DV165" s="110"/>
      <c r="DW165" s="74" t="s">
        <v>2002</v>
      </c>
      <c r="DX165" s="77">
        <f t="shared" ca="1" si="762"/>
        <v>2</v>
      </c>
      <c r="DY165" s="110"/>
      <c r="DZ165" s="74" t="s">
        <v>2715</v>
      </c>
      <c r="EA165" s="77">
        <f t="shared" ca="1" si="762"/>
        <v>0</v>
      </c>
      <c r="EB165" s="110"/>
      <c r="EC165" s="74" t="s">
        <v>2729</v>
      </c>
      <c r="ED165" s="77">
        <f t="shared" ca="1" si="762"/>
        <v>0</v>
      </c>
      <c r="EE165" s="110"/>
      <c r="EF165" s="74" t="s">
        <v>2737</v>
      </c>
      <c r="EG165" s="77">
        <f t="shared" ca="1" si="762"/>
        <v>1</v>
      </c>
      <c r="EH165" s="110"/>
      <c r="EI165" s="74" t="s">
        <v>2178</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49"/>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2003</v>
      </c>
      <c r="W166" s="77">
        <f t="shared" ca="1" si="740"/>
        <v>0</v>
      </c>
      <c r="X166" s="110"/>
      <c r="Y166" s="74" t="s">
        <v>2039</v>
      </c>
      <c r="Z166" s="77">
        <f t="shared" ca="1" si="740"/>
        <v>0</v>
      </c>
      <c r="AA166" s="110"/>
      <c r="AB166" s="80" t="s">
        <v>2071</v>
      </c>
      <c r="AC166" s="77">
        <f t="shared" ca="1" si="740"/>
        <v>0</v>
      </c>
      <c r="AD166" s="110"/>
      <c r="AE166" s="74" t="s">
        <v>2094</v>
      </c>
      <c r="AF166" s="77">
        <f t="shared" ca="1" si="740"/>
        <v>0</v>
      </c>
      <c r="AG166" s="110"/>
      <c r="AH166" s="74" t="s">
        <v>2122</v>
      </c>
      <c r="AI166" s="77">
        <f t="shared" ca="1" si="740"/>
        <v>2</v>
      </c>
      <c r="AJ166" s="110"/>
      <c r="AK166" s="74" t="s">
        <v>2147</v>
      </c>
      <c r="AL166" s="77">
        <f t="shared" ca="1" si="740"/>
        <v>0</v>
      </c>
      <c r="AM166" s="110"/>
      <c r="AN166" s="74" t="s">
        <v>2003</v>
      </c>
      <c r="AO166" s="77">
        <f t="shared" ca="1" si="740"/>
        <v>0</v>
      </c>
      <c r="AP166" s="110"/>
      <c r="AQ166" s="74" t="s">
        <v>2208</v>
      </c>
      <c r="AR166" s="77">
        <f t="shared" ca="1" si="740"/>
        <v>0</v>
      </c>
      <c r="AS166" s="110"/>
      <c r="AT166" s="74" t="s">
        <v>2231</v>
      </c>
      <c r="AU166" s="77">
        <f t="shared" ca="1" si="740"/>
        <v>0</v>
      </c>
      <c r="AV166" s="110"/>
      <c r="AW166" s="74" t="s">
        <v>2255</v>
      </c>
      <c r="AX166" s="77">
        <f t="shared" ca="1" si="740"/>
        <v>0</v>
      </c>
      <c r="AY166" s="110"/>
      <c r="AZ166" s="74" t="s">
        <v>2277</v>
      </c>
      <c r="BA166" s="77">
        <f t="shared" ca="1" si="740"/>
        <v>0</v>
      </c>
      <c r="BB166" s="110"/>
      <c r="BC166" s="74" t="s">
        <v>2298</v>
      </c>
      <c r="BD166" s="77">
        <f t="shared" ca="1" si="740"/>
        <v>0</v>
      </c>
      <c r="BE166" s="110"/>
      <c r="BF166" s="74" t="s">
        <v>2326</v>
      </c>
      <c r="BG166" s="77">
        <f t="shared" ca="1" si="740"/>
        <v>0</v>
      </c>
      <c r="BH166" s="110"/>
      <c r="BI166" s="74" t="s">
        <v>2039</v>
      </c>
      <c r="BJ166" s="77">
        <f t="shared" ca="1" si="740"/>
        <v>0</v>
      </c>
      <c r="BK166" s="110"/>
      <c r="BL166" s="74" t="s">
        <v>2298</v>
      </c>
      <c r="BM166" s="77">
        <f t="shared" ca="1" si="740"/>
        <v>0</v>
      </c>
      <c r="BN166" s="110"/>
      <c r="BO166" s="74" t="s">
        <v>2003</v>
      </c>
      <c r="BP166" s="77">
        <f t="shared" ca="1" si="740"/>
        <v>0</v>
      </c>
      <c r="BQ166" s="110"/>
      <c r="BR166" s="74" t="s">
        <v>2326</v>
      </c>
      <c r="BS166" s="77">
        <f t="shared" ca="1" si="740"/>
        <v>0</v>
      </c>
      <c r="BT166" s="110"/>
      <c r="BU166" s="74" t="s">
        <v>2403</v>
      </c>
      <c r="BV166" s="77">
        <f t="shared" ca="1" si="740"/>
        <v>0</v>
      </c>
      <c r="BW166" s="110"/>
      <c r="BX166" s="74" t="s">
        <v>2003</v>
      </c>
      <c r="BY166" s="77">
        <f t="shared" ca="1" si="740"/>
        <v>0</v>
      </c>
      <c r="BZ166" s="110"/>
      <c r="CA166" s="74" t="s">
        <v>2298</v>
      </c>
      <c r="CB166" s="77">
        <f t="shared" ca="1" si="740"/>
        <v>0</v>
      </c>
      <c r="CC166" s="110"/>
      <c r="CD166" s="74" t="s">
        <v>2464</v>
      </c>
      <c r="CE166" s="77">
        <f t="shared" ca="1" si="740"/>
        <v>0</v>
      </c>
      <c r="CF166" s="110"/>
      <c r="CG166" s="74" t="s">
        <v>2479</v>
      </c>
      <c r="CH166" s="77">
        <f t="shared" ca="1" si="740"/>
        <v>0</v>
      </c>
      <c r="CI166" s="110"/>
      <c r="CJ166" s="74" t="s">
        <v>2039</v>
      </c>
      <c r="CK166" s="77">
        <f t="shared" ca="1" si="762"/>
        <v>0</v>
      </c>
      <c r="CL166" s="110"/>
      <c r="CM166" s="74" t="s">
        <v>2326</v>
      </c>
      <c r="CN166" s="77">
        <f t="shared" ca="1" si="762"/>
        <v>0</v>
      </c>
      <c r="CO166" s="110"/>
      <c r="CP166" s="74" t="s">
        <v>2039</v>
      </c>
      <c r="CQ166" s="77">
        <f t="shared" ca="1" si="762"/>
        <v>0</v>
      </c>
      <c r="CR166" s="110"/>
      <c r="CS166" s="74" t="s">
        <v>2298</v>
      </c>
      <c r="CT166" s="77">
        <f t="shared" ca="1" si="762"/>
        <v>0</v>
      </c>
      <c r="CU166" s="110"/>
      <c r="CV166" s="74" t="s">
        <v>1966</v>
      </c>
      <c r="CW166" s="77">
        <f t="shared" ca="1" si="762"/>
        <v>0</v>
      </c>
      <c r="CX166" s="110"/>
      <c r="CY166" s="74" t="s">
        <v>2558</v>
      </c>
      <c r="CZ166" s="77">
        <f t="shared" ca="1" si="762"/>
        <v>0</v>
      </c>
      <c r="DA166" s="110"/>
      <c r="DB166" s="74" t="s">
        <v>2577</v>
      </c>
      <c r="DC166" s="77">
        <f t="shared" ca="1" si="762"/>
        <v>0</v>
      </c>
      <c r="DD166" s="110"/>
      <c r="DE166" s="74" t="s">
        <v>2003</v>
      </c>
      <c r="DF166" s="77">
        <f t="shared" ca="1" si="762"/>
        <v>0</v>
      </c>
      <c r="DG166" s="110"/>
      <c r="DH166" s="74" t="s">
        <v>2298</v>
      </c>
      <c r="DI166" s="77">
        <f t="shared" ca="1" si="762"/>
        <v>0</v>
      </c>
      <c r="DJ166" s="110"/>
      <c r="DK166" s="74" t="s">
        <v>2624</v>
      </c>
      <c r="DL166" s="77">
        <f t="shared" ca="1" si="762"/>
        <v>0</v>
      </c>
      <c r="DM166" s="110"/>
      <c r="DN166" s="795" t="s">
        <v>2637</v>
      </c>
      <c r="DO166" s="77">
        <f t="shared" ca="1" si="762"/>
        <v>0</v>
      </c>
      <c r="DP166" s="110"/>
      <c r="DQ166" s="795" t="s">
        <v>2648</v>
      </c>
      <c r="DR166" s="77">
        <f t="shared" ca="1" si="762"/>
        <v>0</v>
      </c>
      <c r="DS166" s="110"/>
      <c r="DT166" s="74" t="s">
        <v>2298</v>
      </c>
      <c r="DU166" s="77">
        <f t="shared" ca="1" si="762"/>
        <v>0</v>
      </c>
      <c r="DV166" s="110"/>
      <c r="DW166" s="74" t="s">
        <v>2071</v>
      </c>
      <c r="DX166" s="77">
        <f t="shared" ca="1" si="762"/>
        <v>0</v>
      </c>
      <c r="DY166" s="110"/>
      <c r="DZ166" s="74" t="s">
        <v>2255</v>
      </c>
      <c r="EA166" s="77">
        <f t="shared" ca="1" si="762"/>
        <v>0</v>
      </c>
      <c r="EB166" s="110"/>
      <c r="EC166" s="74" t="s">
        <v>2730</v>
      </c>
      <c r="ED166" s="77">
        <f t="shared" ca="1" si="762"/>
        <v>0</v>
      </c>
      <c r="EE166" s="110"/>
      <c r="EF166" s="74" t="s">
        <v>2003</v>
      </c>
      <c r="EG166" s="77">
        <f t="shared" ca="1" si="762"/>
        <v>0</v>
      </c>
      <c r="EH166" s="110"/>
      <c r="EI166" s="74" t="s">
        <v>2637</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2004</v>
      </c>
      <c r="W167" s="77">
        <f t="shared" ca="1" si="740"/>
        <v>0</v>
      </c>
      <c r="X167" s="110"/>
      <c r="Y167" s="74" t="s">
        <v>2040</v>
      </c>
      <c r="Z167" s="77">
        <f t="shared" ca="1" si="740"/>
        <v>0</v>
      </c>
      <c r="AA167" s="110"/>
      <c r="AB167" s="80" t="s">
        <v>2004</v>
      </c>
      <c r="AC167" s="77">
        <f t="shared" ca="1" si="740"/>
        <v>0</v>
      </c>
      <c r="AD167" s="110"/>
      <c r="AE167" s="74" t="s">
        <v>2095</v>
      </c>
      <c r="AF167" s="77">
        <f t="shared" ca="1" si="740"/>
        <v>0</v>
      </c>
      <c r="AG167" s="110"/>
      <c r="AH167" s="74" t="s">
        <v>2123</v>
      </c>
      <c r="AI167" s="77">
        <f t="shared" ca="1" si="740"/>
        <v>0</v>
      </c>
      <c r="AJ167" s="110"/>
      <c r="AK167" s="74" t="s">
        <v>2148</v>
      </c>
      <c r="AL167" s="77">
        <f t="shared" ca="1" si="740"/>
        <v>2</v>
      </c>
      <c r="AM167" s="110"/>
      <c r="AN167" s="74" t="s">
        <v>2179</v>
      </c>
      <c r="AO167" s="77">
        <f t="shared" ca="1" si="740"/>
        <v>4</v>
      </c>
      <c r="AP167" s="110"/>
      <c r="AQ167" s="74" t="s">
        <v>2179</v>
      </c>
      <c r="AR167" s="77">
        <f t="shared" ca="1" si="740"/>
        <v>4</v>
      </c>
      <c r="AS167" s="110"/>
      <c r="AT167" s="74" t="s">
        <v>2040</v>
      </c>
      <c r="AU167" s="77">
        <f t="shared" ca="1" si="740"/>
        <v>0</v>
      </c>
      <c r="AV167" s="110"/>
      <c r="AW167" s="74" t="s">
        <v>2179</v>
      </c>
      <c r="AX167" s="77">
        <f t="shared" ca="1" si="740"/>
        <v>4</v>
      </c>
      <c r="AY167" s="110"/>
      <c r="AZ167" s="74" t="s">
        <v>2179</v>
      </c>
      <c r="BA167" s="77">
        <f t="shared" ca="1" si="740"/>
        <v>4</v>
      </c>
      <c r="BB167" s="110"/>
      <c r="BC167" s="74" t="s">
        <v>2299</v>
      </c>
      <c r="BD167" s="77">
        <f t="shared" ca="1" si="740"/>
        <v>0</v>
      </c>
      <c r="BE167" s="110"/>
      <c r="BF167" s="74" t="s">
        <v>2040</v>
      </c>
      <c r="BG167" s="77">
        <f t="shared" ca="1" si="740"/>
        <v>0</v>
      </c>
      <c r="BH167" s="110"/>
      <c r="BI167" s="74" t="s">
        <v>2040</v>
      </c>
      <c r="BJ167" s="77">
        <f t="shared" ca="1" si="740"/>
        <v>0</v>
      </c>
      <c r="BK167" s="110"/>
      <c r="BL167" s="74" t="s">
        <v>2179</v>
      </c>
      <c r="BM167" s="77">
        <f t="shared" ca="1" si="740"/>
        <v>4</v>
      </c>
      <c r="BN167" s="110"/>
      <c r="BO167" s="74" t="s">
        <v>2299</v>
      </c>
      <c r="BP167" s="77">
        <f t="shared" ca="1" si="740"/>
        <v>0</v>
      </c>
      <c r="BQ167" s="110"/>
      <c r="BR167" s="74" t="s">
        <v>2179</v>
      </c>
      <c r="BS167" s="77">
        <f t="shared" ca="1" si="740"/>
        <v>4</v>
      </c>
      <c r="BT167" s="110"/>
      <c r="BU167" s="74" t="s">
        <v>2404</v>
      </c>
      <c r="BV167" s="77">
        <f t="shared" ca="1" si="740"/>
        <v>0</v>
      </c>
      <c r="BW167" s="110"/>
      <c r="BX167" s="74" t="s">
        <v>2423</v>
      </c>
      <c r="BY167" s="77">
        <f t="shared" ca="1" si="740"/>
        <v>0</v>
      </c>
      <c r="BZ167" s="110"/>
      <c r="CA167" s="74" t="s">
        <v>2443</v>
      </c>
      <c r="CB167" s="77">
        <f t="shared" ca="1" si="740"/>
        <v>0</v>
      </c>
      <c r="CC167" s="110"/>
      <c r="CD167" s="74" t="s">
        <v>2095</v>
      </c>
      <c r="CE167" s="77">
        <f t="shared" ca="1" si="740"/>
        <v>0</v>
      </c>
      <c r="CF167" s="110"/>
      <c r="CG167" s="74" t="s">
        <v>2480</v>
      </c>
      <c r="CH167" s="77">
        <f t="shared" ca="1" si="740"/>
        <v>0</v>
      </c>
      <c r="CI167" s="110"/>
      <c r="CJ167" s="74" t="s">
        <v>2179</v>
      </c>
      <c r="CK167" s="77">
        <f t="shared" ca="1" si="762"/>
        <v>4</v>
      </c>
      <c r="CL167" s="110"/>
      <c r="CM167" s="74" t="s">
        <v>2511</v>
      </c>
      <c r="CN167" s="77">
        <f t="shared" ca="1" si="762"/>
        <v>0</v>
      </c>
      <c r="CO167" s="110"/>
      <c r="CP167" s="74" t="s">
        <v>2528</v>
      </c>
      <c r="CQ167" s="77">
        <f t="shared" ca="1" si="762"/>
        <v>0</v>
      </c>
      <c r="CR167" s="110"/>
      <c r="CS167" s="74" t="s">
        <v>2299</v>
      </c>
      <c r="CT167" s="77">
        <f t="shared" ca="1" si="762"/>
        <v>0</v>
      </c>
      <c r="CU167" s="110"/>
      <c r="CV167" s="74" t="s">
        <v>2179</v>
      </c>
      <c r="CW167" s="77">
        <f t="shared" ca="1" si="762"/>
        <v>4</v>
      </c>
      <c r="CX167" s="110"/>
      <c r="CY167" s="74" t="s">
        <v>2559</v>
      </c>
      <c r="CZ167" s="77">
        <f t="shared" ca="1" si="762"/>
        <v>0</v>
      </c>
      <c r="DA167" s="110"/>
      <c r="DB167" s="74" t="s">
        <v>2148</v>
      </c>
      <c r="DC167" s="77">
        <f t="shared" ca="1" si="762"/>
        <v>2</v>
      </c>
      <c r="DD167" s="110"/>
      <c r="DE167" s="74" t="s">
        <v>2179</v>
      </c>
      <c r="DF167" s="77">
        <f t="shared" ca="1" si="762"/>
        <v>4</v>
      </c>
      <c r="DG167" s="110"/>
      <c r="DH167" s="74" t="s">
        <v>2148</v>
      </c>
      <c r="DI167" s="77">
        <f t="shared" ca="1" si="762"/>
        <v>2</v>
      </c>
      <c r="DJ167" s="110"/>
      <c r="DK167" s="74" t="s">
        <v>2123</v>
      </c>
      <c r="DL167" s="77">
        <f t="shared" ca="1" si="762"/>
        <v>0</v>
      </c>
      <c r="DM167" s="110"/>
      <c r="DN167" s="795" t="s">
        <v>2040</v>
      </c>
      <c r="DO167" s="77">
        <f t="shared" ca="1" si="762"/>
        <v>0</v>
      </c>
      <c r="DP167" s="110"/>
      <c r="DQ167" s="795" t="s">
        <v>2649</v>
      </c>
      <c r="DR167" s="77">
        <f t="shared" ca="1" si="762"/>
        <v>0</v>
      </c>
      <c r="DS167" s="110"/>
      <c r="DT167" s="74" t="s">
        <v>2676</v>
      </c>
      <c r="DU167" s="77">
        <f t="shared" ca="1" si="762"/>
        <v>0</v>
      </c>
      <c r="DV167" s="110"/>
      <c r="DW167" s="74" t="s">
        <v>2699</v>
      </c>
      <c r="DX167" s="77">
        <f t="shared" ca="1" si="762"/>
        <v>2</v>
      </c>
      <c r="DY167" s="110"/>
      <c r="DZ167" s="74" t="s">
        <v>2716</v>
      </c>
      <c r="EA167" s="77">
        <f t="shared" ca="1" si="762"/>
        <v>0</v>
      </c>
      <c r="EB167" s="110"/>
      <c r="EC167" s="74" t="s">
        <v>2148</v>
      </c>
      <c r="ED167" s="77">
        <f t="shared" ca="1" si="762"/>
        <v>2</v>
      </c>
      <c r="EE167" s="110"/>
      <c r="EF167" s="74" t="s">
        <v>2699</v>
      </c>
      <c r="EG167" s="77">
        <f t="shared" ca="1" si="762"/>
        <v>2</v>
      </c>
      <c r="EH167" s="110"/>
      <c r="EI167" s="74" t="s">
        <v>2299</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2005</v>
      </c>
      <c r="W168" s="77">
        <f t="shared" ca="1" si="740"/>
        <v>0</v>
      </c>
      <c r="X168" s="110"/>
      <c r="Y168" s="74" t="s">
        <v>2041</v>
      </c>
      <c r="Z168" s="77">
        <f t="shared" ca="1" si="740"/>
        <v>0</v>
      </c>
      <c r="AA168" s="110"/>
      <c r="AB168" s="80" t="s">
        <v>2072</v>
      </c>
      <c r="AC168" s="77">
        <f t="shared" ca="1" si="740"/>
        <v>0</v>
      </c>
      <c r="AD168" s="110"/>
      <c r="AE168" s="74" t="s">
        <v>2096</v>
      </c>
      <c r="AF168" s="77">
        <f t="shared" ca="1" si="740"/>
        <v>0</v>
      </c>
      <c r="AG168" s="110"/>
      <c r="AH168" s="74" t="s">
        <v>2072</v>
      </c>
      <c r="AI168" s="77">
        <f t="shared" ca="1" si="740"/>
        <v>0</v>
      </c>
      <c r="AJ168" s="110"/>
      <c r="AK168" s="74" t="s">
        <v>2149</v>
      </c>
      <c r="AL168" s="77">
        <f t="shared" ca="1" si="740"/>
        <v>0</v>
      </c>
      <c r="AM168" s="110"/>
      <c r="AN168" s="74" t="s">
        <v>2180</v>
      </c>
      <c r="AO168" s="77">
        <f t="shared" ca="1" si="740"/>
        <v>2</v>
      </c>
      <c r="AP168" s="110"/>
      <c r="AQ168" s="74" t="s">
        <v>2209</v>
      </c>
      <c r="AR168" s="77">
        <f t="shared" ca="1" si="740"/>
        <v>0</v>
      </c>
      <c r="AS168" s="110"/>
      <c r="AT168" s="74" t="s">
        <v>2232</v>
      </c>
      <c r="AU168" s="77">
        <f t="shared" ca="1" si="740"/>
        <v>0</v>
      </c>
      <c r="AV168" s="110"/>
      <c r="AW168" s="74" t="s">
        <v>2256</v>
      </c>
      <c r="AX168" s="77">
        <f t="shared" ca="1" si="740"/>
        <v>0</v>
      </c>
      <c r="AY168" s="110"/>
      <c r="AZ168" s="74" t="s">
        <v>2096</v>
      </c>
      <c r="BA168" s="77">
        <f t="shared" ca="1" si="740"/>
        <v>0</v>
      </c>
      <c r="BB168" s="110"/>
      <c r="BC168" s="74" t="s">
        <v>2300</v>
      </c>
      <c r="BD168" s="77">
        <f t="shared" ca="1" si="740"/>
        <v>0</v>
      </c>
      <c r="BE168" s="110"/>
      <c r="BF168" s="74" t="s">
        <v>2327</v>
      </c>
      <c r="BG168" s="77">
        <f t="shared" ca="1" si="740"/>
        <v>0</v>
      </c>
      <c r="BH168" s="110"/>
      <c r="BI168" s="74" t="s">
        <v>2041</v>
      </c>
      <c r="BJ168" s="77">
        <f t="shared" ca="1" si="740"/>
        <v>0</v>
      </c>
      <c r="BK168" s="110"/>
      <c r="BL168" s="74" t="s">
        <v>2364</v>
      </c>
      <c r="BM168" s="77">
        <f t="shared" ca="1" si="740"/>
        <v>0</v>
      </c>
      <c r="BN168" s="110"/>
      <c r="BO168" s="74" t="s">
        <v>2380</v>
      </c>
      <c r="BP168" s="77">
        <f t="shared" ca="1" si="740"/>
        <v>0</v>
      </c>
      <c r="BQ168" s="110"/>
      <c r="BR168" s="74" t="s">
        <v>2390</v>
      </c>
      <c r="BS168" s="77">
        <f t="shared" ca="1" si="740"/>
        <v>0</v>
      </c>
      <c r="BT168" s="110"/>
      <c r="BU168" s="74" t="s">
        <v>2405</v>
      </c>
      <c r="BV168" s="77">
        <f t="shared" ca="1" si="740"/>
        <v>0</v>
      </c>
      <c r="BW168" s="110"/>
      <c r="BX168" s="74" t="s">
        <v>2424</v>
      </c>
      <c r="BY168" s="77">
        <f t="shared" ca="1" si="740"/>
        <v>0</v>
      </c>
      <c r="BZ168" s="110"/>
      <c r="CA168" s="74" t="s">
        <v>2005</v>
      </c>
      <c r="CB168" s="77">
        <f t="shared" ca="1" si="740"/>
        <v>0</v>
      </c>
      <c r="CC168" s="110"/>
      <c r="CD168" s="74" t="s">
        <v>2096</v>
      </c>
      <c r="CE168" s="77">
        <f t="shared" ca="1" si="740"/>
        <v>0</v>
      </c>
      <c r="CF168" s="110"/>
      <c r="CG168" s="74" t="s">
        <v>2380</v>
      </c>
      <c r="CH168" s="77">
        <f t="shared" ca="1" si="740"/>
        <v>0</v>
      </c>
      <c r="CI168" s="110"/>
      <c r="CJ168" s="74" t="s">
        <v>2497</v>
      </c>
      <c r="CK168" s="77">
        <f t="shared" ca="1" si="762"/>
        <v>0</v>
      </c>
      <c r="CL168" s="110"/>
      <c r="CM168" s="74" t="s">
        <v>2096</v>
      </c>
      <c r="CN168" s="77">
        <f t="shared" ca="1" si="762"/>
        <v>0</v>
      </c>
      <c r="CO168" s="110"/>
      <c r="CP168" s="74" t="s">
        <v>2497</v>
      </c>
      <c r="CQ168" s="77">
        <f t="shared" ca="1" si="762"/>
        <v>0</v>
      </c>
      <c r="CR168" s="110"/>
      <c r="CS168" s="74" t="s">
        <v>2041</v>
      </c>
      <c r="CT168" s="77">
        <f t="shared" ca="1" si="762"/>
        <v>0</v>
      </c>
      <c r="CU168" s="110"/>
      <c r="CV168" s="74" t="s">
        <v>2327</v>
      </c>
      <c r="CW168" s="77">
        <f t="shared" ca="1" si="762"/>
        <v>0</v>
      </c>
      <c r="CX168" s="110"/>
      <c r="CY168" s="74" t="s">
        <v>1968</v>
      </c>
      <c r="CZ168" s="77">
        <f t="shared" ca="1" si="762"/>
        <v>1</v>
      </c>
      <c r="DA168" s="110"/>
      <c r="DB168" s="74" t="s">
        <v>2096</v>
      </c>
      <c r="DC168" s="77">
        <f t="shared" ca="1" si="762"/>
        <v>0</v>
      </c>
      <c r="DD168" s="110"/>
      <c r="DE168" s="74" t="s">
        <v>2593</v>
      </c>
      <c r="DF168" s="77">
        <f t="shared" ca="1" si="762"/>
        <v>0</v>
      </c>
      <c r="DG168" s="110"/>
      <c r="DH168" s="74" t="s">
        <v>2610</v>
      </c>
      <c r="DI168" s="77">
        <f t="shared" ca="1" si="762"/>
        <v>0</v>
      </c>
      <c r="DJ168" s="110"/>
      <c r="DK168" s="74" t="s">
        <v>2300</v>
      </c>
      <c r="DL168" s="77">
        <f t="shared" ca="1" si="762"/>
        <v>0</v>
      </c>
      <c r="DM168" s="110"/>
      <c r="DN168" s="795" t="s">
        <v>2497</v>
      </c>
      <c r="DO168" s="77">
        <f t="shared" ca="1" si="762"/>
        <v>0</v>
      </c>
      <c r="DP168" s="110"/>
      <c r="DQ168" s="795" t="s">
        <v>2650</v>
      </c>
      <c r="DR168" s="77">
        <f t="shared" ca="1" si="762"/>
        <v>0</v>
      </c>
      <c r="DS168" s="110"/>
      <c r="DT168" s="74" t="s">
        <v>2677</v>
      </c>
      <c r="DU168" s="77">
        <f t="shared" ca="1" si="762"/>
        <v>0</v>
      </c>
      <c r="DV168" s="110"/>
      <c r="DW168" s="74" t="s">
        <v>2096</v>
      </c>
      <c r="DX168" s="77">
        <f t="shared" ca="1" si="762"/>
        <v>0</v>
      </c>
      <c r="DY168" s="110"/>
      <c r="DZ168" s="74" t="s">
        <v>2096</v>
      </c>
      <c r="EA168" s="77">
        <f t="shared" ca="1" si="762"/>
        <v>0</v>
      </c>
      <c r="EB168" s="110"/>
      <c r="EC168" s="74" t="s">
        <v>2731</v>
      </c>
      <c r="ED168" s="77">
        <f t="shared" ca="1" si="762"/>
        <v>0</v>
      </c>
      <c r="EE168" s="110"/>
      <c r="EF168" s="74" t="s">
        <v>2738</v>
      </c>
      <c r="EG168" s="77">
        <f t="shared" ca="1" si="762"/>
        <v>0</v>
      </c>
      <c r="EH168" s="110"/>
      <c r="EI168" s="74" t="s">
        <v>2754</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49"/>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2006</v>
      </c>
      <c r="W169" s="77">
        <f t="shared" ca="1" si="740"/>
        <v>1</v>
      </c>
      <c r="X169" s="110"/>
      <c r="Y169" s="74" t="s">
        <v>2006</v>
      </c>
      <c r="Z169" s="77">
        <f t="shared" ca="1" si="740"/>
        <v>1</v>
      </c>
      <c r="AA169" s="110"/>
      <c r="AB169" s="80" t="s">
        <v>2006</v>
      </c>
      <c r="AC169" s="77">
        <f t="shared" ca="1" si="740"/>
        <v>1</v>
      </c>
      <c r="AD169" s="110"/>
      <c r="AE169" s="74" t="s">
        <v>2006</v>
      </c>
      <c r="AF169" s="77">
        <f t="shared" ca="1" si="740"/>
        <v>1</v>
      </c>
      <c r="AG169" s="110"/>
      <c r="AH169" s="74" t="s">
        <v>2124</v>
      </c>
      <c r="AI169" s="77">
        <f t="shared" ca="1" si="740"/>
        <v>0</v>
      </c>
      <c r="AJ169" s="110"/>
      <c r="AK169" s="74" t="s">
        <v>2150</v>
      </c>
      <c r="AL169" s="77">
        <f t="shared" ca="1" si="740"/>
        <v>4</v>
      </c>
      <c r="AM169" s="110"/>
      <c r="AN169" s="74" t="s">
        <v>2181</v>
      </c>
      <c r="AO169" s="77">
        <f t="shared" ca="1" si="740"/>
        <v>0</v>
      </c>
      <c r="AP169" s="110"/>
      <c r="AQ169" s="74" t="s">
        <v>2210</v>
      </c>
      <c r="AR169" s="77">
        <f t="shared" ca="1" si="740"/>
        <v>0</v>
      </c>
      <c r="AS169" s="110"/>
      <c r="AT169" s="74" t="s">
        <v>2233</v>
      </c>
      <c r="AU169" s="77">
        <f t="shared" ca="1" si="740"/>
        <v>0</v>
      </c>
      <c r="AV169" s="110"/>
      <c r="AW169" s="74" t="s">
        <v>2257</v>
      </c>
      <c r="AX169" s="77">
        <f t="shared" ca="1" si="740"/>
        <v>0</v>
      </c>
      <c r="AY169" s="110"/>
      <c r="AZ169" s="74" t="s">
        <v>2278</v>
      </c>
      <c r="BA169" s="77">
        <f t="shared" ca="1" si="740"/>
        <v>0</v>
      </c>
      <c r="BB169" s="110"/>
      <c r="BC169" s="74" t="s">
        <v>2124</v>
      </c>
      <c r="BD169" s="77">
        <f t="shared" ca="1" si="740"/>
        <v>0</v>
      </c>
      <c r="BE169" s="110"/>
      <c r="BF169" s="74" t="s">
        <v>2328</v>
      </c>
      <c r="BG169" s="77">
        <f t="shared" ca="1" si="740"/>
        <v>0</v>
      </c>
      <c r="BH169" s="110"/>
      <c r="BI169" s="74" t="s">
        <v>2343</v>
      </c>
      <c r="BJ169" s="77">
        <f t="shared" ca="1" si="740"/>
        <v>0</v>
      </c>
      <c r="BK169" s="110"/>
      <c r="BL169" s="74" t="s">
        <v>2150</v>
      </c>
      <c r="BM169" s="77">
        <f t="shared" ca="1" si="740"/>
        <v>4</v>
      </c>
      <c r="BN169" s="110"/>
      <c r="BO169" s="74" t="s">
        <v>2150</v>
      </c>
      <c r="BP169" s="77">
        <f t="shared" ca="1" si="740"/>
        <v>4</v>
      </c>
      <c r="BQ169" s="110"/>
      <c r="BR169" s="74" t="s">
        <v>2391</v>
      </c>
      <c r="BS169" s="77">
        <f t="shared" ca="1" si="740"/>
        <v>0</v>
      </c>
      <c r="BT169" s="110"/>
      <c r="BU169" s="74" t="s">
        <v>2006</v>
      </c>
      <c r="BV169" s="77">
        <f t="shared" ca="1" si="740"/>
        <v>1</v>
      </c>
      <c r="BW169" s="110"/>
      <c r="BX169" s="74" t="s">
        <v>2425</v>
      </c>
      <c r="BY169" s="77">
        <f t="shared" ca="1" si="740"/>
        <v>0</v>
      </c>
      <c r="BZ169" s="110"/>
      <c r="CA169" s="74" t="s">
        <v>2444</v>
      </c>
      <c r="CB169" s="77">
        <f t="shared" ca="1" si="740"/>
        <v>0</v>
      </c>
      <c r="CC169" s="110"/>
      <c r="CD169" s="74" t="s">
        <v>2465</v>
      </c>
      <c r="CE169" s="77">
        <f t="shared" ca="1" si="740"/>
        <v>1</v>
      </c>
      <c r="CF169" s="110"/>
      <c r="CG169" s="74" t="s">
        <v>2006</v>
      </c>
      <c r="CH169" s="77">
        <f t="shared" ca="1" si="740"/>
        <v>1</v>
      </c>
      <c r="CI169" s="110"/>
      <c r="CJ169" s="74" t="s">
        <v>2278</v>
      </c>
      <c r="CK169" s="77">
        <f t="shared" ca="1" si="762"/>
        <v>0</v>
      </c>
      <c r="CL169" s="110"/>
      <c r="CM169" s="74" t="s">
        <v>2328</v>
      </c>
      <c r="CN169" s="77">
        <f t="shared" ca="1" si="762"/>
        <v>0</v>
      </c>
      <c r="CO169" s="110"/>
      <c r="CP169" s="74" t="s">
        <v>2465</v>
      </c>
      <c r="CQ169" s="77">
        <f t="shared" ca="1" si="762"/>
        <v>1</v>
      </c>
      <c r="CR169" s="110"/>
      <c r="CS169" s="74" t="s">
        <v>2181</v>
      </c>
      <c r="CT169" s="77">
        <f t="shared" ca="1" si="762"/>
        <v>0</v>
      </c>
      <c r="CU169" s="110"/>
      <c r="CV169" s="74" t="s">
        <v>2465</v>
      </c>
      <c r="CW169" s="77">
        <f t="shared" ca="1" si="762"/>
        <v>1</v>
      </c>
      <c r="CX169" s="110"/>
      <c r="CY169" s="74" t="s">
        <v>2560</v>
      </c>
      <c r="CZ169" s="77">
        <f t="shared" ca="1" si="762"/>
        <v>0</v>
      </c>
      <c r="DA169" s="110"/>
      <c r="DB169" s="74" t="s">
        <v>2578</v>
      </c>
      <c r="DC169" s="77">
        <f t="shared" ca="1" si="762"/>
        <v>1</v>
      </c>
      <c r="DD169" s="110"/>
      <c r="DE169" s="74" t="s">
        <v>2594</v>
      </c>
      <c r="DF169" s="77">
        <f t="shared" ca="1" si="762"/>
        <v>0</v>
      </c>
      <c r="DG169" s="110"/>
      <c r="DH169" s="74" t="s">
        <v>2150</v>
      </c>
      <c r="DI169" s="77">
        <f t="shared" ca="1" si="762"/>
        <v>4</v>
      </c>
      <c r="DJ169" s="110"/>
      <c r="DK169" s="74" t="s">
        <v>2278</v>
      </c>
      <c r="DL169" s="77">
        <f t="shared" ca="1" si="762"/>
        <v>0</v>
      </c>
      <c r="DM169" s="110"/>
      <c r="DN169" s="795" t="s">
        <v>2257</v>
      </c>
      <c r="DO169" s="77">
        <f t="shared" ca="1" si="762"/>
        <v>0</v>
      </c>
      <c r="DP169" s="110"/>
      <c r="DQ169" s="795" t="s">
        <v>2651</v>
      </c>
      <c r="DR169" s="77">
        <f t="shared" ca="1" si="762"/>
        <v>0</v>
      </c>
      <c r="DS169" s="110"/>
      <c r="DT169" s="74" t="s">
        <v>2210</v>
      </c>
      <c r="DU169" s="77">
        <f t="shared" ca="1" si="762"/>
        <v>0</v>
      </c>
      <c r="DV169" s="110"/>
      <c r="DW169" s="74" t="s">
        <v>2465</v>
      </c>
      <c r="DX169" s="77">
        <f t="shared" ca="1" si="762"/>
        <v>1</v>
      </c>
      <c r="DY169" s="110"/>
      <c r="DZ169" s="74" t="s">
        <v>2717</v>
      </c>
      <c r="EA169" s="77">
        <f t="shared" ca="1" si="762"/>
        <v>0</v>
      </c>
      <c r="EB169" s="110"/>
      <c r="EC169" s="74" t="s">
        <v>2150</v>
      </c>
      <c r="ED169" s="77">
        <f t="shared" ca="1" si="762"/>
        <v>4</v>
      </c>
      <c r="EE169" s="110"/>
      <c r="EF169" s="74" t="s">
        <v>2739</v>
      </c>
      <c r="EG169" s="77">
        <f t="shared" ca="1" si="762"/>
        <v>0</v>
      </c>
      <c r="EH169" s="110"/>
      <c r="EI169" s="74" t="s">
        <v>2328</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49"/>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2007</v>
      </c>
      <c r="W170" s="77">
        <f t="shared" ca="1" si="740"/>
        <v>0</v>
      </c>
      <c r="X170" s="110"/>
      <c r="Y170" s="74" t="s">
        <v>2042</v>
      </c>
      <c r="Z170" s="77">
        <f t="shared" ca="1" si="740"/>
        <v>0</v>
      </c>
      <c r="AA170" s="110"/>
      <c r="AB170" s="80" t="s">
        <v>2073</v>
      </c>
      <c r="AC170" s="77">
        <f t="shared" ca="1" si="740"/>
        <v>0</v>
      </c>
      <c r="AD170" s="110"/>
      <c r="AE170" s="74" t="s">
        <v>2097</v>
      </c>
      <c r="AF170" s="77">
        <f t="shared" ca="1" si="740"/>
        <v>0</v>
      </c>
      <c r="AG170" s="110"/>
      <c r="AH170" s="74" t="s">
        <v>2097</v>
      </c>
      <c r="AI170" s="77">
        <f t="shared" ca="1" si="740"/>
        <v>0</v>
      </c>
      <c r="AJ170" s="110"/>
      <c r="AK170" s="74" t="s">
        <v>2151</v>
      </c>
      <c r="AL170" s="77">
        <f t="shared" ca="1" si="740"/>
        <v>0</v>
      </c>
      <c r="AM170" s="110"/>
      <c r="AN170" s="74" t="s">
        <v>2182</v>
      </c>
      <c r="AO170" s="77">
        <f t="shared" ca="1" si="740"/>
        <v>0</v>
      </c>
      <c r="AP170" s="110"/>
      <c r="AQ170" s="74" t="s">
        <v>2073</v>
      </c>
      <c r="AR170" s="77">
        <f t="shared" ca="1" si="740"/>
        <v>0</v>
      </c>
      <c r="AS170" s="110"/>
      <c r="AT170" s="74" t="s">
        <v>2234</v>
      </c>
      <c r="AU170" s="77">
        <f t="shared" ca="1" si="740"/>
        <v>0</v>
      </c>
      <c r="AV170" s="110"/>
      <c r="AW170" s="74" t="s">
        <v>2258</v>
      </c>
      <c r="AX170" s="77">
        <f t="shared" ca="1" si="740"/>
        <v>0</v>
      </c>
      <c r="AY170" s="110"/>
      <c r="AZ170" s="74" t="s">
        <v>2279</v>
      </c>
      <c r="BA170" s="77">
        <f t="shared" ca="1" si="740"/>
        <v>0</v>
      </c>
      <c r="BB170" s="110"/>
      <c r="BC170" s="74" t="s">
        <v>2301</v>
      </c>
      <c r="BD170" s="77">
        <f t="shared" ca="1" si="740"/>
        <v>0</v>
      </c>
      <c r="BE170" s="110"/>
      <c r="BF170" s="74" t="s">
        <v>2329</v>
      </c>
      <c r="BG170" s="77">
        <f t="shared" ca="1" si="740"/>
        <v>0</v>
      </c>
      <c r="BH170" s="110"/>
      <c r="BI170" s="74" t="s">
        <v>2344</v>
      </c>
      <c r="BJ170" s="77">
        <f t="shared" ca="1" si="740"/>
        <v>2</v>
      </c>
      <c r="BK170" s="110"/>
      <c r="BL170" s="74" t="s">
        <v>2073</v>
      </c>
      <c r="BM170" s="77">
        <f t="shared" ca="1" si="740"/>
        <v>0</v>
      </c>
      <c r="BN170" s="110"/>
      <c r="BO170" s="74" t="s">
        <v>2329</v>
      </c>
      <c r="BP170" s="77">
        <f t="shared" ca="1" si="740"/>
        <v>0</v>
      </c>
      <c r="BQ170" s="110"/>
      <c r="BR170" s="74" t="s">
        <v>2042</v>
      </c>
      <c r="BS170" s="77">
        <f t="shared" ca="1" si="740"/>
        <v>0</v>
      </c>
      <c r="BT170" s="110"/>
      <c r="BU170" s="74" t="s">
        <v>2406</v>
      </c>
      <c r="BV170" s="77">
        <f t="shared" ca="1" si="740"/>
        <v>0</v>
      </c>
      <c r="BW170" s="110"/>
      <c r="BX170" s="74" t="s">
        <v>2426</v>
      </c>
      <c r="BY170" s="77">
        <f t="shared" ca="1" si="740"/>
        <v>0</v>
      </c>
      <c r="BZ170" s="110"/>
      <c r="CA170" s="74" t="s">
        <v>2445</v>
      </c>
      <c r="CB170" s="77">
        <f t="shared" ca="1" si="740"/>
        <v>0</v>
      </c>
      <c r="CC170" s="110"/>
      <c r="CD170" s="74" t="s">
        <v>2466</v>
      </c>
      <c r="CE170" s="77">
        <f t="shared" ca="1" si="740"/>
        <v>0</v>
      </c>
      <c r="CF170" s="110"/>
      <c r="CG170" s="74" t="s">
        <v>2481</v>
      </c>
      <c r="CH170" s="77">
        <f t="shared" ca="1" si="740"/>
        <v>1</v>
      </c>
      <c r="CI170" s="110"/>
      <c r="CJ170" s="74" t="s">
        <v>2234</v>
      </c>
      <c r="CK170" s="77">
        <f t="shared" ca="1" si="762"/>
        <v>0</v>
      </c>
      <c r="CL170" s="110"/>
      <c r="CM170" s="74" t="s">
        <v>2512</v>
      </c>
      <c r="CN170" s="77">
        <f t="shared" ca="1" si="762"/>
        <v>0</v>
      </c>
      <c r="CO170" s="110"/>
      <c r="CP170" s="74" t="s">
        <v>2529</v>
      </c>
      <c r="CQ170" s="77">
        <f t="shared" ca="1" si="762"/>
        <v>0</v>
      </c>
      <c r="CR170" s="110"/>
      <c r="CS170" s="74" t="s">
        <v>2539</v>
      </c>
      <c r="CT170" s="77">
        <f t="shared" ca="1" si="762"/>
        <v>1</v>
      </c>
      <c r="CU170" s="110"/>
      <c r="CV170" s="74" t="s">
        <v>2042</v>
      </c>
      <c r="CW170" s="77">
        <f t="shared" ca="1" si="762"/>
        <v>0</v>
      </c>
      <c r="CX170" s="110"/>
      <c r="CY170" s="74" t="s">
        <v>2561</v>
      </c>
      <c r="CZ170" s="77">
        <f t="shared" ca="1" si="762"/>
        <v>0</v>
      </c>
      <c r="DA170" s="110"/>
      <c r="DB170" s="74" t="s">
        <v>2579</v>
      </c>
      <c r="DC170" s="77">
        <f t="shared" ca="1" si="762"/>
        <v>0</v>
      </c>
      <c r="DD170" s="110"/>
      <c r="DE170" s="74" t="s">
        <v>2234</v>
      </c>
      <c r="DF170" s="77">
        <f t="shared" ca="1" si="762"/>
        <v>0</v>
      </c>
      <c r="DG170" s="110"/>
      <c r="DH170" s="74" t="s">
        <v>2611</v>
      </c>
      <c r="DI170" s="77">
        <f t="shared" ca="1" si="762"/>
        <v>0</v>
      </c>
      <c r="DJ170" s="110"/>
      <c r="DK170" s="74" t="s">
        <v>2625</v>
      </c>
      <c r="DL170" s="77">
        <f t="shared" ca="1" si="762"/>
        <v>0</v>
      </c>
      <c r="DM170" s="110"/>
      <c r="DN170" s="795" t="s">
        <v>2329</v>
      </c>
      <c r="DO170" s="77">
        <f t="shared" ca="1" si="762"/>
        <v>0</v>
      </c>
      <c r="DP170" s="110"/>
      <c r="DQ170" s="795" t="s">
        <v>2652</v>
      </c>
      <c r="DR170" s="77">
        <f t="shared" ca="1" si="762"/>
        <v>0</v>
      </c>
      <c r="DS170" s="110"/>
      <c r="DT170" s="74" t="s">
        <v>2678</v>
      </c>
      <c r="DU170" s="77">
        <f t="shared" ca="1" si="762"/>
        <v>0</v>
      </c>
      <c r="DV170" s="110"/>
      <c r="DW170" s="74" t="s">
        <v>2073</v>
      </c>
      <c r="DX170" s="77">
        <f t="shared" ca="1" si="762"/>
        <v>0</v>
      </c>
      <c r="DY170" s="110"/>
      <c r="DZ170" s="74" t="s">
        <v>2579</v>
      </c>
      <c r="EA170" s="77">
        <f t="shared" ca="1" si="762"/>
        <v>0</v>
      </c>
      <c r="EB170" s="110"/>
      <c r="EC170" s="74" t="s">
        <v>2466</v>
      </c>
      <c r="ED170" s="77">
        <f t="shared" ca="1" si="762"/>
        <v>0</v>
      </c>
      <c r="EE170" s="110"/>
      <c r="EF170" s="74" t="s">
        <v>2579</v>
      </c>
      <c r="EG170" s="77">
        <f t="shared" ca="1" si="762"/>
        <v>0</v>
      </c>
      <c r="EH170" s="110"/>
      <c r="EI170" s="74" t="s">
        <v>2579</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49"/>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2008</v>
      </c>
      <c r="W171" s="77">
        <f t="shared" ca="1" si="740"/>
        <v>1</v>
      </c>
      <c r="X171" s="110"/>
      <c r="Y171" s="74" t="s">
        <v>2043</v>
      </c>
      <c r="Z171" s="77">
        <f t="shared" ca="1" si="740"/>
        <v>0</v>
      </c>
      <c r="AA171" s="110"/>
      <c r="AB171" s="80" t="s">
        <v>2043</v>
      </c>
      <c r="AC171" s="77">
        <f t="shared" ca="1" si="740"/>
        <v>0</v>
      </c>
      <c r="AD171" s="110"/>
      <c r="AE171" s="74" t="s">
        <v>2098</v>
      </c>
      <c r="AF171" s="77">
        <f t="shared" ca="1" si="740"/>
        <v>0</v>
      </c>
      <c r="AG171" s="110"/>
      <c r="AH171" s="74" t="s">
        <v>2125</v>
      </c>
      <c r="AI171" s="77">
        <f t="shared" ca="1" si="740"/>
        <v>0</v>
      </c>
      <c r="AJ171" s="110"/>
      <c r="AK171" s="74" t="s">
        <v>2152</v>
      </c>
      <c r="AL171" s="77">
        <f t="shared" ca="1" si="740"/>
        <v>0</v>
      </c>
      <c r="AM171" s="110"/>
      <c r="AN171" s="74" t="s">
        <v>2183</v>
      </c>
      <c r="AO171" s="77">
        <f t="shared" ca="1" si="740"/>
        <v>1</v>
      </c>
      <c r="AP171" s="110"/>
      <c r="AQ171" s="74" t="s">
        <v>2211</v>
      </c>
      <c r="AR171" s="77">
        <f t="shared" ca="1" si="740"/>
        <v>0</v>
      </c>
      <c r="AS171" s="110"/>
      <c r="AT171" s="74" t="s">
        <v>2183</v>
      </c>
      <c r="AU171" s="77">
        <f t="shared" ca="1" si="740"/>
        <v>1</v>
      </c>
      <c r="AV171" s="110"/>
      <c r="AW171" s="74" t="s">
        <v>2259</v>
      </c>
      <c r="AX171" s="77">
        <f t="shared" ca="1" si="740"/>
        <v>0</v>
      </c>
      <c r="AY171" s="110"/>
      <c r="AZ171" s="74" t="s">
        <v>2280</v>
      </c>
      <c r="BA171" s="77">
        <f t="shared" ca="1" si="740"/>
        <v>0</v>
      </c>
      <c r="BB171" s="110"/>
      <c r="BC171" s="74" t="s">
        <v>2302</v>
      </c>
      <c r="BD171" s="77">
        <f t="shared" ca="1" si="740"/>
        <v>0</v>
      </c>
      <c r="BE171" s="110"/>
      <c r="BF171" s="74" t="s">
        <v>2330</v>
      </c>
      <c r="BG171" s="77">
        <f t="shared" ca="1" si="740"/>
        <v>0</v>
      </c>
      <c r="BH171" s="110"/>
      <c r="BI171" s="74" t="s">
        <v>2345</v>
      </c>
      <c r="BJ171" s="77">
        <f t="shared" ca="1" si="740"/>
        <v>0</v>
      </c>
      <c r="BK171" s="110"/>
      <c r="BL171" s="74" t="s">
        <v>2365</v>
      </c>
      <c r="BM171" s="77">
        <f t="shared" ca="1" si="740"/>
        <v>0</v>
      </c>
      <c r="BN171" s="110"/>
      <c r="BO171" s="74" t="s">
        <v>2365</v>
      </c>
      <c r="BP171" s="77">
        <f t="shared" ca="1" si="740"/>
        <v>0</v>
      </c>
      <c r="BQ171" s="110"/>
      <c r="BR171" s="74" t="s">
        <v>2392</v>
      </c>
      <c r="BS171" s="77">
        <f t="shared" ca="1" si="740"/>
        <v>0</v>
      </c>
      <c r="BT171" s="110"/>
      <c r="BU171" s="74" t="s">
        <v>2407</v>
      </c>
      <c r="BV171" s="77">
        <f t="shared" ca="1" si="740"/>
        <v>1</v>
      </c>
      <c r="BW171" s="110"/>
      <c r="BX171" s="74" t="s">
        <v>2407</v>
      </c>
      <c r="BY171" s="77">
        <f t="shared" ca="1" si="740"/>
        <v>1</v>
      </c>
      <c r="BZ171" s="110"/>
      <c r="CA171" s="74" t="s">
        <v>2365</v>
      </c>
      <c r="CB171" s="77">
        <f t="shared" ca="1" si="740"/>
        <v>0</v>
      </c>
      <c r="CC171" s="110"/>
      <c r="CD171" s="74" t="s">
        <v>2467</v>
      </c>
      <c r="CE171" s="77">
        <f t="shared" ca="1" si="740"/>
        <v>0</v>
      </c>
      <c r="CF171" s="110"/>
      <c r="CG171" s="74" t="s">
        <v>2407</v>
      </c>
      <c r="CH171" s="77">
        <f t="shared" ca="1" si="740"/>
        <v>1</v>
      </c>
      <c r="CI171" s="110"/>
      <c r="CJ171" s="74" t="s">
        <v>2330</v>
      </c>
      <c r="CK171" s="77">
        <f t="shared" ca="1" si="762"/>
        <v>0</v>
      </c>
      <c r="CL171" s="110"/>
      <c r="CM171" s="74" t="s">
        <v>2345</v>
      </c>
      <c r="CN171" s="77">
        <f t="shared" ca="1" si="762"/>
        <v>0</v>
      </c>
      <c r="CO171" s="110"/>
      <c r="CP171" s="74" t="s">
        <v>2280</v>
      </c>
      <c r="CQ171" s="77">
        <f t="shared" ca="1" si="762"/>
        <v>0</v>
      </c>
      <c r="CR171" s="110"/>
      <c r="CS171" s="74" t="s">
        <v>2098</v>
      </c>
      <c r="CT171" s="77">
        <f t="shared" ca="1" si="762"/>
        <v>0</v>
      </c>
      <c r="CU171" s="110"/>
      <c r="CV171" s="74" t="s">
        <v>2544</v>
      </c>
      <c r="CW171" s="77">
        <f t="shared" ca="1" si="762"/>
        <v>0</v>
      </c>
      <c r="CX171" s="110"/>
      <c r="CY171" s="74" t="s">
        <v>2098</v>
      </c>
      <c r="CZ171" s="77">
        <f t="shared" ca="1" si="762"/>
        <v>0</v>
      </c>
      <c r="DA171" s="110"/>
      <c r="DB171" s="74" t="s">
        <v>2580</v>
      </c>
      <c r="DC171" s="77">
        <f t="shared" ca="1" si="762"/>
        <v>0</v>
      </c>
      <c r="DD171" s="110"/>
      <c r="DE171" s="74" t="s">
        <v>2595</v>
      </c>
      <c r="DF171" s="77">
        <f t="shared" ca="1" si="762"/>
        <v>0</v>
      </c>
      <c r="DG171" s="110"/>
      <c r="DH171" s="74" t="s">
        <v>2280</v>
      </c>
      <c r="DI171" s="77">
        <f t="shared" ca="1" si="762"/>
        <v>0</v>
      </c>
      <c r="DJ171" s="110"/>
      <c r="DK171" s="74" t="s">
        <v>2626</v>
      </c>
      <c r="DL171" s="77">
        <f t="shared" ca="1" si="762"/>
        <v>0</v>
      </c>
      <c r="DM171" s="110"/>
      <c r="DN171" s="795" t="s">
        <v>2008</v>
      </c>
      <c r="DO171" s="77">
        <f t="shared" ca="1" si="762"/>
        <v>1</v>
      </c>
      <c r="DP171" s="110"/>
      <c r="DQ171" s="795" t="s">
        <v>2653</v>
      </c>
      <c r="DR171" s="77">
        <f t="shared" ca="1" si="762"/>
        <v>0</v>
      </c>
      <c r="DS171" s="110"/>
      <c r="DT171" s="74" t="s">
        <v>2679</v>
      </c>
      <c r="DU171" s="77">
        <f t="shared" ca="1" si="762"/>
        <v>0</v>
      </c>
      <c r="DV171" s="110"/>
      <c r="DW171" s="74" t="s">
        <v>2280</v>
      </c>
      <c r="DX171" s="77">
        <f t="shared" ca="1" si="762"/>
        <v>0</v>
      </c>
      <c r="DY171" s="110"/>
      <c r="DZ171" s="74" t="s">
        <v>2718</v>
      </c>
      <c r="EA171" s="77">
        <f t="shared" ca="1" si="762"/>
        <v>2</v>
      </c>
      <c r="EB171" s="110"/>
      <c r="EC171" s="74" t="s">
        <v>2365</v>
      </c>
      <c r="ED171" s="77">
        <f t="shared" ca="1" si="762"/>
        <v>0</v>
      </c>
      <c r="EE171" s="110"/>
      <c r="EF171" s="74" t="s">
        <v>2152</v>
      </c>
      <c r="EG171" s="77">
        <f t="shared" ca="1" si="762"/>
        <v>0</v>
      </c>
      <c r="EH171" s="110"/>
      <c r="EI171" s="74" t="s">
        <v>2755</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49"/>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2009</v>
      </c>
      <c r="W172" s="77">
        <f t="shared" ca="1" si="740"/>
        <v>0</v>
      </c>
      <c r="X172" s="110"/>
      <c r="Y172" s="74" t="s">
        <v>2044</v>
      </c>
      <c r="Z172" s="77">
        <f t="shared" ca="1" si="740"/>
        <v>0</v>
      </c>
      <c r="AA172" s="110"/>
      <c r="AB172" s="80" t="s">
        <v>2009</v>
      </c>
      <c r="AC172" s="77">
        <f t="shared" ca="1" si="740"/>
        <v>0</v>
      </c>
      <c r="AD172" s="110"/>
      <c r="AE172" s="74" t="s">
        <v>2099</v>
      </c>
      <c r="AF172" s="77">
        <f t="shared" ca="1" si="740"/>
        <v>0</v>
      </c>
      <c r="AG172" s="110"/>
      <c r="AH172" s="74" t="s">
        <v>2126</v>
      </c>
      <c r="AI172" s="77">
        <f t="shared" ca="1" si="740"/>
        <v>0</v>
      </c>
      <c r="AJ172" s="110"/>
      <c r="AK172" s="74" t="s">
        <v>2153</v>
      </c>
      <c r="AL172" s="77">
        <f t="shared" ca="1" si="740"/>
        <v>0</v>
      </c>
      <c r="AM172" s="110"/>
      <c r="AN172" s="74" t="s">
        <v>2184</v>
      </c>
      <c r="AO172" s="77">
        <f t="shared" ca="1" si="740"/>
        <v>0</v>
      </c>
      <c r="AP172" s="110"/>
      <c r="AQ172" s="74" t="s">
        <v>2212</v>
      </c>
      <c r="AR172" s="77">
        <f t="shared" ca="1" si="740"/>
        <v>0</v>
      </c>
      <c r="AS172" s="110"/>
      <c r="AT172" s="74" t="s">
        <v>2235</v>
      </c>
      <c r="AU172" s="77">
        <f t="shared" ca="1" si="740"/>
        <v>0</v>
      </c>
      <c r="AV172" s="110"/>
      <c r="AW172" s="74" t="s">
        <v>2260</v>
      </c>
      <c r="AX172" s="77">
        <f t="shared" ca="1" si="740"/>
        <v>1</v>
      </c>
      <c r="AY172" s="110"/>
      <c r="AZ172" s="74" t="s">
        <v>2281</v>
      </c>
      <c r="BA172" s="77">
        <f t="shared" ca="1" si="740"/>
        <v>0</v>
      </c>
      <c r="BB172" s="110"/>
      <c r="BC172" s="74" t="s">
        <v>2303</v>
      </c>
      <c r="BD172" s="77">
        <f t="shared" ca="1" si="740"/>
        <v>0</v>
      </c>
      <c r="BE172" s="110"/>
      <c r="BF172" s="74" t="s">
        <v>2331</v>
      </c>
      <c r="BG172" s="77">
        <f t="shared" ca="1" si="740"/>
        <v>0</v>
      </c>
      <c r="BH172" s="110"/>
      <c r="BI172" s="74" t="s">
        <v>2346</v>
      </c>
      <c r="BJ172" s="77">
        <f t="shared" ca="1" si="740"/>
        <v>0</v>
      </c>
      <c r="BK172" s="110"/>
      <c r="BL172" s="74" t="s">
        <v>2366</v>
      </c>
      <c r="BM172" s="77">
        <f t="shared" ca="1" si="740"/>
        <v>0</v>
      </c>
      <c r="BN172" s="110"/>
      <c r="BO172" s="74" t="s">
        <v>2099</v>
      </c>
      <c r="BP172" s="77">
        <f t="shared" ca="1" si="740"/>
        <v>0</v>
      </c>
      <c r="BQ172" s="110"/>
      <c r="BR172" s="74" t="s">
        <v>2331</v>
      </c>
      <c r="BS172" s="77">
        <f t="shared" ca="1" si="740"/>
        <v>0</v>
      </c>
      <c r="BT172" s="110"/>
      <c r="BU172" s="74" t="s">
        <v>2408</v>
      </c>
      <c r="BV172" s="77">
        <f t="shared" ca="1" si="740"/>
        <v>0</v>
      </c>
      <c r="BW172" s="110"/>
      <c r="BX172" s="74" t="s">
        <v>2427</v>
      </c>
      <c r="BY172" s="77">
        <f t="shared" ca="1" si="740"/>
        <v>0</v>
      </c>
      <c r="BZ172" s="110"/>
      <c r="CA172" s="74" t="s">
        <v>2446</v>
      </c>
      <c r="CB172" s="77">
        <f t="shared" ca="1" si="740"/>
        <v>0</v>
      </c>
      <c r="CC172" s="110"/>
      <c r="CD172" s="74" t="s">
        <v>2009</v>
      </c>
      <c r="CE172" s="77">
        <f t="shared" ca="1" si="740"/>
        <v>0</v>
      </c>
      <c r="CF172" s="110"/>
      <c r="CG172" s="74" t="s">
        <v>2482</v>
      </c>
      <c r="CH172" s="77">
        <f t="shared" ca="1" si="740"/>
        <v>0</v>
      </c>
      <c r="CI172" s="110"/>
      <c r="CJ172" s="74" t="s">
        <v>2498</v>
      </c>
      <c r="CK172" s="77">
        <f t="shared" ca="1" si="762"/>
        <v>0</v>
      </c>
      <c r="CL172" s="110"/>
      <c r="CM172" s="74" t="s">
        <v>2498</v>
      </c>
      <c r="CN172" s="77">
        <f t="shared" ca="1" si="762"/>
        <v>0</v>
      </c>
      <c r="CO172" s="110"/>
      <c r="CP172" s="74" t="s">
        <v>2446</v>
      </c>
      <c r="CQ172" s="77">
        <f t="shared" ca="1" si="762"/>
        <v>0</v>
      </c>
      <c r="CR172" s="110"/>
      <c r="CS172" s="74" t="s">
        <v>2346</v>
      </c>
      <c r="CT172" s="77">
        <f t="shared" ca="1" si="762"/>
        <v>0</v>
      </c>
      <c r="CU172" s="110"/>
      <c r="CV172" s="74" t="s">
        <v>2212</v>
      </c>
      <c r="CW172" s="77">
        <f t="shared" ca="1" si="762"/>
        <v>0</v>
      </c>
      <c r="CX172" s="110"/>
      <c r="CY172" s="74" t="s">
        <v>2331</v>
      </c>
      <c r="CZ172" s="77">
        <f t="shared" ca="1" si="762"/>
        <v>0</v>
      </c>
      <c r="DA172" s="110"/>
      <c r="DB172" s="74" t="s">
        <v>2331</v>
      </c>
      <c r="DC172" s="77">
        <f t="shared" ca="1" si="762"/>
        <v>0</v>
      </c>
      <c r="DD172" s="110"/>
      <c r="DE172" s="74" t="s">
        <v>2346</v>
      </c>
      <c r="DF172" s="77">
        <f t="shared" ca="1" si="762"/>
        <v>0</v>
      </c>
      <c r="DG172" s="110"/>
      <c r="DH172" s="74" t="s">
        <v>2612</v>
      </c>
      <c r="DI172" s="77">
        <f t="shared" ca="1" si="762"/>
        <v>0</v>
      </c>
      <c r="DJ172" s="110"/>
      <c r="DK172" s="74" t="s">
        <v>2346</v>
      </c>
      <c r="DL172" s="77">
        <f t="shared" ca="1" si="762"/>
        <v>0</v>
      </c>
      <c r="DM172" s="110"/>
      <c r="DN172" s="795" t="s">
        <v>2044</v>
      </c>
      <c r="DO172" s="77">
        <f t="shared" ca="1" si="762"/>
        <v>0</v>
      </c>
      <c r="DP172" s="110"/>
      <c r="DQ172" s="795" t="s">
        <v>2654</v>
      </c>
      <c r="DR172" s="77">
        <f t="shared" ca="1" si="762"/>
        <v>0</v>
      </c>
      <c r="DS172" s="110"/>
      <c r="DT172" s="74" t="s">
        <v>2680</v>
      </c>
      <c r="DU172" s="77">
        <f t="shared" ca="1" si="762"/>
        <v>0</v>
      </c>
      <c r="DV172" s="110"/>
      <c r="DW172" s="74" t="s">
        <v>2700</v>
      </c>
      <c r="DX172" s="77">
        <f t="shared" ca="1" si="762"/>
        <v>0</v>
      </c>
      <c r="DY172" s="110"/>
      <c r="DZ172" s="74" t="s">
        <v>2719</v>
      </c>
      <c r="EA172" s="77">
        <f t="shared" ca="1" si="762"/>
        <v>2</v>
      </c>
      <c r="EB172" s="110"/>
      <c r="EC172" s="74" t="s">
        <v>2126</v>
      </c>
      <c r="ED172" s="77">
        <f t="shared" ca="1" si="762"/>
        <v>0</v>
      </c>
      <c r="EE172" s="110"/>
      <c r="EF172" s="74" t="s">
        <v>2184</v>
      </c>
      <c r="EG172" s="77">
        <f t="shared" ca="1" si="762"/>
        <v>0</v>
      </c>
      <c r="EH172" s="110"/>
      <c r="EI172" s="74" t="s">
        <v>2099</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49"/>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2010</v>
      </c>
      <c r="W173" s="77">
        <f t="shared" ca="1" si="740"/>
        <v>0</v>
      </c>
      <c r="X173" s="110"/>
      <c r="Y173" s="74" t="s">
        <v>2045</v>
      </c>
      <c r="Z173" s="77">
        <f t="shared" ca="1" si="740"/>
        <v>0</v>
      </c>
      <c r="AA173" s="110"/>
      <c r="AB173" s="74" t="s">
        <v>2074</v>
      </c>
      <c r="AC173" s="77">
        <f t="shared" ca="1" si="740"/>
        <v>0</v>
      </c>
      <c r="AD173" s="110"/>
      <c r="AE173" s="74" t="s">
        <v>2100</v>
      </c>
      <c r="AF173" s="77">
        <f t="shared" ca="1" si="740"/>
        <v>0</v>
      </c>
      <c r="AG173" s="110"/>
      <c r="AH173" s="74" t="s">
        <v>2127</v>
      </c>
      <c r="AI173" s="77">
        <f t="shared" ca="1" si="740"/>
        <v>0</v>
      </c>
      <c r="AJ173" s="110"/>
      <c r="AK173" s="74" t="s">
        <v>2154</v>
      </c>
      <c r="AL173" s="77">
        <f t="shared" ca="1" si="740"/>
        <v>0</v>
      </c>
      <c r="AM173" s="110"/>
      <c r="AN173" s="74" t="s">
        <v>2185</v>
      </c>
      <c r="AO173" s="77">
        <f t="shared" ca="1" si="740"/>
        <v>0</v>
      </c>
      <c r="AP173" s="110"/>
      <c r="AQ173" s="74" t="s">
        <v>2213</v>
      </c>
      <c r="AR173" s="77">
        <f t="shared" ca="1" si="740"/>
        <v>1</v>
      </c>
      <c r="AS173" s="110"/>
      <c r="AT173" s="74" t="s">
        <v>2236</v>
      </c>
      <c r="AU173" s="77">
        <f t="shared" ca="1" si="740"/>
        <v>0</v>
      </c>
      <c r="AV173" s="110"/>
      <c r="AW173" s="74" t="s">
        <v>2236</v>
      </c>
      <c r="AX173" s="77">
        <f t="shared" ca="1" si="740"/>
        <v>0</v>
      </c>
      <c r="AY173" s="110"/>
      <c r="AZ173" s="74" t="s">
        <v>2282</v>
      </c>
      <c r="BA173" s="77">
        <f t="shared" ca="1" si="740"/>
        <v>0</v>
      </c>
      <c r="BB173" s="110"/>
      <c r="BC173" s="74" t="s">
        <v>2304</v>
      </c>
      <c r="BD173" s="77">
        <f t="shared" ca="1" si="740"/>
        <v>0</v>
      </c>
      <c r="BE173" s="110"/>
      <c r="BF173" s="74" t="s">
        <v>2332</v>
      </c>
      <c r="BG173" s="77">
        <f t="shared" ca="1" si="740"/>
        <v>0</v>
      </c>
      <c r="BH173" s="110"/>
      <c r="BI173" s="74" t="s">
        <v>2347</v>
      </c>
      <c r="BJ173" s="77">
        <f t="shared" ca="1" si="740"/>
        <v>0</v>
      </c>
      <c r="BK173" s="110"/>
      <c r="BL173" s="74" t="s">
        <v>2367</v>
      </c>
      <c r="BM173" s="77">
        <f t="shared" ca="1" si="740"/>
        <v>0</v>
      </c>
      <c r="BN173" s="110"/>
      <c r="BO173" s="74" t="s">
        <v>2381</v>
      </c>
      <c r="BP173" s="77">
        <f t="shared" ca="1" si="740"/>
        <v>0</v>
      </c>
      <c r="BQ173" s="110"/>
      <c r="BR173" s="74" t="s">
        <v>2236</v>
      </c>
      <c r="BS173" s="77">
        <f t="shared" ca="1" si="740"/>
        <v>0</v>
      </c>
      <c r="BT173" s="110"/>
      <c r="BU173" s="74" t="s">
        <v>2409</v>
      </c>
      <c r="BV173" s="77">
        <f t="shared" ca="1" si="740"/>
        <v>0</v>
      </c>
      <c r="BW173" s="110"/>
      <c r="BX173" s="74" t="s">
        <v>2428</v>
      </c>
      <c r="BY173" s="77">
        <f t="shared" ca="1" si="740"/>
        <v>0</v>
      </c>
      <c r="BZ173" s="110"/>
      <c r="CA173" s="74" t="s">
        <v>2428</v>
      </c>
      <c r="CB173" s="77">
        <f t="shared" ca="1" si="740"/>
        <v>0</v>
      </c>
      <c r="CC173" s="110"/>
      <c r="CD173" s="74" t="s">
        <v>2468</v>
      </c>
      <c r="CE173" s="77">
        <f t="shared" ca="1" si="740"/>
        <v>0</v>
      </c>
      <c r="CF173" s="110"/>
      <c r="CG173" s="74" t="s">
        <v>2213</v>
      </c>
      <c r="CH173" s="77">
        <f t="shared" ca="1" si="740"/>
        <v>1</v>
      </c>
      <c r="CI173" s="110"/>
      <c r="CJ173" s="74" t="s">
        <v>2499</v>
      </c>
      <c r="CK173" s="77">
        <f t="shared" ca="1" si="762"/>
        <v>0</v>
      </c>
      <c r="CL173" s="110"/>
      <c r="CM173" s="74" t="s">
        <v>2468</v>
      </c>
      <c r="CN173" s="77">
        <f t="shared" ca="1" si="762"/>
        <v>0</v>
      </c>
      <c r="CO173" s="110"/>
      <c r="CP173" s="74" t="s">
        <v>2468</v>
      </c>
      <c r="CQ173" s="77">
        <f t="shared" ca="1" si="762"/>
        <v>0</v>
      </c>
      <c r="CR173" s="110"/>
      <c r="CS173" s="74" t="s">
        <v>2282</v>
      </c>
      <c r="CT173" s="77">
        <f t="shared" ca="1" si="762"/>
        <v>0</v>
      </c>
      <c r="CU173" s="110"/>
      <c r="CV173" s="74" t="s">
        <v>2347</v>
      </c>
      <c r="CW173" s="77">
        <f t="shared" ca="1" si="762"/>
        <v>0</v>
      </c>
      <c r="CX173" s="110"/>
      <c r="CY173" s="74" t="s">
        <v>2562</v>
      </c>
      <c r="CZ173" s="77">
        <f t="shared" ca="1" si="762"/>
        <v>0</v>
      </c>
      <c r="DA173" s="110"/>
      <c r="DB173" s="74" t="s">
        <v>2282</v>
      </c>
      <c r="DC173" s="77">
        <f t="shared" ca="1" si="762"/>
        <v>0</v>
      </c>
      <c r="DD173" s="110"/>
      <c r="DE173" s="74" t="s">
        <v>2468</v>
      </c>
      <c r="DF173" s="77">
        <f t="shared" ca="1" si="762"/>
        <v>0</v>
      </c>
      <c r="DG173" s="110"/>
      <c r="DH173" s="74" t="s">
        <v>2613</v>
      </c>
      <c r="DI173" s="77">
        <f t="shared" ca="1" si="762"/>
        <v>0</v>
      </c>
      <c r="DJ173" s="110"/>
      <c r="DK173" s="74" t="s">
        <v>2409</v>
      </c>
      <c r="DL173" s="77">
        <f t="shared" ca="1" si="762"/>
        <v>0</v>
      </c>
      <c r="DM173" s="110"/>
      <c r="DN173" s="795" t="s">
        <v>2638</v>
      </c>
      <c r="DO173" s="77">
        <f t="shared" ca="1" si="762"/>
        <v>0</v>
      </c>
      <c r="DP173" s="110"/>
      <c r="DQ173" s="795" t="s">
        <v>2499</v>
      </c>
      <c r="DR173" s="77">
        <f t="shared" ca="1" si="762"/>
        <v>0</v>
      </c>
      <c r="DS173" s="110"/>
      <c r="DT173" s="74" t="s">
        <v>2681</v>
      </c>
      <c r="DU173" s="77">
        <f t="shared" ca="1" si="762"/>
        <v>1</v>
      </c>
      <c r="DV173" s="110"/>
      <c r="DW173" s="74" t="s">
        <v>2701</v>
      </c>
      <c r="DX173" s="77">
        <f t="shared" ca="1" si="762"/>
        <v>0</v>
      </c>
      <c r="DY173" s="110"/>
      <c r="DZ173" s="74" t="s">
        <v>2213</v>
      </c>
      <c r="EA173" s="77">
        <f t="shared" ca="1" si="762"/>
        <v>1</v>
      </c>
      <c r="EB173" s="110"/>
      <c r="EC173" s="74" t="s">
        <v>2732</v>
      </c>
      <c r="ED173" s="77">
        <f t="shared" ca="1" si="762"/>
        <v>0</v>
      </c>
      <c r="EE173" s="110"/>
      <c r="EF173" s="74" t="s">
        <v>2740</v>
      </c>
      <c r="EG173" s="77">
        <f t="shared" ca="1" si="762"/>
        <v>0</v>
      </c>
      <c r="EH173" s="110"/>
      <c r="EI173" s="74" t="s">
        <v>2236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49"/>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2011</v>
      </c>
      <c r="W174" s="77">
        <f t="shared" ca="1" si="740"/>
        <v>1</v>
      </c>
      <c r="X174" s="110"/>
      <c r="Y174" s="74" t="s">
        <v>2046</v>
      </c>
      <c r="Z174" s="77">
        <f t="shared" ca="1" si="740"/>
        <v>1</v>
      </c>
      <c r="AA174" s="110"/>
      <c r="AB174" s="74" t="s">
        <v>1974</v>
      </c>
      <c r="AC174" s="77">
        <f t="shared" ca="1" si="740"/>
        <v>1</v>
      </c>
      <c r="AD174" s="110"/>
      <c r="AE174" s="74" t="s">
        <v>2011</v>
      </c>
      <c r="AF174" s="77">
        <f t="shared" ca="1" si="740"/>
        <v>1</v>
      </c>
      <c r="AG174" s="110"/>
      <c r="AH174" s="74" t="s">
        <v>2128</v>
      </c>
      <c r="AI174" s="77">
        <f t="shared" ca="1" si="740"/>
        <v>0</v>
      </c>
      <c r="AJ174" s="110"/>
      <c r="AK174" s="74" t="s">
        <v>1974</v>
      </c>
      <c r="AL174" s="77">
        <f t="shared" ca="1" si="740"/>
        <v>1</v>
      </c>
      <c r="AM174" s="110"/>
      <c r="AN174" s="74" t="s">
        <v>2186</v>
      </c>
      <c r="AO174" s="77">
        <f t="shared" ca="1" si="740"/>
        <v>0</v>
      </c>
      <c r="AP174" s="110"/>
      <c r="AQ174" s="74" t="s">
        <v>2214</v>
      </c>
      <c r="AR174" s="77">
        <f t="shared" ca="1" si="740"/>
        <v>2</v>
      </c>
      <c r="AS174" s="110"/>
      <c r="AT174" s="74" t="s">
        <v>2011</v>
      </c>
      <c r="AU174" s="77">
        <f t="shared" ca="1" si="740"/>
        <v>1</v>
      </c>
      <c r="AV174" s="110"/>
      <c r="AW174" s="74" t="s">
        <v>2261</v>
      </c>
      <c r="AX174" s="77">
        <f t="shared" ca="1" si="740"/>
        <v>0</v>
      </c>
      <c r="AY174" s="110"/>
      <c r="AZ174" s="74" t="s">
        <v>1974</v>
      </c>
      <c r="BA174" s="77">
        <f t="shared" ca="1" si="740"/>
        <v>1</v>
      </c>
      <c r="BB174" s="110"/>
      <c r="BC174" s="74" t="s">
        <v>2011</v>
      </c>
      <c r="BD174" s="77">
        <f t="shared" ca="1" si="740"/>
        <v>1</v>
      </c>
      <c r="BE174" s="110"/>
      <c r="BF174" s="74" t="s">
        <v>2333</v>
      </c>
      <c r="BG174" s="77">
        <f t="shared" ca="1" si="740"/>
        <v>4</v>
      </c>
      <c r="BH174" s="110"/>
      <c r="BI174" s="74" t="s">
        <v>2333</v>
      </c>
      <c r="BJ174" s="77">
        <f t="shared" ca="1" si="740"/>
        <v>4</v>
      </c>
      <c r="BK174" s="110"/>
      <c r="BL174" s="74" t="s">
        <v>2046</v>
      </c>
      <c r="BM174" s="77">
        <f t="shared" ca="1" si="740"/>
        <v>1</v>
      </c>
      <c r="BN174" s="110"/>
      <c r="BO174" s="74" t="s">
        <v>2261</v>
      </c>
      <c r="BP174" s="77">
        <f t="shared" ca="1" si="740"/>
        <v>0</v>
      </c>
      <c r="BQ174" s="110"/>
      <c r="BR174" s="74" t="s">
        <v>1974</v>
      </c>
      <c r="BS174" s="77">
        <f t="shared" ca="1" si="740"/>
        <v>1</v>
      </c>
      <c r="BT174" s="110"/>
      <c r="BU174" s="74" t="s">
        <v>1974</v>
      </c>
      <c r="BV174" s="77">
        <f t="shared" ca="1" si="740"/>
        <v>1</v>
      </c>
      <c r="BW174" s="110"/>
      <c r="BX174" s="74" t="s">
        <v>2261</v>
      </c>
      <c r="BY174" s="77">
        <f t="shared" ca="1" si="740"/>
        <v>0</v>
      </c>
      <c r="BZ174" s="110"/>
      <c r="CA174" s="74" t="s">
        <v>2447</v>
      </c>
      <c r="CB174" s="77">
        <f t="shared" ca="1" si="740"/>
        <v>1</v>
      </c>
      <c r="CC174" s="110"/>
      <c r="CD174" s="74" t="s">
        <v>2046</v>
      </c>
      <c r="CE174" s="77">
        <f t="shared" ca="1" si="740"/>
        <v>1</v>
      </c>
      <c r="CF174" s="110"/>
      <c r="CG174" s="74" t="s">
        <v>2333</v>
      </c>
      <c r="CH174" s="77">
        <f t="shared" ca="1" si="740"/>
        <v>4</v>
      </c>
      <c r="CI174" s="110"/>
      <c r="CJ174" s="74" t="s">
        <v>2011</v>
      </c>
      <c r="CK174" s="77">
        <f t="shared" ca="1" si="762"/>
        <v>1</v>
      </c>
      <c r="CL174" s="110"/>
      <c r="CM174" s="74" t="s">
        <v>2333</v>
      </c>
      <c r="CN174" s="77">
        <f t="shared" ca="1" si="762"/>
        <v>4</v>
      </c>
      <c r="CO174" s="110"/>
      <c r="CP174" s="74" t="s">
        <v>2530</v>
      </c>
      <c r="CQ174" s="77">
        <f t="shared" ca="1" si="762"/>
        <v>0</v>
      </c>
      <c r="CR174" s="110"/>
      <c r="CS174" s="74" t="s">
        <v>1974</v>
      </c>
      <c r="CT174" s="77">
        <f t="shared" ca="1" si="762"/>
        <v>1</v>
      </c>
      <c r="CU174" s="110"/>
      <c r="CV174" s="74" t="s">
        <v>2011</v>
      </c>
      <c r="CW174" s="77">
        <f t="shared" ca="1" si="762"/>
        <v>1</v>
      </c>
      <c r="CX174" s="110"/>
      <c r="CY174" s="74" t="s">
        <v>2563</v>
      </c>
      <c r="CZ174" s="77">
        <f t="shared" ca="1" si="762"/>
        <v>0</v>
      </c>
      <c r="DA174" s="110"/>
      <c r="DB174" s="74" t="s">
        <v>1974</v>
      </c>
      <c r="DC174" s="77">
        <f t="shared" ca="1" si="762"/>
        <v>1</v>
      </c>
      <c r="DD174" s="110"/>
      <c r="DE174" s="74" t="s">
        <v>1974</v>
      </c>
      <c r="DF174" s="77">
        <f t="shared" ca="1" si="762"/>
        <v>1</v>
      </c>
      <c r="DG174" s="110"/>
      <c r="DH174" s="74" t="s">
        <v>2447</v>
      </c>
      <c r="DI174" s="77">
        <f t="shared" ca="1" si="762"/>
        <v>1</v>
      </c>
      <c r="DJ174" s="110"/>
      <c r="DK174" s="74" t="s">
        <v>2046</v>
      </c>
      <c r="DL174" s="77">
        <f t="shared" ca="1" si="762"/>
        <v>1</v>
      </c>
      <c r="DM174" s="110"/>
      <c r="DN174" s="795" t="s">
        <v>2011</v>
      </c>
      <c r="DO174" s="77">
        <f t="shared" ca="1" si="762"/>
        <v>1</v>
      </c>
      <c r="DP174" s="110"/>
      <c r="DQ174" s="795" t="s">
        <v>2011</v>
      </c>
      <c r="DR174" s="77">
        <f t="shared" ca="1" si="762"/>
        <v>1</v>
      </c>
      <c r="DS174" s="110"/>
      <c r="DT174" s="74" t="s">
        <v>2530</v>
      </c>
      <c r="DU174" s="77">
        <f t="shared" ca="1" si="762"/>
        <v>0</v>
      </c>
      <c r="DV174" s="110"/>
      <c r="DW174" s="74" t="s">
        <v>2447</v>
      </c>
      <c r="DX174" s="77">
        <f t="shared" ca="1" si="762"/>
        <v>1</v>
      </c>
      <c r="DY174" s="110"/>
      <c r="DZ174" s="74" t="s">
        <v>2046</v>
      </c>
      <c r="EA174" s="77">
        <f t="shared" ca="1" si="762"/>
        <v>1</v>
      </c>
      <c r="EB174" s="110"/>
      <c r="EC174" s="74" t="s">
        <v>2447</v>
      </c>
      <c r="ED174" s="77">
        <f t="shared" ca="1" si="762"/>
        <v>1</v>
      </c>
      <c r="EE174" s="110"/>
      <c r="EF174" s="74" t="s">
        <v>2128</v>
      </c>
      <c r="EG174" s="77">
        <f t="shared" ca="1" si="762"/>
        <v>0</v>
      </c>
      <c r="EH174" s="110"/>
      <c r="EI174" s="74" t="s">
        <v>2011</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49"/>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2012</v>
      </c>
      <c r="W175" s="77">
        <f t="shared" ca="1" si="740"/>
        <v>0</v>
      </c>
      <c r="X175" s="110"/>
      <c r="Y175" s="74" t="s">
        <v>2047</v>
      </c>
      <c r="Z175" s="77">
        <f t="shared" ca="1" si="740"/>
        <v>0</v>
      </c>
      <c r="AA175" s="110"/>
      <c r="AB175" s="74" t="s">
        <v>2075</v>
      </c>
      <c r="AC175" s="77">
        <f t="shared" ca="1" si="740"/>
        <v>0</v>
      </c>
      <c r="AD175" s="110"/>
      <c r="AE175" s="74" t="s">
        <v>2101</v>
      </c>
      <c r="AF175" s="77">
        <f t="shared" ca="1" si="740"/>
        <v>0</v>
      </c>
      <c r="AG175" s="110"/>
      <c r="AH175" s="74" t="s">
        <v>2129</v>
      </c>
      <c r="AI175" s="77">
        <f t="shared" ca="1" si="740"/>
        <v>0</v>
      </c>
      <c r="AJ175" s="110"/>
      <c r="AK175" s="74" t="s">
        <v>2155</v>
      </c>
      <c r="AL175" s="77">
        <f t="shared" ca="1" si="740"/>
        <v>1</v>
      </c>
      <c r="AM175" s="110"/>
      <c r="AN175" s="74" t="s">
        <v>2075</v>
      </c>
      <c r="AO175" s="77">
        <f t="shared" ca="1" si="740"/>
        <v>0</v>
      </c>
      <c r="AP175" s="110"/>
      <c r="AQ175" s="74" t="s">
        <v>2215</v>
      </c>
      <c r="AR175" s="77">
        <f t="shared" ca="1" si="740"/>
        <v>2</v>
      </c>
      <c r="AS175" s="110"/>
      <c r="AT175" s="74" t="s">
        <v>2075</v>
      </c>
      <c r="AU175" s="77">
        <f t="shared" ca="1" si="740"/>
        <v>0</v>
      </c>
      <c r="AV175" s="110"/>
      <c r="AW175" s="74" t="s">
        <v>2262</v>
      </c>
      <c r="AX175" s="77">
        <f t="shared" ca="1" si="740"/>
        <v>0</v>
      </c>
      <c r="AY175" s="110"/>
      <c r="AZ175" s="74" t="s">
        <v>2283</v>
      </c>
      <c r="BA175" s="77">
        <f t="shared" ca="1" si="740"/>
        <v>0</v>
      </c>
      <c r="BB175" s="110"/>
      <c r="BC175" s="74" t="s">
        <v>2305</v>
      </c>
      <c r="BD175" s="77">
        <f t="shared" ca="1" si="740"/>
        <v>0</v>
      </c>
      <c r="BE175" s="110"/>
      <c r="BF175" s="74" t="s">
        <v>2075</v>
      </c>
      <c r="BG175" s="77">
        <f t="shared" ca="1" si="740"/>
        <v>0</v>
      </c>
      <c r="BH175" s="110"/>
      <c r="BI175" s="74" t="s">
        <v>2348</v>
      </c>
      <c r="BJ175" s="77">
        <f t="shared" ca="1" si="740"/>
        <v>0</v>
      </c>
      <c r="BK175" s="110"/>
      <c r="BL175" s="74" t="s">
        <v>2368</v>
      </c>
      <c r="BM175" s="77">
        <f t="shared" ca="1" si="740"/>
        <v>0</v>
      </c>
      <c r="BN175" s="110"/>
      <c r="BO175" s="74" t="s">
        <v>2382</v>
      </c>
      <c r="BP175" s="77">
        <f t="shared" ca="1" si="740"/>
        <v>0</v>
      </c>
      <c r="BQ175" s="110"/>
      <c r="BR175" s="74" t="s">
        <v>2047</v>
      </c>
      <c r="BS175" s="77">
        <f t="shared" ca="1" si="740"/>
        <v>0</v>
      </c>
      <c r="BT175" s="110"/>
      <c r="BU175" s="74" t="s">
        <v>2410</v>
      </c>
      <c r="BV175" s="77">
        <f t="shared" ca="1" si="740"/>
        <v>0</v>
      </c>
      <c r="BW175" s="110"/>
      <c r="BX175" s="74" t="s">
        <v>2429</v>
      </c>
      <c r="BY175" s="77">
        <f t="shared" ca="1" si="740"/>
        <v>4</v>
      </c>
      <c r="BZ175" s="110"/>
      <c r="CA175" s="74" t="s">
        <v>2368</v>
      </c>
      <c r="CB175" s="77">
        <f t="shared" ca="1" si="740"/>
        <v>0</v>
      </c>
      <c r="CC175" s="110"/>
      <c r="CD175" s="74" t="s">
        <v>2469</v>
      </c>
      <c r="CE175" s="77">
        <f t="shared" ca="1" si="740"/>
        <v>0</v>
      </c>
      <c r="CF175" s="110"/>
      <c r="CG175" s="74" t="s">
        <v>2283</v>
      </c>
      <c r="CH175" s="77">
        <f t="shared" ca="1" si="740"/>
        <v>0</v>
      </c>
      <c r="CI175" s="110"/>
      <c r="CJ175" s="74" t="s">
        <v>2500</v>
      </c>
      <c r="CK175" s="77">
        <f t="shared" ca="1" si="762"/>
        <v>0</v>
      </c>
      <c r="CL175" s="110"/>
      <c r="CM175" s="74" t="s">
        <v>2047</v>
      </c>
      <c r="CN175" s="77">
        <f t="shared" ca="1" si="762"/>
        <v>0</v>
      </c>
      <c r="CO175" s="110"/>
      <c r="CP175" s="74" t="s">
        <v>2368</v>
      </c>
      <c r="CQ175" s="77">
        <f t="shared" ca="1" si="762"/>
        <v>0</v>
      </c>
      <c r="CR175" s="110"/>
      <c r="CS175" s="74" t="s">
        <v>2283</v>
      </c>
      <c r="CT175" s="77">
        <f t="shared" ca="1" si="762"/>
        <v>0</v>
      </c>
      <c r="CU175" s="110"/>
      <c r="CV175" s="74" t="s">
        <v>2545</v>
      </c>
      <c r="CW175" s="77">
        <f t="shared" ca="1" si="762"/>
        <v>0</v>
      </c>
      <c r="CX175" s="110"/>
      <c r="CY175" s="74" t="s">
        <v>2564</v>
      </c>
      <c r="CZ175" s="77">
        <f t="shared" ca="1" si="762"/>
        <v>4</v>
      </c>
      <c r="DA175" s="110"/>
      <c r="DB175" s="74" t="s">
        <v>2581</v>
      </c>
      <c r="DC175" s="77">
        <f t="shared" ca="1" si="762"/>
        <v>0</v>
      </c>
      <c r="DD175" s="110"/>
      <c r="DE175" s="74" t="s">
        <v>2283</v>
      </c>
      <c r="DF175" s="77">
        <f t="shared" ca="1" si="762"/>
        <v>0</v>
      </c>
      <c r="DG175" s="110"/>
      <c r="DH175" s="74" t="s">
        <v>2047</v>
      </c>
      <c r="DI175" s="77">
        <f t="shared" ca="1" si="762"/>
        <v>0</v>
      </c>
      <c r="DJ175" s="110"/>
      <c r="DK175" s="74" t="s">
        <v>2202</v>
      </c>
      <c r="DL175" s="77">
        <f t="shared" ca="1" si="762"/>
        <v>0</v>
      </c>
      <c r="DM175" s="110"/>
      <c r="DN175" s="795" t="s">
        <v>2500</v>
      </c>
      <c r="DO175" s="77">
        <f t="shared" ca="1" si="762"/>
        <v>0</v>
      </c>
      <c r="DP175" s="110"/>
      <c r="DQ175" s="795" t="s">
        <v>2655</v>
      </c>
      <c r="DR175" s="77">
        <f t="shared" ca="1" si="762"/>
        <v>0</v>
      </c>
      <c r="DS175" s="110"/>
      <c r="DT175" s="74" t="s">
        <v>2682</v>
      </c>
      <c r="DU175" s="77">
        <f t="shared" ca="1" si="762"/>
        <v>0</v>
      </c>
      <c r="DV175" s="110"/>
      <c r="DW175" s="74" t="s">
        <v>2702</v>
      </c>
      <c r="DX175" s="77">
        <f t="shared" ca="1" si="762"/>
        <v>1</v>
      </c>
      <c r="DY175" s="110"/>
      <c r="DZ175" s="74" t="s">
        <v>2368</v>
      </c>
      <c r="EA175" s="77">
        <f t="shared" ca="1" si="762"/>
        <v>0</v>
      </c>
      <c r="EB175" s="110"/>
      <c r="EC175" s="74" t="s">
        <v>2368</v>
      </c>
      <c r="ED175" s="77">
        <f t="shared" ca="1" si="762"/>
        <v>0</v>
      </c>
      <c r="EE175" s="110"/>
      <c r="EF175" s="74" t="s">
        <v>2047</v>
      </c>
      <c r="EG175" s="77">
        <f t="shared" ca="1" si="762"/>
        <v>0</v>
      </c>
      <c r="EH175" s="110"/>
      <c r="EI175" s="74" t="s">
        <v>2047</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49"/>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2013</v>
      </c>
      <c r="W176" s="77">
        <f t="shared" ca="1" si="740"/>
        <v>4</v>
      </c>
      <c r="X176" s="110"/>
      <c r="Y176" s="74" t="s">
        <v>2048</v>
      </c>
      <c r="Z176" s="77">
        <f t="shared" ca="1" si="740"/>
        <v>0</v>
      </c>
      <c r="AA176" s="110"/>
      <c r="AB176" s="74" t="s">
        <v>2076</v>
      </c>
      <c r="AC176" s="77">
        <f t="shared" ca="1" si="740"/>
        <v>0</v>
      </c>
      <c r="AD176" s="110"/>
      <c r="AE176" s="74" t="s">
        <v>2076</v>
      </c>
      <c r="AF176" s="77">
        <f t="shared" ca="1" si="740"/>
        <v>0</v>
      </c>
      <c r="AG176" s="110"/>
      <c r="AH176" s="74" t="s">
        <v>2130</v>
      </c>
      <c r="AI176" s="77">
        <f t="shared" ca="1" si="740"/>
        <v>0</v>
      </c>
      <c r="AJ176" s="110"/>
      <c r="AK176" s="74" t="s">
        <v>2013</v>
      </c>
      <c r="AL176" s="77">
        <f t="shared" ca="1" si="740"/>
        <v>4</v>
      </c>
      <c r="AM176" s="110"/>
      <c r="AN176" s="74" t="s">
        <v>2187</v>
      </c>
      <c r="AO176" s="77">
        <f t="shared" ca="1" si="740"/>
        <v>0</v>
      </c>
      <c r="AP176" s="110"/>
      <c r="AQ176" s="74" t="s">
        <v>2216</v>
      </c>
      <c r="AR176" s="77">
        <f t="shared" ca="1" si="740"/>
        <v>0</v>
      </c>
      <c r="AS176" s="110"/>
      <c r="AT176" s="74" t="s">
        <v>2237</v>
      </c>
      <c r="AU176" s="77">
        <f t="shared" ca="1" si="740"/>
        <v>1</v>
      </c>
      <c r="AV176" s="110"/>
      <c r="AW176" s="74" t="s">
        <v>2263</v>
      </c>
      <c r="AX176" s="77">
        <f t="shared" ca="1" si="740"/>
        <v>0</v>
      </c>
      <c r="AY176" s="110"/>
      <c r="AZ176" s="74" t="s">
        <v>2284</v>
      </c>
      <c r="BA176" s="77">
        <f t="shared" ca="1" si="740"/>
        <v>0</v>
      </c>
      <c r="BB176" s="110"/>
      <c r="BC176" s="74" t="s">
        <v>2306</v>
      </c>
      <c r="BD176" s="77">
        <f t="shared" ca="1" si="740"/>
        <v>0</v>
      </c>
      <c r="BE176" s="110"/>
      <c r="BF176" s="74" t="s">
        <v>2334</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2284</v>
      </c>
      <c r="BJ176" s="77">
        <f t="shared" ca="1" si="794"/>
        <v>0</v>
      </c>
      <c r="BK176" s="110"/>
      <c r="BL176" s="74" t="s">
        <v>2369</v>
      </c>
      <c r="BM176" s="77">
        <f t="shared" ca="1" si="794"/>
        <v>0</v>
      </c>
      <c r="BN176" s="110"/>
      <c r="BO176" s="74" t="s">
        <v>2369</v>
      </c>
      <c r="BP176" s="77">
        <f t="shared" ca="1" si="794"/>
        <v>0</v>
      </c>
      <c r="BQ176" s="110"/>
      <c r="BR176" s="74" t="s">
        <v>2334</v>
      </c>
      <c r="BS176" s="77">
        <f t="shared" ca="1" si="794"/>
        <v>0</v>
      </c>
      <c r="BT176" s="110"/>
      <c r="BU176" s="74" t="s">
        <v>2411</v>
      </c>
      <c r="BV176" s="77">
        <f t="shared" ca="1" si="794"/>
        <v>0</v>
      </c>
      <c r="BW176" s="110"/>
      <c r="BX176" s="74" t="s">
        <v>2430</v>
      </c>
      <c r="BY176" s="77">
        <f t="shared" ca="1" si="794"/>
        <v>0</v>
      </c>
      <c r="BZ176" s="110"/>
      <c r="CA176" s="74" t="s">
        <v>2076</v>
      </c>
      <c r="CB176" s="77">
        <f t="shared" ca="1" si="794"/>
        <v>0</v>
      </c>
      <c r="CC176" s="110"/>
      <c r="CD176" s="74" t="s">
        <v>2369</v>
      </c>
      <c r="CE176" s="77">
        <f t="shared" ca="1" si="794"/>
        <v>0</v>
      </c>
      <c r="CF176" s="110"/>
      <c r="CG176" s="74" t="s">
        <v>2483</v>
      </c>
      <c r="CH176" s="77">
        <f t="shared" ca="1" si="794"/>
        <v>0</v>
      </c>
      <c r="CI176" s="110"/>
      <c r="CJ176" s="74" t="s">
        <v>2501</v>
      </c>
      <c r="CK176" s="77">
        <f t="shared" ca="1" si="794"/>
        <v>0</v>
      </c>
      <c r="CL176" s="110"/>
      <c r="CM176" s="74" t="s">
        <v>2411</v>
      </c>
      <c r="CN176" s="77">
        <f t="shared" ca="1" si="794"/>
        <v>0</v>
      </c>
      <c r="CO176" s="110"/>
      <c r="CP176" s="74" t="s">
        <v>2531</v>
      </c>
      <c r="CQ176" s="77">
        <f t="shared" ca="1" si="794"/>
        <v>0</v>
      </c>
      <c r="CR176" s="110"/>
      <c r="CS176" s="74" t="s">
        <v>2237</v>
      </c>
      <c r="CT176" s="77">
        <f t="shared" ca="1" si="794"/>
        <v>1</v>
      </c>
      <c r="CU176" s="110"/>
      <c r="CV176" s="74" t="s">
        <v>2546</v>
      </c>
      <c r="CW176" s="77">
        <f t="shared" ca="1" si="794"/>
        <v>0</v>
      </c>
      <c r="CX176" s="110"/>
      <c r="CY176" s="74" t="s">
        <v>2076</v>
      </c>
      <c r="CZ176" s="77">
        <f t="shared" ca="1" si="794"/>
        <v>0</v>
      </c>
      <c r="DA176" s="110"/>
      <c r="DB176" s="74" t="s">
        <v>2334</v>
      </c>
      <c r="DC176" s="77">
        <f t="shared" ca="1" si="794"/>
        <v>0</v>
      </c>
      <c r="DD176" s="110"/>
      <c r="DE176" s="74" t="s">
        <v>2334</v>
      </c>
      <c r="DF176" s="77">
        <f t="shared" ca="1" si="794"/>
        <v>0</v>
      </c>
      <c r="DG176" s="110"/>
      <c r="DH176" s="74" t="s">
        <v>2237</v>
      </c>
      <c r="DI176" s="77">
        <f t="shared" ca="1" si="794"/>
        <v>1</v>
      </c>
      <c r="DJ176" s="110"/>
      <c r="DK176" s="74" t="s">
        <v>2334</v>
      </c>
      <c r="DL176" s="77">
        <f t="shared" ca="1" si="794"/>
        <v>0</v>
      </c>
      <c r="DM176" s="110"/>
      <c r="DN176" s="795" t="s">
        <v>2237</v>
      </c>
      <c r="DO176" s="77">
        <f t="shared" ca="1" si="794"/>
        <v>1</v>
      </c>
      <c r="DP176" s="110"/>
      <c r="DQ176" s="795" t="s">
        <v>2656</v>
      </c>
      <c r="DR176" s="77">
        <f t="shared" ca="1" si="794"/>
        <v>0</v>
      </c>
      <c r="DS176" s="110"/>
      <c r="DT176" s="74" t="s">
        <v>2430</v>
      </c>
      <c r="DU176" s="77">
        <f t="shared" ca="1" si="762"/>
        <v>0</v>
      </c>
      <c r="DV176" s="110"/>
      <c r="DW176" s="74" t="s">
        <v>2334</v>
      </c>
      <c r="DX176" s="77">
        <f t="shared" ca="1" si="762"/>
        <v>0</v>
      </c>
      <c r="DY176" s="110"/>
      <c r="DZ176" s="74" t="s">
        <v>2720</v>
      </c>
      <c r="EA176" s="77">
        <f t="shared" ca="1" si="762"/>
        <v>0</v>
      </c>
      <c r="EB176" s="110"/>
      <c r="EC176" s="74" t="s">
        <v>2013</v>
      </c>
      <c r="ED176" s="77">
        <f t="shared" ca="1" si="762"/>
        <v>4</v>
      </c>
      <c r="EE176" s="110"/>
      <c r="EF176" s="74" t="s">
        <v>2076</v>
      </c>
      <c r="EG176" s="77">
        <f t="shared" ca="1" si="762"/>
        <v>0</v>
      </c>
      <c r="EH176" s="110"/>
      <c r="EI176" s="74" t="s">
        <v>2334</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49"/>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2014</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2049</v>
      </c>
      <c r="Z177" s="77">
        <f t="shared" ca="1" si="795"/>
        <v>0</v>
      </c>
      <c r="AA177" s="110"/>
      <c r="AB177" s="74" t="s">
        <v>2014</v>
      </c>
      <c r="AC177" s="77">
        <f t="shared" ca="1" si="795"/>
        <v>0</v>
      </c>
      <c r="AD177" s="110"/>
      <c r="AE177" s="74" t="s">
        <v>2102</v>
      </c>
      <c r="AF177" s="77">
        <f t="shared" ca="1" si="795"/>
        <v>0</v>
      </c>
      <c r="AG177" s="110"/>
      <c r="AH177" s="74" t="s">
        <v>2131</v>
      </c>
      <c r="AI177" s="77">
        <f t="shared" ca="1" si="795"/>
        <v>0</v>
      </c>
      <c r="AJ177" s="110"/>
      <c r="AK177" s="74" t="s">
        <v>2156</v>
      </c>
      <c r="AL177" s="77">
        <f t="shared" ca="1" si="795"/>
        <v>0</v>
      </c>
      <c r="AM177" s="110"/>
      <c r="AN177" s="74" t="s">
        <v>2014</v>
      </c>
      <c r="AO177" s="77">
        <f t="shared" ca="1" si="795"/>
        <v>0</v>
      </c>
      <c r="AP177" s="110"/>
      <c r="AQ177" s="74" t="s">
        <v>2217</v>
      </c>
      <c r="AR177" s="77">
        <f t="shared" ca="1" si="795"/>
        <v>0</v>
      </c>
      <c r="AS177" s="110"/>
      <c r="AT177" s="74" t="s">
        <v>2238</v>
      </c>
      <c r="AU177" s="77">
        <f t="shared" ca="1" si="795"/>
        <v>0</v>
      </c>
      <c r="AV177" s="110"/>
      <c r="AW177" s="74" t="s">
        <v>2264</v>
      </c>
      <c r="AX177" s="77">
        <f t="shared" ca="1" si="795"/>
        <v>0</v>
      </c>
      <c r="AY177" s="110"/>
      <c r="AZ177" s="74" t="s">
        <v>2285</v>
      </c>
      <c r="BA177" s="77">
        <f t="shared" ca="1" si="795"/>
        <v>0</v>
      </c>
      <c r="BB177" s="110"/>
      <c r="BC177" s="74" t="s">
        <v>2307</v>
      </c>
      <c r="BD177" s="77">
        <f t="shared" ca="1" si="795"/>
        <v>0</v>
      </c>
      <c r="BE177" s="110"/>
      <c r="BF177" s="74" t="s">
        <v>1977</v>
      </c>
      <c r="BG177" s="77">
        <f t="shared" ca="1" si="795"/>
        <v>0</v>
      </c>
      <c r="BH177" s="110"/>
      <c r="BI177" s="74" t="s">
        <v>2349</v>
      </c>
      <c r="BJ177" s="77">
        <f t="shared" ca="1" si="795"/>
        <v>0</v>
      </c>
      <c r="BK177" s="110"/>
      <c r="BL177" s="74" t="s">
        <v>2370</v>
      </c>
      <c r="BM177" s="77">
        <f t="shared" ca="1" si="795"/>
        <v>0</v>
      </c>
      <c r="BN177" s="110"/>
      <c r="BO177" s="74" t="s">
        <v>2383</v>
      </c>
      <c r="BP177" s="77">
        <f t="shared" ca="1" si="795"/>
        <v>0</v>
      </c>
      <c r="BQ177" s="110"/>
      <c r="BR177" s="74" t="s">
        <v>2393</v>
      </c>
      <c r="BS177" s="77">
        <f t="shared" ca="1" si="795"/>
        <v>0</v>
      </c>
      <c r="BT177" s="110"/>
      <c r="BU177" s="74" t="s">
        <v>2238</v>
      </c>
      <c r="BV177" s="77">
        <f t="shared" ca="1" si="795"/>
        <v>0</v>
      </c>
      <c r="BW177" s="110"/>
      <c r="BX177" s="74" t="s">
        <v>2338</v>
      </c>
      <c r="BY177" s="77">
        <f t="shared" ca="1" si="795"/>
        <v>0</v>
      </c>
      <c r="BZ177" s="110"/>
      <c r="CA177" s="74" t="s">
        <v>2014</v>
      </c>
      <c r="CB177" s="77">
        <f t="shared" ca="1" si="795"/>
        <v>0</v>
      </c>
      <c r="CC177" s="110"/>
      <c r="CD177" s="74" t="s">
        <v>2470</v>
      </c>
      <c r="CE177" s="77">
        <f t="shared" ca="1" si="795"/>
        <v>0</v>
      </c>
      <c r="CF177" s="110"/>
      <c r="CG177" s="74" t="s">
        <v>2484</v>
      </c>
      <c r="CH177" s="77">
        <f t="shared" ca="1" si="795"/>
        <v>0</v>
      </c>
      <c r="CI177" s="110"/>
      <c r="CJ177" s="74" t="s">
        <v>2502</v>
      </c>
      <c r="CK177" s="77">
        <f t="shared" ca="1" si="794"/>
        <v>0</v>
      </c>
      <c r="CL177" s="110"/>
      <c r="CM177" s="74" t="s">
        <v>2513</v>
      </c>
      <c r="CN177" s="77">
        <f t="shared" ca="1" si="794"/>
        <v>0</v>
      </c>
      <c r="CO177" s="110"/>
      <c r="CP177" s="74" t="s">
        <v>2513</v>
      </c>
      <c r="CQ177" s="77">
        <f t="shared" ca="1" si="794"/>
        <v>0</v>
      </c>
      <c r="CR177" s="110"/>
      <c r="CS177" s="74" t="s">
        <v>2513</v>
      </c>
      <c r="CT177" s="77">
        <f t="shared" ca="1" si="794"/>
        <v>0</v>
      </c>
      <c r="CU177" s="110"/>
      <c r="CV177" s="74" t="s">
        <v>2307</v>
      </c>
      <c r="CW177" s="77">
        <f t="shared" ca="1" si="794"/>
        <v>0</v>
      </c>
      <c r="CX177" s="110"/>
      <c r="CY177" s="74" t="s">
        <v>2238</v>
      </c>
      <c r="CZ177" s="77">
        <f t="shared" ca="1" si="794"/>
        <v>0</v>
      </c>
      <c r="DA177" s="110"/>
      <c r="DB177" s="74" t="s">
        <v>2513</v>
      </c>
      <c r="DC177" s="77">
        <f t="shared" ca="1" si="794"/>
        <v>0</v>
      </c>
      <c r="DD177" s="110"/>
      <c r="DE177" s="74" t="s">
        <v>2513</v>
      </c>
      <c r="DF177" s="77">
        <f t="shared" ca="1" si="794"/>
        <v>0</v>
      </c>
      <c r="DG177" s="110"/>
      <c r="DH177" s="74" t="s">
        <v>2238</v>
      </c>
      <c r="DI177" s="77">
        <f t="shared" ca="1" si="794"/>
        <v>0</v>
      </c>
      <c r="DJ177" s="110"/>
      <c r="DK177" s="74" t="s">
        <v>2627</v>
      </c>
      <c r="DL177" s="77">
        <f t="shared" ca="1" si="794"/>
        <v>0</v>
      </c>
      <c r="DM177" s="110"/>
      <c r="DN177" s="795" t="s">
        <v>2639</v>
      </c>
      <c r="DO177" s="77">
        <f t="shared" ca="1" si="794"/>
        <v>0</v>
      </c>
      <c r="DP177" s="110"/>
      <c r="DQ177" s="795" t="s">
        <v>2657</v>
      </c>
      <c r="DR177" s="77">
        <f t="shared" ca="1" si="794"/>
        <v>0</v>
      </c>
      <c r="DS177" s="110"/>
      <c r="DT177" s="74" t="s">
        <v>1977</v>
      </c>
      <c r="DU177" s="77">
        <f t="shared" ca="1" si="762"/>
        <v>0</v>
      </c>
      <c r="DV177" s="110"/>
      <c r="DW177" s="74" t="s">
        <v>2238</v>
      </c>
      <c r="DX177" s="77">
        <f t="shared" ca="1" si="762"/>
        <v>0</v>
      </c>
      <c r="DY177" s="110"/>
      <c r="DZ177" s="74" t="s">
        <v>2370</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2217</v>
      </c>
      <c r="ED177" s="77">
        <f t="shared" ca="1" si="796"/>
        <v>0</v>
      </c>
      <c r="EE177" s="110"/>
      <c r="EF177" s="74" t="s">
        <v>1977</v>
      </c>
      <c r="EG177" s="77">
        <f t="shared" ca="1" si="796"/>
        <v>0</v>
      </c>
      <c r="EH177" s="110"/>
      <c r="EI177" s="74" t="s">
        <v>2627</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49"/>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2015</v>
      </c>
      <c r="W178" s="77">
        <f t="shared" ca="1" si="795"/>
        <v>0</v>
      </c>
      <c r="X178" s="110"/>
      <c r="Y178" s="74" t="s">
        <v>2015</v>
      </c>
      <c r="Z178" s="77">
        <f t="shared" ca="1" si="795"/>
        <v>0</v>
      </c>
      <c r="AA178" s="110"/>
      <c r="AB178" s="74" t="s">
        <v>2015</v>
      </c>
      <c r="AC178" s="77">
        <f t="shared" ca="1" si="795"/>
        <v>0</v>
      </c>
      <c r="AD178" s="110"/>
      <c r="AE178" s="74" t="s">
        <v>2103</v>
      </c>
      <c r="AF178" s="77">
        <f t="shared" ca="1" si="795"/>
        <v>0</v>
      </c>
      <c r="AG178" s="110"/>
      <c r="AH178" s="74" t="s">
        <v>2132</v>
      </c>
      <c r="AI178" s="77">
        <f t="shared" ca="1" si="795"/>
        <v>0</v>
      </c>
      <c r="AJ178" s="110"/>
      <c r="AK178" s="74" t="s">
        <v>2157</v>
      </c>
      <c r="AL178" s="77">
        <f t="shared" ca="1" si="795"/>
        <v>0</v>
      </c>
      <c r="AM178" s="110"/>
      <c r="AN178" s="74" t="s">
        <v>2188</v>
      </c>
      <c r="AO178" s="77">
        <f t="shared" ca="1" si="795"/>
        <v>0</v>
      </c>
      <c r="AP178" s="110"/>
      <c r="AQ178" s="74" t="s">
        <v>2218</v>
      </c>
      <c r="AR178" s="77">
        <f t="shared" ca="1" si="795"/>
        <v>0</v>
      </c>
      <c r="AS178" s="110"/>
      <c r="AT178" s="74" t="s">
        <v>2239</v>
      </c>
      <c r="AU178" s="77">
        <f t="shared" ca="1" si="795"/>
        <v>0</v>
      </c>
      <c r="AV178" s="110"/>
      <c r="AW178" s="74" t="s">
        <v>2218</v>
      </c>
      <c r="AX178" s="77">
        <f t="shared" ca="1" si="795"/>
        <v>0</v>
      </c>
      <c r="AY178" s="110"/>
      <c r="AZ178" s="74" t="s">
        <v>2015</v>
      </c>
      <c r="BA178" s="77">
        <f t="shared" ca="1" si="795"/>
        <v>0</v>
      </c>
      <c r="BB178" s="110"/>
      <c r="BC178" s="74" t="s">
        <v>2015</v>
      </c>
      <c r="BD178" s="77">
        <f t="shared" ca="1" si="795"/>
        <v>0</v>
      </c>
      <c r="BE178" s="110"/>
      <c r="BF178" s="74" t="s">
        <v>2157</v>
      </c>
      <c r="BG178" s="77">
        <f t="shared" ca="1" si="795"/>
        <v>0</v>
      </c>
      <c r="BH178" s="110"/>
      <c r="BI178" s="74" t="s">
        <v>2218</v>
      </c>
      <c r="BJ178" s="77">
        <f t="shared" ca="1" si="795"/>
        <v>0</v>
      </c>
      <c r="BK178" s="110"/>
      <c r="BL178" s="74" t="s">
        <v>2015</v>
      </c>
      <c r="BM178" s="77">
        <f t="shared" ca="1" si="795"/>
        <v>0</v>
      </c>
      <c r="BN178" s="110"/>
      <c r="BO178" s="74" t="s">
        <v>2015</v>
      </c>
      <c r="BP178" s="77">
        <f t="shared" ca="1" si="795"/>
        <v>0</v>
      </c>
      <c r="BQ178" s="110"/>
      <c r="BR178" s="74" t="s">
        <v>1978</v>
      </c>
      <c r="BS178" s="77">
        <f t="shared" ca="1" si="795"/>
        <v>0</v>
      </c>
      <c r="BT178" s="110"/>
      <c r="BU178" s="74" t="s">
        <v>2188</v>
      </c>
      <c r="BV178" s="77">
        <f t="shared" ca="1" si="795"/>
        <v>0</v>
      </c>
      <c r="BW178" s="110"/>
      <c r="BX178" s="74" t="s">
        <v>2103</v>
      </c>
      <c r="BY178" s="77">
        <f t="shared" ca="1" si="795"/>
        <v>0</v>
      </c>
      <c r="BZ178" s="110"/>
      <c r="CA178" s="74" t="s">
        <v>2015</v>
      </c>
      <c r="CB178" s="77">
        <f t="shared" ca="1" si="795"/>
        <v>0</v>
      </c>
      <c r="CC178" s="110"/>
      <c r="CD178" s="74" t="s">
        <v>2103</v>
      </c>
      <c r="CE178" s="77">
        <f t="shared" ca="1" si="795"/>
        <v>0</v>
      </c>
      <c r="CF178" s="110"/>
      <c r="CG178" s="74" t="s">
        <v>2015</v>
      </c>
      <c r="CH178" s="77">
        <f t="shared" ca="1" si="795"/>
        <v>0</v>
      </c>
      <c r="CI178" s="110"/>
      <c r="CJ178" s="74" t="s">
        <v>2015</v>
      </c>
      <c r="CK178" s="77">
        <f t="shared" ca="1" si="794"/>
        <v>0</v>
      </c>
      <c r="CL178" s="110"/>
      <c r="CM178" s="74" t="s">
        <v>2015</v>
      </c>
      <c r="CN178" s="77">
        <f t="shared" ca="1" si="794"/>
        <v>0</v>
      </c>
      <c r="CO178" s="110"/>
      <c r="CP178" s="74" t="s">
        <v>2015</v>
      </c>
      <c r="CQ178" s="77">
        <f t="shared" ca="1" si="794"/>
        <v>0</v>
      </c>
      <c r="CR178" s="110"/>
      <c r="CS178" s="74" t="s">
        <v>2015</v>
      </c>
      <c r="CT178" s="77">
        <f t="shared" ca="1" si="794"/>
        <v>0</v>
      </c>
      <c r="CU178" s="110"/>
      <c r="CV178" s="74" t="s">
        <v>2188</v>
      </c>
      <c r="CW178" s="77">
        <f t="shared" ca="1" si="794"/>
        <v>0</v>
      </c>
      <c r="CX178" s="110"/>
      <c r="CY178" s="74" t="s">
        <v>2565</v>
      </c>
      <c r="CZ178" s="77">
        <f t="shared" ca="1" si="794"/>
        <v>0</v>
      </c>
      <c r="DA178" s="110"/>
      <c r="DB178" s="74" t="s">
        <v>2015</v>
      </c>
      <c r="DC178" s="77">
        <f t="shared" ca="1" si="794"/>
        <v>0</v>
      </c>
      <c r="DD178" s="110"/>
      <c r="DE178" s="74" t="s">
        <v>2015</v>
      </c>
      <c r="DF178" s="77">
        <f t="shared" ca="1" si="794"/>
        <v>0</v>
      </c>
      <c r="DG178" s="110"/>
      <c r="DH178" s="74" t="s">
        <v>2157</v>
      </c>
      <c r="DI178" s="77">
        <f t="shared" ca="1" si="794"/>
        <v>0</v>
      </c>
      <c r="DJ178" s="110"/>
      <c r="DK178" s="74" t="s">
        <v>2157</v>
      </c>
      <c r="DL178" s="77">
        <f t="shared" ca="1" si="794"/>
        <v>0</v>
      </c>
      <c r="DM178" s="110"/>
      <c r="DN178" s="795" t="s">
        <v>2157</v>
      </c>
      <c r="DO178" s="77">
        <f t="shared" ca="1" si="794"/>
        <v>0</v>
      </c>
      <c r="DP178" s="110"/>
      <c r="DQ178" s="795" t="s">
        <v>2658</v>
      </c>
      <c r="DR178" s="77">
        <f t="shared" ca="1" si="794"/>
        <v>0</v>
      </c>
      <c r="DS178" s="110"/>
      <c r="DT178" s="74" t="s">
        <v>2683</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2157</v>
      </c>
      <c r="DX178" s="77">
        <f t="shared" ca="1" si="797"/>
        <v>0</v>
      </c>
      <c r="DY178" s="110"/>
      <c r="DZ178" s="74" t="s">
        <v>2015</v>
      </c>
      <c r="EA178" s="77">
        <f t="shared" ca="1" si="797"/>
        <v>0</v>
      </c>
      <c r="EB178" s="110"/>
      <c r="EC178" s="74" t="s">
        <v>2103</v>
      </c>
      <c r="ED178" s="77">
        <f t="shared" ca="1" si="797"/>
        <v>0</v>
      </c>
      <c r="EE178" s="110"/>
      <c r="EF178" s="74" t="s">
        <v>2683</v>
      </c>
      <c r="EG178" s="77">
        <f t="shared" ca="1" si="797"/>
        <v>0</v>
      </c>
      <c r="EH178" s="110"/>
      <c r="EI178" s="74" t="s">
        <v>2015</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49"/>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2016</v>
      </c>
      <c r="W179" s="81">
        <f t="shared" ca="1" si="795"/>
        <v>0</v>
      </c>
      <c r="X179" s="110"/>
      <c r="Y179" s="80" t="s">
        <v>2050</v>
      </c>
      <c r="Z179" s="81">
        <f t="shared" ca="1" si="795"/>
        <v>0</v>
      </c>
      <c r="AA179" s="110"/>
      <c r="AB179" s="80" t="s">
        <v>2077</v>
      </c>
      <c r="AC179" s="81">
        <f t="shared" ca="1" si="795"/>
        <v>0</v>
      </c>
      <c r="AD179" s="110"/>
      <c r="AE179" s="80" t="s">
        <v>2104</v>
      </c>
      <c r="AF179" s="81">
        <f t="shared" ca="1" si="795"/>
        <v>0</v>
      </c>
      <c r="AG179" s="110"/>
      <c r="AH179" s="80" t="s">
        <v>2133</v>
      </c>
      <c r="AI179" s="81">
        <f t="shared" ca="1" si="795"/>
        <v>0</v>
      </c>
      <c r="AJ179" s="110"/>
      <c r="AK179" s="80" t="s">
        <v>2158</v>
      </c>
      <c r="AL179" s="81">
        <f t="shared" ca="1" si="795"/>
        <v>1</v>
      </c>
      <c r="AM179" s="110"/>
      <c r="AN179" s="80" t="s">
        <v>2050</v>
      </c>
      <c r="AO179" s="81">
        <f t="shared" ca="1" si="795"/>
        <v>0</v>
      </c>
      <c r="AP179" s="110"/>
      <c r="AQ179" s="80" t="s">
        <v>2219</v>
      </c>
      <c r="AR179" s="81">
        <f t="shared" ca="1" si="795"/>
        <v>0</v>
      </c>
      <c r="AS179" s="110"/>
      <c r="AT179" s="80" t="s">
        <v>2050</v>
      </c>
      <c r="AU179" s="81">
        <f t="shared" ca="1" si="795"/>
        <v>0</v>
      </c>
      <c r="AV179" s="110"/>
      <c r="AW179" s="80" t="s">
        <v>1975</v>
      </c>
      <c r="AX179" s="81">
        <f t="shared" ca="1" si="795"/>
        <v>2</v>
      </c>
      <c r="AY179" s="110"/>
      <c r="AZ179" s="80" t="s">
        <v>2286</v>
      </c>
      <c r="BA179" s="81">
        <f t="shared" ca="1" si="795"/>
        <v>0</v>
      </c>
      <c r="BB179" s="110"/>
      <c r="BC179" s="80" t="s">
        <v>2308</v>
      </c>
      <c r="BD179" s="81">
        <f t="shared" ca="1" si="795"/>
        <v>0</v>
      </c>
      <c r="BE179" s="110"/>
      <c r="BF179" s="80" t="s">
        <v>2335</v>
      </c>
      <c r="BG179" s="81">
        <f t="shared" ca="1" si="795"/>
        <v>0</v>
      </c>
      <c r="BH179" s="110"/>
      <c r="BI179" s="80" t="s">
        <v>2286</v>
      </c>
      <c r="BJ179" s="81">
        <f t="shared" ca="1" si="795"/>
        <v>0</v>
      </c>
      <c r="BK179" s="110"/>
      <c r="BL179" s="80" t="s">
        <v>2050</v>
      </c>
      <c r="BM179" s="81">
        <f t="shared" ca="1" si="795"/>
        <v>0</v>
      </c>
      <c r="BN179" s="110"/>
      <c r="BO179" s="80" t="s">
        <v>2384</v>
      </c>
      <c r="BP179" s="81">
        <f t="shared" ca="1" si="795"/>
        <v>0</v>
      </c>
      <c r="BQ179" s="110"/>
      <c r="BR179" s="80" t="s">
        <v>2050</v>
      </c>
      <c r="BS179" s="81">
        <f t="shared" ca="1" si="795"/>
        <v>0</v>
      </c>
      <c r="BT179" s="110"/>
      <c r="BU179" s="80" t="s">
        <v>2286</v>
      </c>
      <c r="BV179" s="81">
        <f t="shared" ca="1" si="795"/>
        <v>0</v>
      </c>
      <c r="BW179" s="110"/>
      <c r="BX179" s="80" t="s">
        <v>2155</v>
      </c>
      <c r="BY179" s="81">
        <f t="shared" ca="1" si="795"/>
        <v>1</v>
      </c>
      <c r="BZ179" s="110"/>
      <c r="CA179" s="80" t="s">
        <v>2448</v>
      </c>
      <c r="CB179" s="81">
        <f t="shared" ca="1" si="795"/>
        <v>0</v>
      </c>
      <c r="CC179" s="110"/>
      <c r="CD179" s="80" t="s">
        <v>2335</v>
      </c>
      <c r="CE179" s="81">
        <f t="shared" ca="1" si="795"/>
        <v>0</v>
      </c>
      <c r="CF179" s="110"/>
      <c r="CG179" s="80" t="s">
        <v>2485</v>
      </c>
      <c r="CH179" s="81">
        <f t="shared" ca="1" si="795"/>
        <v>0</v>
      </c>
      <c r="CI179" s="110"/>
      <c r="CJ179" s="80" t="s">
        <v>2503</v>
      </c>
      <c r="CK179" s="81">
        <f t="shared" ca="1" si="794"/>
        <v>0</v>
      </c>
      <c r="CL179" s="110"/>
      <c r="CM179" s="80" t="s">
        <v>2514</v>
      </c>
      <c r="CN179" s="81">
        <f t="shared" ca="1" si="794"/>
        <v>0</v>
      </c>
      <c r="CO179" s="110"/>
      <c r="CP179" s="80" t="s">
        <v>2503</v>
      </c>
      <c r="CQ179" s="81">
        <f t="shared" ca="1" si="794"/>
        <v>0</v>
      </c>
      <c r="CR179" s="110"/>
      <c r="CS179" s="80" t="s">
        <v>2540</v>
      </c>
      <c r="CT179" s="81">
        <f t="shared" ca="1" si="794"/>
        <v>0</v>
      </c>
      <c r="CU179" s="110"/>
      <c r="CV179" s="80" t="s">
        <v>2547</v>
      </c>
      <c r="CW179" s="81">
        <f t="shared" ca="1" si="794"/>
        <v>0</v>
      </c>
      <c r="CX179" s="110"/>
      <c r="CY179" s="80" t="s">
        <v>2566</v>
      </c>
      <c r="CZ179" s="81">
        <f t="shared" ca="1" si="794"/>
        <v>0</v>
      </c>
      <c r="DA179" s="110"/>
      <c r="DB179" s="80" t="s">
        <v>2582</v>
      </c>
      <c r="DC179" s="81">
        <f t="shared" ca="1" si="794"/>
        <v>0</v>
      </c>
      <c r="DD179" s="110"/>
      <c r="DE179" s="80" t="s">
        <v>2050</v>
      </c>
      <c r="DF179" s="81">
        <f t="shared" ca="1" si="794"/>
        <v>0</v>
      </c>
      <c r="DG179" s="110"/>
      <c r="DH179" s="80" t="s">
        <v>2335</v>
      </c>
      <c r="DI179" s="81">
        <f t="shared" ca="1" si="794"/>
        <v>0</v>
      </c>
      <c r="DJ179" s="110"/>
      <c r="DK179" s="80" t="s">
        <v>2628</v>
      </c>
      <c r="DL179" s="81">
        <f t="shared" ca="1" si="794"/>
        <v>1</v>
      </c>
      <c r="DM179" s="110"/>
      <c r="DN179" s="795" t="s">
        <v>2640</v>
      </c>
      <c r="DO179" s="81">
        <f t="shared" ca="1" si="794"/>
        <v>0</v>
      </c>
      <c r="DP179" s="110"/>
      <c r="DQ179" s="795" t="s">
        <v>2659</v>
      </c>
      <c r="DR179" s="81">
        <f t="shared" ca="1" si="794"/>
        <v>0</v>
      </c>
      <c r="DS179" s="110"/>
      <c r="DT179" s="80" t="s">
        <v>2684</v>
      </c>
      <c r="DU179" s="81">
        <f t="shared" ca="1" si="797"/>
        <v>1</v>
      </c>
      <c r="DV179" s="110"/>
      <c r="DW179" s="80" t="s">
        <v>2158</v>
      </c>
      <c r="DX179" s="81">
        <f t="shared" ca="1" si="797"/>
        <v>1</v>
      </c>
      <c r="DY179" s="110"/>
      <c r="DZ179" s="80" t="s">
        <v>2050</v>
      </c>
      <c r="EA179" s="81">
        <f t="shared" ca="1" si="797"/>
        <v>0</v>
      </c>
      <c r="EB179" s="110"/>
      <c r="EC179" s="80" t="s">
        <v>2050</v>
      </c>
      <c r="ED179" s="81">
        <f t="shared" ca="1" si="797"/>
        <v>0</v>
      </c>
      <c r="EE179" s="110"/>
      <c r="EF179" s="80" t="s">
        <v>2741</v>
      </c>
      <c r="EG179" s="81">
        <f t="shared" ca="1" si="797"/>
        <v>0</v>
      </c>
      <c r="EH179" s="110"/>
      <c r="EI179" s="80" t="s">
        <v>2756</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49"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2017</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2051</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2078</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2105</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2134</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2159</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2189</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2078</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2287</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2309</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2336</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2350</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2371</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2394</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2412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2220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2134</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2471</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2486</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2504</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2515</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2532</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2532</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2548</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2567</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2583</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2596</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2189</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2629</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2641</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2660</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2685</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2703</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2486</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2051</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2078</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2220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49"/>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2018</v>
      </c>
      <c r="W201" s="73">
        <f t="shared" ca="1" si="950"/>
        <v>0</v>
      </c>
      <c r="X201" s="110"/>
      <c r="Y201" s="80" t="s">
        <v>2052</v>
      </c>
      <c r="Z201" s="73">
        <f t="shared" ca="1" si="950"/>
        <v>0</v>
      </c>
      <c r="AA201" s="110"/>
      <c r="AB201" s="80" t="s">
        <v>2052</v>
      </c>
      <c r="AC201" s="73">
        <f t="shared" ca="1" si="950"/>
        <v>0</v>
      </c>
      <c r="AD201" s="110"/>
      <c r="AE201" s="80" t="s">
        <v>2106</v>
      </c>
      <c r="AF201" s="73">
        <f t="shared" ca="1" si="950"/>
        <v>1</v>
      </c>
      <c r="AG201" s="110"/>
      <c r="AH201" s="80" t="s">
        <v>1981</v>
      </c>
      <c r="AI201" s="73">
        <f t="shared" ca="1" si="950"/>
        <v>0</v>
      </c>
      <c r="AJ201" s="110"/>
      <c r="AK201" s="80" t="s">
        <v>2052</v>
      </c>
      <c r="AL201" s="73">
        <f t="shared" ca="1" si="950"/>
        <v>0</v>
      </c>
      <c r="AM201" s="110"/>
      <c r="AN201" s="80" t="s">
        <v>2190</v>
      </c>
      <c r="AO201" s="73">
        <f t="shared" ca="1" si="950"/>
        <v>0</v>
      </c>
      <c r="AP201" s="110"/>
      <c r="AQ201" s="80" t="s">
        <v>1981</v>
      </c>
      <c r="AR201" s="73">
        <f t="shared" ca="1" si="950"/>
        <v>0</v>
      </c>
      <c r="AS201" s="110"/>
      <c r="AT201" s="80" t="s">
        <v>2190</v>
      </c>
      <c r="AU201" s="73">
        <f t="shared" ca="1" si="950"/>
        <v>0</v>
      </c>
      <c r="AV201" s="110"/>
      <c r="AW201" s="80" t="s">
        <v>2190</v>
      </c>
      <c r="AX201" s="73">
        <f t="shared" ca="1" si="950"/>
        <v>0</v>
      </c>
      <c r="AY201" s="110"/>
      <c r="AZ201" s="80" t="s">
        <v>2052</v>
      </c>
      <c r="BA201" s="73">
        <f t="shared" ca="1" si="950"/>
        <v>0</v>
      </c>
      <c r="BB201" s="110"/>
      <c r="BC201" s="80" t="s">
        <v>2310</v>
      </c>
      <c r="BD201" s="73">
        <f t="shared" ca="1" si="950"/>
        <v>0</v>
      </c>
      <c r="BE201" s="110"/>
      <c r="BF201" s="80" t="s">
        <v>2052</v>
      </c>
      <c r="BG201" s="73">
        <f t="shared" ca="1" si="950"/>
        <v>0</v>
      </c>
      <c r="BH201" s="110"/>
      <c r="BI201" s="80" t="s">
        <v>2351</v>
      </c>
      <c r="BJ201" s="73">
        <f t="shared" ca="1" si="950"/>
        <v>0</v>
      </c>
      <c r="BK201" s="110"/>
      <c r="BL201" s="80" t="s">
        <v>2052</v>
      </c>
      <c r="BM201" s="73">
        <f t="shared" ca="1" si="950"/>
        <v>0</v>
      </c>
      <c r="BN201" s="110"/>
      <c r="BO201" s="80" t="s">
        <v>2310</v>
      </c>
      <c r="BP201" s="73">
        <f t="shared" ca="1" si="950"/>
        <v>0</v>
      </c>
      <c r="BQ201" s="110"/>
      <c r="BR201" s="80" t="s">
        <v>2395</v>
      </c>
      <c r="BS201" s="73">
        <f t="shared" ca="1" si="950"/>
        <v>0</v>
      </c>
      <c r="BT201" s="110"/>
      <c r="BU201" s="80" t="s">
        <v>2052</v>
      </c>
      <c r="BV201" s="73">
        <f t="shared" ca="1" si="950"/>
        <v>0</v>
      </c>
      <c r="BW201" s="110"/>
      <c r="BX201" s="80" t="s">
        <v>2052</v>
      </c>
      <c r="BY201" s="73">
        <f t="shared" ca="1" si="950"/>
        <v>0</v>
      </c>
      <c r="BZ201" s="110"/>
      <c r="CA201" s="80" t="s">
        <v>2449</v>
      </c>
      <c r="CB201" s="73">
        <f t="shared" ca="1" si="950"/>
        <v>0</v>
      </c>
      <c r="CC201" s="110"/>
      <c r="CD201" s="80" t="s">
        <v>2052</v>
      </c>
      <c r="CE201" s="73">
        <f t="shared" ca="1" si="950"/>
        <v>0</v>
      </c>
      <c r="CF201" s="110"/>
      <c r="CG201" s="80" t="s">
        <v>1981</v>
      </c>
      <c r="CH201" s="73">
        <f t="shared" ca="1" si="950"/>
        <v>0</v>
      </c>
      <c r="CI201" s="110"/>
      <c r="CJ201" s="80" t="s">
        <v>2052</v>
      </c>
      <c r="CK201" s="73">
        <f t="shared" ca="1" si="972"/>
        <v>0</v>
      </c>
      <c r="CL201" s="110"/>
      <c r="CM201" s="80" t="s">
        <v>1981</v>
      </c>
      <c r="CN201" s="73">
        <f t="shared" ca="1" si="972"/>
        <v>0</v>
      </c>
      <c r="CO201" s="110"/>
      <c r="CP201" s="80" t="s">
        <v>2533</v>
      </c>
      <c r="CQ201" s="73">
        <f t="shared" ca="1" si="972"/>
        <v>0</v>
      </c>
      <c r="CR201" s="110"/>
      <c r="CS201" s="80" t="s">
        <v>2052</v>
      </c>
      <c r="CT201" s="73">
        <f t="shared" ca="1" si="972"/>
        <v>0</v>
      </c>
      <c r="CU201" s="110"/>
      <c r="CV201" s="80" t="s">
        <v>2052</v>
      </c>
      <c r="CW201" s="73">
        <f t="shared" ca="1" si="972"/>
        <v>0</v>
      </c>
      <c r="CX201" s="110"/>
      <c r="CY201" s="80" t="s">
        <v>2568</v>
      </c>
      <c r="CZ201" s="73">
        <f t="shared" ca="1" si="972"/>
        <v>0</v>
      </c>
      <c r="DA201" s="110"/>
      <c r="DB201" s="80" t="s">
        <v>2052</v>
      </c>
      <c r="DC201" s="73">
        <f t="shared" ca="1" si="972"/>
        <v>0</v>
      </c>
      <c r="DD201" s="110"/>
      <c r="DE201" s="80" t="s">
        <v>2597</v>
      </c>
      <c r="DF201" s="73">
        <f t="shared" ca="1" si="972"/>
        <v>0</v>
      </c>
      <c r="DG201" s="110"/>
      <c r="DH201" s="80" t="s">
        <v>1981</v>
      </c>
      <c r="DI201" s="73">
        <f t="shared" ca="1" si="972"/>
        <v>0</v>
      </c>
      <c r="DJ201" s="110"/>
      <c r="DK201" s="80" t="s">
        <v>2190</v>
      </c>
      <c r="DL201" s="73">
        <f t="shared" ca="1" si="972"/>
        <v>0</v>
      </c>
      <c r="DM201" s="110"/>
      <c r="DN201" s="797" t="s">
        <v>2018</v>
      </c>
      <c r="DO201" s="73">
        <f t="shared" ca="1" si="972"/>
        <v>0</v>
      </c>
      <c r="DP201" s="110"/>
      <c r="DQ201" s="797" t="s">
        <v>2661</v>
      </c>
      <c r="DR201" s="73">
        <f t="shared" ca="1" si="972"/>
        <v>0</v>
      </c>
      <c r="DS201" s="110"/>
      <c r="DT201" s="80" t="s">
        <v>2597</v>
      </c>
      <c r="DU201" s="73">
        <f t="shared" ca="1" si="972"/>
        <v>0</v>
      </c>
      <c r="DV201" s="110"/>
      <c r="DW201" s="80" t="s">
        <v>2190</v>
      </c>
      <c r="DX201" s="73">
        <f t="shared" ca="1" si="972"/>
        <v>0</v>
      </c>
      <c r="DY201" s="110"/>
      <c r="DZ201" s="80" t="s">
        <v>2597</v>
      </c>
      <c r="EA201" s="73">
        <f t="shared" ca="1" si="972"/>
        <v>0</v>
      </c>
      <c r="EB201" s="110"/>
      <c r="EC201" s="80" t="s">
        <v>2597</v>
      </c>
      <c r="ED201" s="73">
        <f t="shared" ca="1" si="972"/>
        <v>0</v>
      </c>
      <c r="EE201" s="110"/>
      <c r="EF201" s="80" t="s">
        <v>2742</v>
      </c>
      <c r="EG201" s="73">
        <f t="shared" ca="1" si="972"/>
        <v>0</v>
      </c>
      <c r="EH201" s="110"/>
      <c r="EI201" s="80" t="s">
        <v>2052</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49"/>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2019</v>
      </c>
      <c r="W202" s="73">
        <f t="shared" ca="1" si="950"/>
        <v>0</v>
      </c>
      <c r="X202" s="110"/>
      <c r="Y202" s="80" t="s">
        <v>2053</v>
      </c>
      <c r="Z202" s="73">
        <f t="shared" ca="1" si="950"/>
        <v>0</v>
      </c>
      <c r="AA202" s="110"/>
      <c r="AB202" s="80" t="s">
        <v>2053</v>
      </c>
      <c r="AC202" s="73">
        <f t="shared" ca="1" si="950"/>
        <v>0</v>
      </c>
      <c r="AD202" s="110"/>
      <c r="AE202" s="80" t="s">
        <v>2107</v>
      </c>
      <c r="AF202" s="73">
        <f t="shared" ca="1" si="950"/>
        <v>0</v>
      </c>
      <c r="AG202" s="110"/>
      <c r="AH202" s="80" t="s">
        <v>2135</v>
      </c>
      <c r="AI202" s="73">
        <f t="shared" ca="1" si="950"/>
        <v>0</v>
      </c>
      <c r="AJ202" s="110"/>
      <c r="AK202" s="80" t="s">
        <v>2160</v>
      </c>
      <c r="AL202" s="73">
        <f t="shared" ca="1" si="950"/>
        <v>0</v>
      </c>
      <c r="AM202" s="110"/>
      <c r="AN202" s="80" t="s">
        <v>2191</v>
      </c>
      <c r="AO202" s="73">
        <f t="shared" ca="1" si="950"/>
        <v>0</v>
      </c>
      <c r="AP202" s="110"/>
      <c r="AQ202" s="80" t="s">
        <v>1982</v>
      </c>
      <c r="AR202" s="73">
        <f t="shared" ca="1" si="950"/>
        <v>0</v>
      </c>
      <c r="AS202" s="110"/>
      <c r="AT202" s="80" t="s">
        <v>2241</v>
      </c>
      <c r="AU202" s="73">
        <f t="shared" ca="1" si="950"/>
        <v>0</v>
      </c>
      <c r="AV202" s="110"/>
      <c r="AW202" s="80" t="s">
        <v>2265</v>
      </c>
      <c r="AX202" s="73">
        <f t="shared" ca="1" si="950"/>
        <v>0</v>
      </c>
      <c r="AY202" s="110"/>
      <c r="AZ202" s="80" t="s">
        <v>1982</v>
      </c>
      <c r="BA202" s="73">
        <f t="shared" ca="1" si="950"/>
        <v>0</v>
      </c>
      <c r="BB202" s="110"/>
      <c r="BC202" s="80" t="s">
        <v>2311</v>
      </c>
      <c r="BD202" s="73">
        <f t="shared" ca="1" si="950"/>
        <v>0</v>
      </c>
      <c r="BE202" s="110"/>
      <c r="BF202" s="80" t="s">
        <v>2053</v>
      </c>
      <c r="BG202" s="73">
        <f t="shared" ca="1" si="950"/>
        <v>0</v>
      </c>
      <c r="BH202" s="110"/>
      <c r="BI202" s="80" t="s">
        <v>2352</v>
      </c>
      <c r="BJ202" s="73">
        <f t="shared" ca="1" si="950"/>
        <v>0</v>
      </c>
      <c r="BK202" s="110"/>
      <c r="BL202" s="80" t="s">
        <v>2372</v>
      </c>
      <c r="BM202" s="73">
        <f t="shared" ca="1" si="950"/>
        <v>0</v>
      </c>
      <c r="BN202" s="110"/>
      <c r="BO202" s="80" t="s">
        <v>2385</v>
      </c>
      <c r="BP202" s="73">
        <f t="shared" ca="1" si="950"/>
        <v>0</v>
      </c>
      <c r="BQ202" s="110"/>
      <c r="BR202" s="80" t="s">
        <v>2241</v>
      </c>
      <c r="BS202" s="73">
        <f t="shared" ca="1" si="950"/>
        <v>0</v>
      </c>
      <c r="BT202" s="110"/>
      <c r="BU202" s="80" t="s">
        <v>2413</v>
      </c>
      <c r="BV202" s="73">
        <f t="shared" ca="1" si="950"/>
        <v>0</v>
      </c>
      <c r="BW202" s="110"/>
      <c r="BX202" s="80" t="s">
        <v>2372</v>
      </c>
      <c r="BY202" s="73">
        <f t="shared" ca="1" si="950"/>
        <v>0</v>
      </c>
      <c r="BZ202" s="110"/>
      <c r="CA202" s="80" t="s">
        <v>2450</v>
      </c>
      <c r="CB202" s="73">
        <f t="shared" ca="1" si="950"/>
        <v>0</v>
      </c>
      <c r="CC202" s="110"/>
      <c r="CD202" s="80" t="s">
        <v>2191</v>
      </c>
      <c r="CE202" s="73">
        <f t="shared" ca="1" si="950"/>
        <v>0</v>
      </c>
      <c r="CF202" s="110"/>
      <c r="CG202" s="80" t="s">
        <v>2487</v>
      </c>
      <c r="CH202" s="73">
        <f t="shared" ca="1" si="950"/>
        <v>0</v>
      </c>
      <c r="CI202" s="110"/>
      <c r="CJ202" s="80" t="s">
        <v>2505</v>
      </c>
      <c r="CK202" s="73">
        <f t="shared" ca="1" si="972"/>
        <v>0</v>
      </c>
      <c r="CL202" s="110"/>
      <c r="CM202" s="80" t="s">
        <v>2191</v>
      </c>
      <c r="CN202" s="73">
        <f t="shared" ca="1" si="972"/>
        <v>0</v>
      </c>
      <c r="CO202" s="110"/>
      <c r="CP202" s="80" t="s">
        <v>2107</v>
      </c>
      <c r="CQ202" s="73">
        <f t="shared" ca="1" si="972"/>
        <v>0</v>
      </c>
      <c r="CR202" s="110"/>
      <c r="CS202" s="80" t="s">
        <v>2385</v>
      </c>
      <c r="CT202" s="73">
        <f t="shared" ca="1" si="972"/>
        <v>0</v>
      </c>
      <c r="CU202" s="110"/>
      <c r="CV202" s="80" t="s">
        <v>2107</v>
      </c>
      <c r="CW202" s="73">
        <f t="shared" ca="1" si="972"/>
        <v>0</v>
      </c>
      <c r="CX202" s="110"/>
      <c r="CY202" s="80" t="s">
        <v>2569</v>
      </c>
      <c r="CZ202" s="73">
        <f t="shared" ca="1" si="972"/>
        <v>2</v>
      </c>
      <c r="DA202" s="110"/>
      <c r="DB202" s="80" t="s">
        <v>2584</v>
      </c>
      <c r="DC202" s="73">
        <f t="shared" ca="1" si="972"/>
        <v>0</v>
      </c>
      <c r="DD202" s="110"/>
      <c r="DE202" s="80" t="s">
        <v>2241</v>
      </c>
      <c r="DF202" s="73">
        <f t="shared" ca="1" si="972"/>
        <v>0</v>
      </c>
      <c r="DG202" s="110"/>
      <c r="DH202" s="80" t="s">
        <v>2614</v>
      </c>
      <c r="DI202" s="73">
        <f t="shared" ca="1" si="972"/>
        <v>0</v>
      </c>
      <c r="DJ202" s="110"/>
      <c r="DK202" s="80" t="s">
        <v>2630</v>
      </c>
      <c r="DL202" s="73">
        <f t="shared" ca="1" si="972"/>
        <v>0</v>
      </c>
      <c r="DM202" s="110"/>
      <c r="DN202" s="797" t="s">
        <v>2505</v>
      </c>
      <c r="DO202" s="73">
        <f t="shared" ca="1" si="972"/>
        <v>0</v>
      </c>
      <c r="DP202" s="110"/>
      <c r="DQ202" s="797" t="s">
        <v>2662</v>
      </c>
      <c r="DR202" s="73">
        <f t="shared" ca="1" si="972"/>
        <v>0</v>
      </c>
      <c r="DS202" s="110"/>
      <c r="DT202" s="80" t="s">
        <v>2686</v>
      </c>
      <c r="DU202" s="73">
        <f t="shared" ca="1" si="972"/>
        <v>0</v>
      </c>
      <c r="DV202" s="110"/>
      <c r="DW202" s="80" t="s">
        <v>2704</v>
      </c>
      <c r="DX202" s="73">
        <f t="shared" ca="1" si="972"/>
        <v>4</v>
      </c>
      <c r="DY202" s="110"/>
      <c r="DZ202" s="80" t="s">
        <v>2505</v>
      </c>
      <c r="EA202" s="73">
        <f t="shared" ca="1" si="972"/>
        <v>0</v>
      </c>
      <c r="EB202" s="110"/>
      <c r="EC202" s="80" t="s">
        <v>2160</v>
      </c>
      <c r="ED202" s="73">
        <f t="shared" ca="1" si="972"/>
        <v>0</v>
      </c>
      <c r="EE202" s="110"/>
      <c r="EF202" s="80" t="s">
        <v>2743</v>
      </c>
      <c r="EG202" s="73">
        <f t="shared" ca="1" si="972"/>
        <v>0</v>
      </c>
      <c r="EH202" s="110"/>
      <c r="EI202" s="80" t="s">
        <v>2757</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49"/>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2020</v>
      </c>
      <c r="W203" s="73">
        <f t="shared" ca="1" si="950"/>
        <v>0</v>
      </c>
      <c r="X203" s="110"/>
      <c r="Y203" s="80" t="s">
        <v>2054</v>
      </c>
      <c r="Z203" s="73">
        <f t="shared" ca="1" si="950"/>
        <v>2</v>
      </c>
      <c r="AA203" s="110"/>
      <c r="AB203" s="80" t="s">
        <v>2079</v>
      </c>
      <c r="AC203" s="73">
        <f t="shared" ca="1" si="950"/>
        <v>1</v>
      </c>
      <c r="AD203" s="110"/>
      <c r="AE203" s="80" t="s">
        <v>2054</v>
      </c>
      <c r="AF203" s="73">
        <f t="shared" ca="1" si="950"/>
        <v>2</v>
      </c>
      <c r="AG203" s="110"/>
      <c r="AH203" s="80" t="s">
        <v>2136</v>
      </c>
      <c r="AI203" s="73">
        <f t="shared" ca="1" si="950"/>
        <v>0</v>
      </c>
      <c r="AJ203" s="110"/>
      <c r="AK203" s="80" t="s">
        <v>2161</v>
      </c>
      <c r="AL203" s="73">
        <f t="shared" ca="1" si="950"/>
        <v>0</v>
      </c>
      <c r="AM203" s="110"/>
      <c r="AN203" s="80" t="s">
        <v>2192</v>
      </c>
      <c r="AO203" s="73">
        <f t="shared" ca="1" si="950"/>
        <v>0</v>
      </c>
      <c r="AP203" s="110"/>
      <c r="AQ203" s="80" t="s">
        <v>2221</v>
      </c>
      <c r="AR203" s="73">
        <f t="shared" ca="1" si="950"/>
        <v>1</v>
      </c>
      <c r="AS203" s="110"/>
      <c r="AT203" s="80" t="s">
        <v>2242</v>
      </c>
      <c r="AU203" s="73">
        <f t="shared" ca="1" si="950"/>
        <v>0</v>
      </c>
      <c r="AV203" s="110"/>
      <c r="AW203" s="80" t="s">
        <v>2266</v>
      </c>
      <c r="AX203" s="73">
        <f t="shared" ca="1" si="950"/>
        <v>0</v>
      </c>
      <c r="AY203" s="110"/>
      <c r="AZ203" s="80" t="s">
        <v>2020</v>
      </c>
      <c r="BA203" s="73">
        <f t="shared" ca="1" si="950"/>
        <v>0</v>
      </c>
      <c r="BB203" s="110"/>
      <c r="BC203" s="80" t="s">
        <v>2312</v>
      </c>
      <c r="BD203" s="73">
        <f t="shared" ca="1" si="950"/>
        <v>0</v>
      </c>
      <c r="BE203" s="110"/>
      <c r="BF203" s="80" t="s">
        <v>2079</v>
      </c>
      <c r="BG203" s="73">
        <f t="shared" ca="1" si="950"/>
        <v>1</v>
      </c>
      <c r="BH203" s="110"/>
      <c r="BI203" s="80" t="s">
        <v>2079</v>
      </c>
      <c r="BJ203" s="73">
        <f t="shared" ca="1" si="950"/>
        <v>1</v>
      </c>
      <c r="BK203" s="110"/>
      <c r="BL203" s="80" t="s">
        <v>2373</v>
      </c>
      <c r="BM203" s="73">
        <f t="shared" ca="1" si="950"/>
        <v>2</v>
      </c>
      <c r="BN203" s="110"/>
      <c r="BO203" s="80" t="s">
        <v>2373</v>
      </c>
      <c r="BP203" s="73">
        <f t="shared" ca="1" si="950"/>
        <v>2</v>
      </c>
      <c r="BQ203" s="110"/>
      <c r="BR203" s="80" t="s">
        <v>2373</v>
      </c>
      <c r="BS203" s="73">
        <f t="shared" ca="1" si="950"/>
        <v>2</v>
      </c>
      <c r="BT203" s="110"/>
      <c r="BU203" s="80" t="s">
        <v>2414</v>
      </c>
      <c r="BV203" s="73">
        <f t="shared" ca="1" si="950"/>
        <v>0</v>
      </c>
      <c r="BW203" s="110"/>
      <c r="BX203" s="80" t="s">
        <v>2054</v>
      </c>
      <c r="BY203" s="73">
        <f t="shared" ca="1" si="950"/>
        <v>2</v>
      </c>
      <c r="BZ203" s="110"/>
      <c r="CA203" s="80" t="s">
        <v>2451</v>
      </c>
      <c r="CB203" s="73">
        <f t="shared" ca="1" si="950"/>
        <v>0</v>
      </c>
      <c r="CC203" s="110"/>
      <c r="CD203" s="80" t="s">
        <v>2472</v>
      </c>
      <c r="CE203" s="73">
        <f t="shared" ca="1" si="950"/>
        <v>0</v>
      </c>
      <c r="CF203" s="110"/>
      <c r="CG203" s="80" t="s">
        <v>2488</v>
      </c>
      <c r="CH203" s="73">
        <f t="shared" ca="1" si="950"/>
        <v>0</v>
      </c>
      <c r="CI203" s="110"/>
      <c r="CJ203" s="80" t="s">
        <v>2054</v>
      </c>
      <c r="CK203" s="73">
        <f t="shared" ca="1" si="972"/>
        <v>2</v>
      </c>
      <c r="CL203" s="110"/>
      <c r="CM203" s="80" t="s">
        <v>2079</v>
      </c>
      <c r="CN203" s="73">
        <f t="shared" ca="1" si="972"/>
        <v>1</v>
      </c>
      <c r="CO203" s="110"/>
      <c r="CP203" s="80" t="s">
        <v>2054</v>
      </c>
      <c r="CQ203" s="73">
        <f t="shared" ca="1" si="972"/>
        <v>2</v>
      </c>
      <c r="CR203" s="110"/>
      <c r="CS203" s="80" t="s">
        <v>2373</v>
      </c>
      <c r="CT203" s="73">
        <f t="shared" ca="1" si="972"/>
        <v>2</v>
      </c>
      <c r="CU203" s="110"/>
      <c r="CV203" s="80" t="s">
        <v>2079</v>
      </c>
      <c r="CW203" s="73">
        <f t="shared" ca="1" si="972"/>
        <v>1</v>
      </c>
      <c r="CX203" s="110"/>
      <c r="CY203" s="80" t="s">
        <v>2373</v>
      </c>
      <c r="CZ203" s="73">
        <f t="shared" ca="1" si="972"/>
        <v>2</v>
      </c>
      <c r="DA203" s="110"/>
      <c r="DB203" s="80" t="s">
        <v>2079</v>
      </c>
      <c r="DC203" s="73">
        <f t="shared" ca="1" si="972"/>
        <v>1</v>
      </c>
      <c r="DD203" s="110"/>
      <c r="DE203" s="80" t="s">
        <v>2598</v>
      </c>
      <c r="DF203" s="73">
        <f t="shared" ca="1" si="972"/>
        <v>0</v>
      </c>
      <c r="DG203" s="110"/>
      <c r="DH203" s="80" t="s">
        <v>2615</v>
      </c>
      <c r="DI203" s="73">
        <f t="shared" ca="1" si="972"/>
        <v>0</v>
      </c>
      <c r="DJ203" s="110"/>
      <c r="DK203" s="80" t="s">
        <v>2631</v>
      </c>
      <c r="DL203" s="73">
        <f t="shared" ca="1" si="972"/>
        <v>0</v>
      </c>
      <c r="DM203" s="110"/>
      <c r="DN203" s="797" t="s">
        <v>2642</v>
      </c>
      <c r="DO203" s="73">
        <f t="shared" ca="1" si="972"/>
        <v>0</v>
      </c>
      <c r="DP203" s="110"/>
      <c r="DQ203" s="797" t="s">
        <v>2663</v>
      </c>
      <c r="DR203" s="73">
        <f t="shared" ca="1" si="972"/>
        <v>0</v>
      </c>
      <c r="DS203" s="110"/>
      <c r="DT203" s="80" t="s">
        <v>2687</v>
      </c>
      <c r="DU203" s="73">
        <f t="shared" ca="1" si="972"/>
        <v>0</v>
      </c>
      <c r="DV203" s="110"/>
      <c r="DW203" s="80" t="s">
        <v>2242</v>
      </c>
      <c r="DX203" s="73">
        <f t="shared" ca="1" si="972"/>
        <v>0</v>
      </c>
      <c r="DY203" s="110"/>
      <c r="DZ203" s="80" t="s">
        <v>2242</v>
      </c>
      <c r="EA203" s="73">
        <f t="shared" ca="1" si="972"/>
        <v>0</v>
      </c>
      <c r="EB203" s="110"/>
      <c r="EC203" s="80" t="s">
        <v>2079</v>
      </c>
      <c r="ED203" s="73">
        <f t="shared" ca="1" si="972"/>
        <v>1</v>
      </c>
      <c r="EE203" s="110"/>
      <c r="EF203" s="80" t="s">
        <v>2054</v>
      </c>
      <c r="EG203" s="73">
        <f t="shared" ca="1" si="972"/>
        <v>2</v>
      </c>
      <c r="EH203" s="110"/>
      <c r="EI203" s="80" t="s">
        <v>2373</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49"/>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2021</v>
      </c>
      <c r="W204" s="73">
        <f t="shared" ca="1" si="950"/>
        <v>0</v>
      </c>
      <c r="X204" s="110"/>
      <c r="Y204" s="80" t="s">
        <v>2055</v>
      </c>
      <c r="Z204" s="73">
        <f t="shared" ca="1" si="950"/>
        <v>0</v>
      </c>
      <c r="AA204" s="110"/>
      <c r="AB204" s="80" t="s">
        <v>2055</v>
      </c>
      <c r="AC204" s="73">
        <f t="shared" ca="1" si="950"/>
        <v>0</v>
      </c>
      <c r="AD204" s="110"/>
      <c r="AE204" s="80" t="s">
        <v>2108</v>
      </c>
      <c r="AF204" s="73">
        <f t="shared" ca="1" si="950"/>
        <v>0</v>
      </c>
      <c r="AG204" s="110"/>
      <c r="AH204" s="80" t="s">
        <v>2137</v>
      </c>
      <c r="AI204" s="73">
        <f t="shared" ca="1" si="950"/>
        <v>0</v>
      </c>
      <c r="AJ204" s="110"/>
      <c r="AK204" s="80" t="s">
        <v>2162</v>
      </c>
      <c r="AL204" s="73">
        <f t="shared" ca="1" si="950"/>
        <v>0</v>
      </c>
      <c r="AM204" s="110"/>
      <c r="AN204" s="80" t="s">
        <v>2193</v>
      </c>
      <c r="AO204" s="73">
        <f t="shared" ca="1" si="950"/>
        <v>0</v>
      </c>
      <c r="AP204" s="110"/>
      <c r="AQ204" s="80" t="s">
        <v>2055</v>
      </c>
      <c r="AR204" s="73">
        <f t="shared" ca="1" si="950"/>
        <v>0</v>
      </c>
      <c r="AS204" s="110"/>
      <c r="AT204" s="80" t="s">
        <v>2162</v>
      </c>
      <c r="AU204" s="73">
        <f t="shared" ca="1" si="950"/>
        <v>0</v>
      </c>
      <c r="AV204" s="110"/>
      <c r="AW204" s="80" t="s">
        <v>2267</v>
      </c>
      <c r="AX204" s="73">
        <f t="shared" ca="1" si="950"/>
        <v>0</v>
      </c>
      <c r="AY204" s="110"/>
      <c r="AZ204" s="80" t="s">
        <v>2288</v>
      </c>
      <c r="BA204" s="73">
        <f t="shared" ca="1" si="950"/>
        <v>0</v>
      </c>
      <c r="BB204" s="110"/>
      <c r="BC204" s="80" t="s">
        <v>2313</v>
      </c>
      <c r="BD204" s="73">
        <f t="shared" ca="1" si="950"/>
        <v>0</v>
      </c>
      <c r="BE204" s="110"/>
      <c r="BF204" s="80" t="s">
        <v>2337</v>
      </c>
      <c r="BG204" s="73">
        <f t="shared" ca="1" si="950"/>
        <v>0</v>
      </c>
      <c r="BH204" s="110"/>
      <c r="BI204" s="80" t="s">
        <v>2055</v>
      </c>
      <c r="BJ204" s="73">
        <f t="shared" ca="1" si="950"/>
        <v>0</v>
      </c>
      <c r="BK204" s="110"/>
      <c r="BL204" s="80" t="s">
        <v>2337</v>
      </c>
      <c r="BM204" s="73">
        <f t="shared" ca="1" si="950"/>
        <v>0</v>
      </c>
      <c r="BN204" s="110"/>
      <c r="BO204" s="80" t="s">
        <v>2021</v>
      </c>
      <c r="BP204" s="73">
        <f t="shared" ca="1" si="950"/>
        <v>0</v>
      </c>
      <c r="BQ204" s="110"/>
      <c r="BR204" s="80" t="s">
        <v>2162</v>
      </c>
      <c r="BS204" s="73">
        <f t="shared" ca="1" si="950"/>
        <v>0</v>
      </c>
      <c r="BT204" s="110"/>
      <c r="BU204" s="80" t="s">
        <v>2162</v>
      </c>
      <c r="BV204" s="73">
        <f t="shared" ca="1" si="950"/>
        <v>0</v>
      </c>
      <c r="BW204" s="110"/>
      <c r="BX204" s="80" t="s">
        <v>2431</v>
      </c>
      <c r="BY204" s="73">
        <f t="shared" ca="1" si="950"/>
        <v>0</v>
      </c>
      <c r="BZ204" s="110"/>
      <c r="CA204" s="80" t="s">
        <v>2452</v>
      </c>
      <c r="CB204" s="73">
        <f t="shared" ca="1" si="950"/>
        <v>0</v>
      </c>
      <c r="CC204" s="110"/>
      <c r="CD204" s="80" t="s">
        <v>2473</v>
      </c>
      <c r="CE204" s="73">
        <f t="shared" ca="1" si="950"/>
        <v>0</v>
      </c>
      <c r="CF204" s="110"/>
      <c r="CG204" s="80" t="s">
        <v>2489</v>
      </c>
      <c r="CH204" s="73">
        <f t="shared" ca="1" si="950"/>
        <v>0</v>
      </c>
      <c r="CI204" s="110"/>
      <c r="CJ204" s="80" t="s">
        <v>2489</v>
      </c>
      <c r="CK204" s="73">
        <f t="shared" ca="1" si="972"/>
        <v>0</v>
      </c>
      <c r="CL204" s="110"/>
      <c r="CM204" s="80" t="s">
        <v>2162</v>
      </c>
      <c r="CN204" s="73">
        <f t="shared" ca="1" si="972"/>
        <v>0</v>
      </c>
      <c r="CO204" s="110"/>
      <c r="CP204" s="80" t="s">
        <v>2162</v>
      </c>
      <c r="CQ204" s="73">
        <f t="shared" ca="1" si="972"/>
        <v>0</v>
      </c>
      <c r="CR204" s="110"/>
      <c r="CS204" s="80" t="s">
        <v>2489</v>
      </c>
      <c r="CT204" s="73">
        <f t="shared" ca="1" si="972"/>
        <v>0</v>
      </c>
      <c r="CU204" s="110"/>
      <c r="CV204" s="80" t="s">
        <v>2549</v>
      </c>
      <c r="CW204" s="73">
        <f t="shared" ca="1" si="972"/>
        <v>0</v>
      </c>
      <c r="CX204" s="110"/>
      <c r="CY204" s="80" t="s">
        <v>2162</v>
      </c>
      <c r="CZ204" s="73">
        <f t="shared" ca="1" si="972"/>
        <v>0</v>
      </c>
      <c r="DA204" s="110"/>
      <c r="DB204" s="80" t="s">
        <v>2162</v>
      </c>
      <c r="DC204" s="73">
        <f t="shared" ca="1" si="972"/>
        <v>0</v>
      </c>
      <c r="DD204" s="110"/>
      <c r="DE204" s="80" t="s">
        <v>2108</v>
      </c>
      <c r="DF204" s="73">
        <f t="shared" ca="1" si="972"/>
        <v>0</v>
      </c>
      <c r="DG204" s="110"/>
      <c r="DH204" s="80" t="s">
        <v>2162</v>
      </c>
      <c r="DI204" s="73">
        <f t="shared" ca="1" si="972"/>
        <v>0</v>
      </c>
      <c r="DJ204" s="110"/>
      <c r="DK204" s="80" t="s">
        <v>2632</v>
      </c>
      <c r="DL204" s="73">
        <f t="shared" ca="1" si="972"/>
        <v>0</v>
      </c>
      <c r="DM204" s="110"/>
      <c r="DN204" s="797" t="s">
        <v>2643</v>
      </c>
      <c r="DO204" s="73">
        <f t="shared" ca="1" si="972"/>
        <v>0</v>
      </c>
      <c r="DP204" s="110"/>
      <c r="DQ204" s="797" t="s">
        <v>2664</v>
      </c>
      <c r="DR204" s="73">
        <f t="shared" ca="1" si="972"/>
        <v>0</v>
      </c>
      <c r="DS204" s="110"/>
      <c r="DT204" s="80" t="s">
        <v>2688</v>
      </c>
      <c r="DU204" s="73">
        <f t="shared" ca="1" si="972"/>
        <v>2</v>
      </c>
      <c r="DV204" s="110"/>
      <c r="DW204" s="80" t="s">
        <v>2705</v>
      </c>
      <c r="DX204" s="73">
        <f t="shared" ca="1" si="972"/>
        <v>0</v>
      </c>
      <c r="DY204" s="110"/>
      <c r="DZ204" s="80" t="s">
        <v>2288</v>
      </c>
      <c r="EA204" s="73">
        <f t="shared" ca="1" si="972"/>
        <v>0</v>
      </c>
      <c r="EB204" s="110"/>
      <c r="EC204" s="80" t="s">
        <v>2021</v>
      </c>
      <c r="ED204" s="73">
        <f t="shared" ca="1" si="972"/>
        <v>0</v>
      </c>
      <c r="EE204" s="110"/>
      <c r="EF204" s="80" t="s">
        <v>2055</v>
      </c>
      <c r="EG204" s="73">
        <f t="shared" ca="1" si="972"/>
        <v>0</v>
      </c>
      <c r="EH204" s="110"/>
      <c r="EI204" s="80" t="s">
        <v>2055</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49"/>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2022</v>
      </c>
      <c r="W205" s="73">
        <f t="shared" ca="1" si="950"/>
        <v>0</v>
      </c>
      <c r="X205" s="110"/>
      <c r="Y205" s="80" t="s">
        <v>2056</v>
      </c>
      <c r="Z205" s="73">
        <f t="shared" ca="1" si="950"/>
        <v>0</v>
      </c>
      <c r="AA205" s="110"/>
      <c r="AB205" s="80" t="s">
        <v>2080</v>
      </c>
      <c r="AC205" s="73">
        <f t="shared" ca="1" si="950"/>
        <v>0</v>
      </c>
      <c r="AD205" s="110"/>
      <c r="AE205" s="80" t="s">
        <v>2109</v>
      </c>
      <c r="AF205" s="73">
        <f t="shared" ca="1" si="950"/>
        <v>1</v>
      </c>
      <c r="AG205" s="110"/>
      <c r="AH205" s="80" t="s">
        <v>2138</v>
      </c>
      <c r="AI205" s="73">
        <f t="shared" ca="1" si="950"/>
        <v>1</v>
      </c>
      <c r="AJ205" s="110"/>
      <c r="AK205" s="80" t="s">
        <v>2163</v>
      </c>
      <c r="AL205" s="73">
        <f t="shared" ca="1" si="950"/>
        <v>0</v>
      </c>
      <c r="AM205" s="110"/>
      <c r="AN205" s="80" t="s">
        <v>2194</v>
      </c>
      <c r="AO205" s="73">
        <f t="shared" ca="1" si="950"/>
        <v>0</v>
      </c>
      <c r="AP205" s="110"/>
      <c r="AQ205" s="80" t="s">
        <v>2109</v>
      </c>
      <c r="AR205" s="73">
        <f t="shared" ca="1" si="950"/>
        <v>1</v>
      </c>
      <c r="AS205" s="110"/>
      <c r="AT205" s="80" t="s">
        <v>2243</v>
      </c>
      <c r="AU205" s="73">
        <f t="shared" ca="1" si="950"/>
        <v>0</v>
      </c>
      <c r="AV205" s="110"/>
      <c r="AW205" s="80" t="s">
        <v>2194</v>
      </c>
      <c r="AX205" s="73">
        <f t="shared" ca="1" si="950"/>
        <v>0</v>
      </c>
      <c r="AY205" s="110"/>
      <c r="AZ205" s="80" t="s">
        <v>2289</v>
      </c>
      <c r="BA205" s="73">
        <f t="shared" ca="1" si="950"/>
        <v>0</v>
      </c>
      <c r="BB205" s="110"/>
      <c r="BC205" s="80" t="s">
        <v>2314</v>
      </c>
      <c r="BD205" s="73">
        <f t="shared" ca="1" si="950"/>
        <v>0</v>
      </c>
      <c r="BE205" s="110"/>
      <c r="BF205" s="80" t="s">
        <v>2338</v>
      </c>
      <c r="BG205" s="73">
        <f t="shared" ca="1" si="950"/>
        <v>1</v>
      </c>
      <c r="BH205" s="110"/>
      <c r="BI205" s="80" t="s">
        <v>2353</v>
      </c>
      <c r="BJ205" s="73">
        <f t="shared" ca="1" si="950"/>
        <v>0</v>
      </c>
      <c r="BK205" s="110"/>
      <c r="BL205" s="80" t="s">
        <v>2374</v>
      </c>
      <c r="BM205" s="73">
        <f t="shared" ca="1" si="950"/>
        <v>0</v>
      </c>
      <c r="BN205" s="110"/>
      <c r="BO205" s="80" t="s">
        <v>2080</v>
      </c>
      <c r="BP205" s="73">
        <f t="shared" ca="1" si="950"/>
        <v>0</v>
      </c>
      <c r="BQ205" s="110"/>
      <c r="BR205" s="80" t="s">
        <v>2289</v>
      </c>
      <c r="BS205" s="73">
        <f t="shared" ca="1" si="950"/>
        <v>0</v>
      </c>
      <c r="BT205" s="110"/>
      <c r="BU205" s="80" t="s">
        <v>2415</v>
      </c>
      <c r="BV205" s="73">
        <f t="shared" ca="1" si="950"/>
        <v>0</v>
      </c>
      <c r="BW205" s="110"/>
      <c r="BX205" s="80" t="s">
        <v>2432</v>
      </c>
      <c r="BY205" s="73">
        <f t="shared" ca="1" si="950"/>
        <v>0</v>
      </c>
      <c r="BZ205" s="110"/>
      <c r="CA205" s="80" t="s">
        <v>2415</v>
      </c>
      <c r="CB205" s="73">
        <f t="shared" ca="1" si="950"/>
        <v>0</v>
      </c>
      <c r="CC205" s="110"/>
      <c r="CD205" s="80" t="s">
        <v>2080</v>
      </c>
      <c r="CE205" s="73">
        <f t="shared" ca="1" si="950"/>
        <v>0</v>
      </c>
      <c r="CF205" s="110"/>
      <c r="CG205" s="80" t="s">
        <v>2490</v>
      </c>
      <c r="CH205" s="73">
        <f t="shared" ca="1" si="950"/>
        <v>0</v>
      </c>
      <c r="CI205" s="110"/>
      <c r="CJ205" s="80" t="s">
        <v>2109</v>
      </c>
      <c r="CK205" s="73">
        <f t="shared" ca="1" si="972"/>
        <v>1</v>
      </c>
      <c r="CL205" s="110"/>
      <c r="CM205" s="80" t="s">
        <v>2516</v>
      </c>
      <c r="CN205" s="73">
        <f t="shared" ca="1" si="972"/>
        <v>0</v>
      </c>
      <c r="CO205" s="110"/>
      <c r="CP205" s="80" t="s">
        <v>2289</v>
      </c>
      <c r="CQ205" s="73">
        <f t="shared" ca="1" si="972"/>
        <v>0</v>
      </c>
      <c r="CR205" s="110"/>
      <c r="CS205" s="80" t="s">
        <v>2314</v>
      </c>
      <c r="CT205" s="73">
        <f t="shared" ca="1" si="972"/>
        <v>0</v>
      </c>
      <c r="CU205" s="110"/>
      <c r="CV205" s="80" t="s">
        <v>2415</v>
      </c>
      <c r="CW205" s="73">
        <f t="shared" ca="1" si="972"/>
        <v>0</v>
      </c>
      <c r="CX205" s="110"/>
      <c r="CY205" s="80" t="s">
        <v>2570</v>
      </c>
      <c r="CZ205" s="73">
        <f t="shared" ca="1" si="972"/>
        <v>0</v>
      </c>
      <c r="DA205" s="110"/>
      <c r="DB205" s="80" t="s">
        <v>2415</v>
      </c>
      <c r="DC205" s="73">
        <f t="shared" ca="1" si="972"/>
        <v>0</v>
      </c>
      <c r="DD205" s="110"/>
      <c r="DE205" s="80" t="s">
        <v>2163</v>
      </c>
      <c r="DF205" s="73">
        <f t="shared" ca="1" si="972"/>
        <v>0</v>
      </c>
      <c r="DG205" s="110"/>
      <c r="DH205" s="80" t="s">
        <v>2616</v>
      </c>
      <c r="DI205" s="73">
        <f t="shared" ca="1" si="972"/>
        <v>0</v>
      </c>
      <c r="DJ205" s="110"/>
      <c r="DK205" s="80" t="s">
        <v>2289</v>
      </c>
      <c r="DL205" s="73">
        <f t="shared" ca="1" si="972"/>
        <v>0</v>
      </c>
      <c r="DM205" s="110"/>
      <c r="DN205" s="797" t="s">
        <v>2616</v>
      </c>
      <c r="DO205" s="73">
        <f t="shared" ca="1" si="972"/>
        <v>0</v>
      </c>
      <c r="DP205" s="110"/>
      <c r="DQ205" s="797" t="s">
        <v>2665</v>
      </c>
      <c r="DR205" s="73">
        <f t="shared" ca="1" si="972"/>
        <v>0</v>
      </c>
      <c r="DS205" s="110"/>
      <c r="DT205" s="80" t="s">
        <v>2338</v>
      </c>
      <c r="DU205" s="73">
        <f t="shared" ca="1" si="972"/>
        <v>1</v>
      </c>
      <c r="DV205" s="110"/>
      <c r="DW205" s="80" t="s">
        <v>2706</v>
      </c>
      <c r="DX205" s="73">
        <f t="shared" ca="1" si="972"/>
        <v>0</v>
      </c>
      <c r="DY205" s="110"/>
      <c r="DZ205" s="80" t="s">
        <v>2721</v>
      </c>
      <c r="EA205" s="73">
        <f t="shared" ca="1" si="972"/>
        <v>0</v>
      </c>
      <c r="EB205" s="110"/>
      <c r="EC205" s="80" t="s">
        <v>2353</v>
      </c>
      <c r="ED205" s="73">
        <f t="shared" ca="1" si="972"/>
        <v>0</v>
      </c>
      <c r="EE205" s="110"/>
      <c r="EF205" s="80" t="s">
        <v>2374</v>
      </c>
      <c r="EG205" s="73">
        <f t="shared" ca="1" si="972"/>
        <v>0</v>
      </c>
      <c r="EH205" s="110"/>
      <c r="EI205" s="80" t="s">
        <v>2289</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999"/>
        <v>4</v>
      </c>
      <c r="G206" s="407">
        <f ca="1">VLOOKUP(H206,Equipos!$Q$1:$R$25,2,0)</f>
        <v>21</v>
      </c>
      <c r="H206" s="65" t="str">
        <f>Idiomas!$D$261</f>
        <v>Octavos de final</v>
      </c>
      <c r="I206" s="43">
        <v>1</v>
      </c>
      <c r="J206" s="849"/>
      <c r="K206" s="56" t="str">
        <f ca="1">CONCATENATE(WORLDCUP!AA126,"-",WORLDCUP!AF126)</f>
        <v>Argentina-Egipto</v>
      </c>
      <c r="L206" s="53">
        <f>IF(OR(WORLDCUP!AC126="",WORLDCUP!AD126=""),"PD",IF(WORLDCUP!AC126&gt;WORLDCUP!AD126,1,IF(WORLDCUP!AC126&lt;WORLDCUP!AD126,2,0)))</f>
        <v>1</v>
      </c>
      <c r="M206" s="55" t="str">
        <f t="shared" si="947"/>
        <v>3-2</v>
      </c>
      <c r="N206" s="25">
        <f>WORLDCUP!AC126</f>
        <v>3</v>
      </c>
      <c r="O206" s="25">
        <f>WORLDCUP!AD126</f>
        <v>2</v>
      </c>
      <c r="P206" s="25">
        <f t="shared" si="948"/>
        <v>1</v>
      </c>
      <c r="Q206" s="25">
        <f t="shared" si="949"/>
        <v>-1</v>
      </c>
      <c r="R206" s="110"/>
      <c r="S206" s="74" t="s">
        <v>1986</v>
      </c>
      <c r="T206" s="73">
        <f t="shared" ca="1" si="1000"/>
        <v>0</v>
      </c>
      <c r="U206" s="110"/>
      <c r="V206" s="74" t="s">
        <v>2023</v>
      </c>
      <c r="W206" s="73">
        <f t="shared" ca="1" si="950"/>
        <v>0</v>
      </c>
      <c r="X206" s="110"/>
      <c r="Y206" s="80" t="s">
        <v>2057</v>
      </c>
      <c r="Z206" s="73">
        <f t="shared" ca="1" si="950"/>
        <v>1</v>
      </c>
      <c r="AA206" s="110"/>
      <c r="AB206" s="80" t="s">
        <v>2081</v>
      </c>
      <c r="AC206" s="73">
        <f t="shared" ca="1" si="950"/>
        <v>0</v>
      </c>
      <c r="AD206" s="110"/>
      <c r="AE206" s="80" t="s">
        <v>2110</v>
      </c>
      <c r="AF206" s="73">
        <f t="shared" ca="1" si="950"/>
        <v>0</v>
      </c>
      <c r="AG206" s="110"/>
      <c r="AH206" s="80" t="s">
        <v>2139</v>
      </c>
      <c r="AI206" s="73">
        <f t="shared" ca="1" si="950"/>
        <v>0</v>
      </c>
      <c r="AJ206" s="110"/>
      <c r="AK206" s="80" t="s">
        <v>2057</v>
      </c>
      <c r="AL206" s="73">
        <f t="shared" ca="1" si="950"/>
        <v>1</v>
      </c>
      <c r="AM206" s="110"/>
      <c r="AN206" s="80" t="s">
        <v>2195</v>
      </c>
      <c r="AO206" s="73">
        <f t="shared" ca="1" si="950"/>
        <v>0</v>
      </c>
      <c r="AP206" s="110"/>
      <c r="AQ206" s="80" t="s">
        <v>2222</v>
      </c>
      <c r="AR206" s="73">
        <f t="shared" ca="1" si="950"/>
        <v>0</v>
      </c>
      <c r="AS206" s="110"/>
      <c r="AT206" s="80" t="s">
        <v>2195</v>
      </c>
      <c r="AU206" s="73">
        <f t="shared" ca="1" si="950"/>
        <v>0</v>
      </c>
      <c r="AV206" s="110"/>
      <c r="AW206" s="80" t="s">
        <v>2268</v>
      </c>
      <c r="AX206" s="73">
        <f t="shared" ca="1" si="950"/>
        <v>0</v>
      </c>
      <c r="AY206" s="110"/>
      <c r="AZ206" s="80" t="s">
        <v>2057</v>
      </c>
      <c r="BA206" s="73">
        <f t="shared" ca="1" si="950"/>
        <v>1</v>
      </c>
      <c r="BB206" s="110"/>
      <c r="BC206" s="80" t="s">
        <v>2315</v>
      </c>
      <c r="BD206" s="73">
        <f t="shared" ca="1" si="950"/>
        <v>1</v>
      </c>
      <c r="BE206" s="110"/>
      <c r="BF206" s="80" t="s">
        <v>2110</v>
      </c>
      <c r="BG206" s="73">
        <f t="shared" ca="1" si="950"/>
        <v>0</v>
      </c>
      <c r="BH206" s="110"/>
      <c r="BI206" s="80" t="s">
        <v>2354</v>
      </c>
      <c r="BJ206" s="73">
        <f t="shared" ca="1" si="950"/>
        <v>0</v>
      </c>
      <c r="BK206" s="110"/>
      <c r="BL206" s="80" t="s">
        <v>2139</v>
      </c>
      <c r="BM206" s="73">
        <f t="shared" ca="1" si="950"/>
        <v>0</v>
      </c>
      <c r="BN206" s="110"/>
      <c r="BO206" s="80" t="s">
        <v>2081</v>
      </c>
      <c r="BP206" s="73">
        <f t="shared" ca="1" si="950"/>
        <v>0</v>
      </c>
      <c r="BQ206" s="110"/>
      <c r="BR206" s="80" t="s">
        <v>2354</v>
      </c>
      <c r="BS206" s="73">
        <f t="shared" ca="1" si="950"/>
        <v>0</v>
      </c>
      <c r="BT206" s="110"/>
      <c r="BU206" s="80" t="s">
        <v>2416</v>
      </c>
      <c r="BV206" s="73">
        <f t="shared" ca="1" si="950"/>
        <v>0</v>
      </c>
      <c r="BW206" s="110"/>
      <c r="BX206" s="80" t="s">
        <v>2433</v>
      </c>
      <c r="BY206" s="73">
        <f t="shared" ca="1" si="950"/>
        <v>0</v>
      </c>
      <c r="BZ206" s="110"/>
      <c r="CA206" s="80" t="s">
        <v>2023</v>
      </c>
      <c r="CB206" s="73">
        <f t="shared" ca="1" si="950"/>
        <v>0</v>
      </c>
      <c r="CC206" s="110"/>
      <c r="CD206" s="80" t="s">
        <v>2023</v>
      </c>
      <c r="CE206" s="73">
        <f t="shared" ca="1" si="950"/>
        <v>0</v>
      </c>
      <c r="CF206" s="110"/>
      <c r="CG206" s="80" t="s">
        <v>2139</v>
      </c>
      <c r="CH206" s="73">
        <f t="shared" ca="1" si="950"/>
        <v>0</v>
      </c>
      <c r="CI206" s="110"/>
      <c r="CJ206" s="80" t="s">
        <v>2506</v>
      </c>
      <c r="CK206" s="73">
        <f t="shared" ca="1" si="972"/>
        <v>0</v>
      </c>
      <c r="CL206" s="110"/>
      <c r="CM206" s="80" t="s">
        <v>2081</v>
      </c>
      <c r="CN206" s="73">
        <f t="shared" ca="1" si="972"/>
        <v>0</v>
      </c>
      <c r="CO206" s="110"/>
      <c r="CP206" s="80" t="s">
        <v>2534</v>
      </c>
      <c r="CQ206" s="73">
        <f t="shared" ca="1" si="972"/>
        <v>0</v>
      </c>
      <c r="CR206" s="110"/>
      <c r="CS206" s="80" t="s">
        <v>2416</v>
      </c>
      <c r="CT206" s="73">
        <f t="shared" ca="1" si="972"/>
        <v>0</v>
      </c>
      <c r="CU206" s="110"/>
      <c r="CV206" s="80" t="s">
        <v>2550</v>
      </c>
      <c r="CW206" s="73">
        <f t="shared" ca="1" si="972"/>
        <v>2</v>
      </c>
      <c r="CX206" s="110"/>
      <c r="CY206" s="80" t="s">
        <v>2571</v>
      </c>
      <c r="CZ206" s="73">
        <f t="shared" ca="1" si="972"/>
        <v>0</v>
      </c>
      <c r="DA206" s="110"/>
      <c r="DB206" s="80" t="s">
        <v>2081</v>
      </c>
      <c r="DC206" s="73">
        <f t="shared" ca="1" si="972"/>
        <v>0</v>
      </c>
      <c r="DD206" s="110"/>
      <c r="DE206" s="80" t="s">
        <v>2599</v>
      </c>
      <c r="DF206" s="73">
        <f t="shared" ca="1" si="972"/>
        <v>0</v>
      </c>
      <c r="DG206" s="110"/>
      <c r="DH206" s="80" t="s">
        <v>2023</v>
      </c>
      <c r="DI206" s="73">
        <f t="shared" ca="1" si="972"/>
        <v>0</v>
      </c>
      <c r="DJ206" s="110"/>
      <c r="DK206" s="80" t="s">
        <v>2081</v>
      </c>
      <c r="DL206" s="73">
        <f t="shared" ca="1" si="972"/>
        <v>0</v>
      </c>
      <c r="DM206" s="110"/>
      <c r="DN206" s="797" t="s">
        <v>2644</v>
      </c>
      <c r="DO206" s="73">
        <f t="shared" ca="1" si="972"/>
        <v>0</v>
      </c>
      <c r="DP206" s="110"/>
      <c r="DQ206" s="797" t="s">
        <v>2666</v>
      </c>
      <c r="DR206" s="73">
        <f t="shared" ca="1" si="972"/>
        <v>0</v>
      </c>
      <c r="DS206" s="110"/>
      <c r="DT206" s="80" t="s">
        <v>2689</v>
      </c>
      <c r="DU206" s="73">
        <f t="shared" ca="1" si="972"/>
        <v>0</v>
      </c>
      <c r="DV206" s="110"/>
      <c r="DW206" s="80" t="s">
        <v>2023</v>
      </c>
      <c r="DX206" s="73">
        <f t="shared" ca="1" si="972"/>
        <v>0</v>
      </c>
      <c r="DY206" s="110"/>
      <c r="DZ206" s="80" t="s">
        <v>2110</v>
      </c>
      <c r="EA206" s="73">
        <f t="shared" ca="1" si="972"/>
        <v>0</v>
      </c>
      <c r="EB206" s="110"/>
      <c r="EC206" s="80" t="s">
        <v>2733</v>
      </c>
      <c r="ED206" s="73">
        <f t="shared" ca="1" si="972"/>
        <v>0</v>
      </c>
      <c r="EE206" s="110"/>
      <c r="EF206" s="80" t="s">
        <v>2744</v>
      </c>
      <c r="EG206" s="73">
        <f t="shared" ca="1" si="972"/>
        <v>0</v>
      </c>
      <c r="EH206" s="110"/>
      <c r="EI206" s="80" t="s">
        <v>2081</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999"/>
        <v>4</v>
      </c>
      <c r="G207" s="407">
        <f ca="1">VLOOKUP(H207,Equipos!$Q$1:$R$25,2,0)</f>
        <v>21</v>
      </c>
      <c r="H207" s="65" t="str">
        <f>Idiomas!$D$261</f>
        <v>Octavos de final</v>
      </c>
      <c r="I207" s="43">
        <v>1</v>
      </c>
      <c r="J207" s="849"/>
      <c r="K207" s="115" t="str">
        <f ca="1">CONCATENATE(WORLDCUP!AA127,"-",WORLDCUP!AF127)</f>
        <v>Suiza-Colombia</v>
      </c>
      <c r="L207" s="115">
        <f>IF(OR(WORLDCUP!AC127="",WORLDCUP!AD127=""),"PD",IF(WORLDCUP!AC127&gt;WORLDCUP!AD127,1,IF(WORLDCUP!AC127&lt;WORLDCUP!AD127,2,0)))</f>
        <v>0</v>
      </c>
      <c r="M207" s="116" t="str">
        <f t="shared" si="947"/>
        <v>0-0</v>
      </c>
      <c r="N207" s="25">
        <f>WORLDCUP!AC127</f>
        <v>0</v>
      </c>
      <c r="O207" s="25">
        <f>WORLDCUP!AD127</f>
        <v>0</v>
      </c>
      <c r="P207" s="25">
        <f t="shared" si="948"/>
        <v>0</v>
      </c>
      <c r="Q207" s="25">
        <f t="shared" si="949"/>
        <v>0</v>
      </c>
      <c r="R207" s="110"/>
      <c r="S207" s="80" t="s">
        <v>1987</v>
      </c>
      <c r="T207" s="85">
        <f t="shared" ca="1" si="1000"/>
        <v>0</v>
      </c>
      <c r="U207" s="110"/>
      <c r="V207" s="74" t="s">
        <v>2024</v>
      </c>
      <c r="W207" s="85">
        <f t="shared" ca="1" si="950"/>
        <v>0</v>
      </c>
      <c r="X207" s="110"/>
      <c r="Y207" s="80" t="s">
        <v>2058</v>
      </c>
      <c r="Z207" s="85">
        <f t="shared" ca="1" si="950"/>
        <v>0</v>
      </c>
      <c r="AA207" s="110"/>
      <c r="AB207" s="80" t="s">
        <v>2082</v>
      </c>
      <c r="AC207" s="85">
        <f t="shared" ca="1" si="950"/>
        <v>0</v>
      </c>
      <c r="AD207" s="110"/>
      <c r="AE207" s="80" t="s">
        <v>2111</v>
      </c>
      <c r="AF207" s="85">
        <f t="shared" ca="1" si="950"/>
        <v>2</v>
      </c>
      <c r="AG207" s="110"/>
      <c r="AH207" s="80" t="s">
        <v>2082</v>
      </c>
      <c r="AI207" s="85">
        <f t="shared" ca="1" si="950"/>
        <v>0</v>
      </c>
      <c r="AJ207" s="110"/>
      <c r="AK207" s="80" t="s">
        <v>2164</v>
      </c>
      <c r="AL207" s="85">
        <f t="shared" ca="1" si="950"/>
        <v>0</v>
      </c>
      <c r="AM207" s="110"/>
      <c r="AN207" s="80" t="s">
        <v>2196</v>
      </c>
      <c r="AO207" s="85">
        <f t="shared" ca="1" si="950"/>
        <v>0</v>
      </c>
      <c r="AP207" s="110"/>
      <c r="AQ207" s="80" t="s">
        <v>2223</v>
      </c>
      <c r="AR207" s="85">
        <f t="shared" ca="1" si="950"/>
        <v>0</v>
      </c>
      <c r="AS207" s="110"/>
      <c r="AT207" s="80" t="s">
        <v>2244</v>
      </c>
      <c r="AU207" s="85">
        <f t="shared" ca="1" si="950"/>
        <v>0</v>
      </c>
      <c r="AV207" s="110"/>
      <c r="AW207" s="80" t="s">
        <v>2269</v>
      </c>
      <c r="AX207" s="85">
        <f t="shared" ca="1" si="950"/>
        <v>0</v>
      </c>
      <c r="AY207" s="110"/>
      <c r="AZ207" s="80" t="s">
        <v>2290</v>
      </c>
      <c r="BA207" s="85">
        <f t="shared" ca="1" si="950"/>
        <v>0</v>
      </c>
      <c r="BB207" s="110"/>
      <c r="BC207" s="80" t="s">
        <v>2223</v>
      </c>
      <c r="BD207" s="85">
        <f t="shared" ca="1" si="950"/>
        <v>0</v>
      </c>
      <c r="BE207" s="110"/>
      <c r="BF207" s="80" t="s">
        <v>2024</v>
      </c>
      <c r="BG207" s="85">
        <f t="shared" ca="1" si="950"/>
        <v>0</v>
      </c>
      <c r="BH207" s="110"/>
      <c r="BI207" s="80" t="s">
        <v>2164</v>
      </c>
      <c r="BJ207" s="85">
        <f t="shared" ca="1" si="950"/>
        <v>0</v>
      </c>
      <c r="BK207" s="110"/>
      <c r="BL207" s="80" t="s">
        <v>2164</v>
      </c>
      <c r="BM207" s="85">
        <f t="shared" ca="1" si="950"/>
        <v>0</v>
      </c>
      <c r="BN207" s="110"/>
      <c r="BO207" s="80" t="s">
        <v>2164</v>
      </c>
      <c r="BP207" s="85">
        <f t="shared" ca="1" si="950"/>
        <v>0</v>
      </c>
      <c r="BQ207" s="110"/>
      <c r="BR207" s="80" t="s">
        <v>2396</v>
      </c>
      <c r="BS207" s="85">
        <f t="shared" ca="1" si="950"/>
        <v>0</v>
      </c>
      <c r="BT207" s="110"/>
      <c r="BU207" s="80" t="s">
        <v>2396</v>
      </c>
      <c r="BV207" s="85">
        <f t="shared" ca="1" si="950"/>
        <v>0</v>
      </c>
      <c r="BW207" s="110"/>
      <c r="BX207" s="80" t="s">
        <v>2434</v>
      </c>
      <c r="BY207" s="85">
        <f t="shared" ca="1" si="950"/>
        <v>0</v>
      </c>
      <c r="BZ207" s="110"/>
      <c r="CA207" s="80" t="s">
        <v>2453</v>
      </c>
      <c r="CB207" s="85">
        <f t="shared" ca="1" si="950"/>
        <v>0</v>
      </c>
      <c r="CC207" s="110"/>
      <c r="CD207" s="80" t="s">
        <v>2244</v>
      </c>
      <c r="CE207" s="85">
        <f t="shared" ca="1" si="950"/>
        <v>0</v>
      </c>
      <c r="CF207" s="110"/>
      <c r="CG207" s="80" t="s">
        <v>2491</v>
      </c>
      <c r="CH207" s="85">
        <f t="shared" ca="1" si="950"/>
        <v>0</v>
      </c>
      <c r="CI207" s="110"/>
      <c r="CJ207" s="80" t="s">
        <v>2024</v>
      </c>
      <c r="CK207" s="85">
        <f t="shared" ca="1" si="972"/>
        <v>0</v>
      </c>
      <c r="CL207" s="110"/>
      <c r="CM207" s="80" t="s">
        <v>2164</v>
      </c>
      <c r="CN207" s="85">
        <f t="shared" ca="1" si="972"/>
        <v>0</v>
      </c>
      <c r="CO207" s="110"/>
      <c r="CP207" s="80" t="s">
        <v>2164</v>
      </c>
      <c r="CQ207" s="85">
        <f t="shared" ca="1" si="972"/>
        <v>0</v>
      </c>
      <c r="CR207" s="110"/>
      <c r="CS207" s="80" t="s">
        <v>2024</v>
      </c>
      <c r="CT207" s="85">
        <f t="shared" ca="1" si="972"/>
        <v>0</v>
      </c>
      <c r="CU207" s="110"/>
      <c r="CV207" s="80" t="s">
        <v>2082</v>
      </c>
      <c r="CW207" s="85">
        <f t="shared" ca="1" si="972"/>
        <v>0</v>
      </c>
      <c r="CX207" s="110"/>
      <c r="CY207" s="80" t="s">
        <v>2572</v>
      </c>
      <c r="CZ207" s="85">
        <f t="shared" ca="1" si="972"/>
        <v>0</v>
      </c>
      <c r="DA207" s="110"/>
      <c r="DB207" s="80" t="s">
        <v>2164</v>
      </c>
      <c r="DC207" s="85">
        <f t="shared" ca="1" si="972"/>
        <v>0</v>
      </c>
      <c r="DD207" s="110"/>
      <c r="DE207" s="80" t="s">
        <v>2164</v>
      </c>
      <c r="DF207" s="85">
        <f t="shared" ca="1" si="972"/>
        <v>0</v>
      </c>
      <c r="DG207" s="110"/>
      <c r="DH207" s="80" t="s">
        <v>2164</v>
      </c>
      <c r="DI207" s="85">
        <f t="shared" ca="1" si="972"/>
        <v>0</v>
      </c>
      <c r="DJ207" s="110"/>
      <c r="DK207" s="80" t="s">
        <v>2396</v>
      </c>
      <c r="DL207" s="85">
        <f t="shared" ca="1" si="972"/>
        <v>0</v>
      </c>
      <c r="DM207" s="110"/>
      <c r="DN207" s="797" t="s">
        <v>2396</v>
      </c>
      <c r="DO207" s="85">
        <f t="shared" ca="1" si="972"/>
        <v>0</v>
      </c>
      <c r="DP207" s="110"/>
      <c r="DQ207" s="797" t="s">
        <v>2164</v>
      </c>
      <c r="DR207" s="85">
        <f t="shared" ca="1" si="972"/>
        <v>0</v>
      </c>
      <c r="DS207" s="110"/>
      <c r="DT207" s="80" t="s">
        <v>2690</v>
      </c>
      <c r="DU207" s="85">
        <f t="shared" ca="1" si="972"/>
        <v>0</v>
      </c>
      <c r="DV207" s="110"/>
      <c r="DW207" s="80" t="s">
        <v>2223</v>
      </c>
      <c r="DX207" s="85">
        <f t="shared" ca="1" si="972"/>
        <v>0</v>
      </c>
      <c r="DY207" s="110"/>
      <c r="DZ207" s="80" t="s">
        <v>2491</v>
      </c>
      <c r="EA207" s="85">
        <f t="shared" ca="1" si="972"/>
        <v>0</v>
      </c>
      <c r="EB207" s="110"/>
      <c r="EC207" s="80" t="s">
        <v>2164</v>
      </c>
      <c r="ED207" s="85">
        <f t="shared" ca="1" si="972"/>
        <v>0</v>
      </c>
      <c r="EE207" s="110"/>
      <c r="EF207" s="80" t="s">
        <v>2164</v>
      </c>
      <c r="EG207" s="85">
        <f t="shared" ca="1" si="972"/>
        <v>0</v>
      </c>
      <c r="EH207" s="110"/>
      <c r="EI207" s="80" t="s">
        <v>2223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3</v>
      </c>
      <c r="AA208" s="49"/>
      <c r="AB208" s="84"/>
      <c r="AC208" s="71">
        <f t="shared" ref="AC208" ca="1" si="1003">SUM(AC200:AC207)</f>
        <v>1</v>
      </c>
      <c r="AD208" s="49"/>
      <c r="AE208" s="84"/>
      <c r="AF208" s="71">
        <f t="shared" ref="AF208" ca="1" si="1004">SUM(AF200:AF207)</f>
        <v>7</v>
      </c>
      <c r="AG208" s="49"/>
      <c r="AH208" s="84"/>
      <c r="AI208" s="71">
        <f t="shared" ref="AI208" ca="1" si="1005">SUM(AI200:AI207)</f>
        <v>1</v>
      </c>
      <c r="AJ208" s="49"/>
      <c r="AK208" s="84"/>
      <c r="AL208" s="71">
        <f t="shared" ref="AL208" ca="1" si="1006">SUM(AL200:AL207)</f>
        <v>1</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1</v>
      </c>
      <c r="BB208" s="49"/>
      <c r="BC208" s="84"/>
      <c r="BD208" s="71">
        <f t="shared" ref="BD208" ca="1" si="1012">SUM(BD200:BD207)</f>
        <v>1</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3</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 ca="1">WORLDCUP!AA134</f>
        <v>Argentina</v>
      </c>
      <c r="N213" s="25"/>
      <c r="O213" s="25"/>
      <c r="P213" s="25"/>
      <c r="Q213" s="25"/>
      <c r="R213" s="110"/>
      <c r="S213" s="74" t="s">
        <v>1256</v>
      </c>
      <c r="T213" s="73">
        <f t="shared" ca="1" si="1050"/>
        <v>5</v>
      </c>
      <c r="U213" s="110"/>
      <c r="V213" s="74" t="s">
        <v>1256</v>
      </c>
      <c r="W213" s="73">
        <f t="shared" ca="1" si="1051"/>
        <v>5</v>
      </c>
      <c r="X213" s="110"/>
      <c r="Y213" s="74" t="s">
        <v>1256</v>
      </c>
      <c r="Z213" s="73">
        <f t="shared" ca="1" si="1052"/>
        <v>5</v>
      </c>
      <c r="AA213" s="110"/>
      <c r="AB213" s="74" t="s">
        <v>1256</v>
      </c>
      <c r="AC213" s="73">
        <f t="shared" ca="1" si="1053"/>
        <v>5</v>
      </c>
      <c r="AD213" s="110"/>
      <c r="AE213" s="74" t="s">
        <v>1256</v>
      </c>
      <c r="AF213" s="73">
        <f t="shared" ca="1" si="1054"/>
        <v>5</v>
      </c>
      <c r="AG213" s="110"/>
      <c r="AH213" s="74" t="s">
        <v>1256</v>
      </c>
      <c r="AI213" s="73">
        <f t="shared" ca="1" si="1055"/>
        <v>5</v>
      </c>
      <c r="AJ213" s="110"/>
      <c r="AK213" s="74" t="s">
        <v>1256</v>
      </c>
      <c r="AL213" s="73">
        <f t="shared" ca="1" si="1056"/>
        <v>5</v>
      </c>
      <c r="AM213" s="110"/>
      <c r="AN213" s="74" t="s">
        <v>1318</v>
      </c>
      <c r="AO213" s="73">
        <f t="shared" ca="1" si="1057"/>
        <v>0</v>
      </c>
      <c r="AP213" s="110"/>
      <c r="AQ213" s="74" t="s">
        <v>1256</v>
      </c>
      <c r="AR213" s="73">
        <f t="shared" ca="1" si="1058"/>
        <v>5</v>
      </c>
      <c r="AS213" s="110"/>
      <c r="AT213" s="74" t="s">
        <v>1318</v>
      </c>
      <c r="AU213" s="73">
        <f t="shared" ca="1" si="1059"/>
        <v>0</v>
      </c>
      <c r="AV213" s="110"/>
      <c r="AW213" s="74" t="s">
        <v>1319</v>
      </c>
      <c r="AX213" s="73">
        <f t="shared" ca="1" si="1060"/>
        <v>0</v>
      </c>
      <c r="AY213" s="110"/>
      <c r="AZ213" s="74" t="s">
        <v>1256</v>
      </c>
      <c r="BA213" s="73">
        <f t="shared" ca="1" si="1061"/>
        <v>5</v>
      </c>
      <c r="BB213" s="110"/>
      <c r="BC213" s="74" t="s">
        <v>1256</v>
      </c>
      <c r="BD213" s="73">
        <f t="shared" ca="1" si="1062"/>
        <v>5</v>
      </c>
      <c r="BE213" s="110"/>
      <c r="BF213" s="74" t="s">
        <v>1256</v>
      </c>
      <c r="BG213" s="73">
        <f t="shared" ca="1" si="1063"/>
        <v>5</v>
      </c>
      <c r="BH213" s="110"/>
      <c r="BI213" s="74" t="s">
        <v>1256</v>
      </c>
      <c r="BJ213" s="73">
        <f t="shared" ca="1" si="1064"/>
        <v>5</v>
      </c>
      <c r="BK213" s="110"/>
      <c r="BL213" s="74" t="s">
        <v>1256</v>
      </c>
      <c r="BM213" s="73">
        <f t="shared" ca="1" si="1065"/>
        <v>5</v>
      </c>
      <c r="BN213" s="110"/>
      <c r="BO213" s="74" t="s">
        <v>1256</v>
      </c>
      <c r="BP213" s="73">
        <f t="shared" ca="1" si="1066"/>
        <v>5</v>
      </c>
      <c r="BQ213" s="110"/>
      <c r="BR213" s="74" t="s">
        <v>1256</v>
      </c>
      <c r="BS213" s="73">
        <f t="shared" ca="1" si="1067"/>
        <v>5</v>
      </c>
      <c r="BT213" s="110"/>
      <c r="BU213" s="74" t="s">
        <v>1256</v>
      </c>
      <c r="BV213" s="73">
        <f t="shared" ca="1" si="1068"/>
        <v>5</v>
      </c>
      <c r="BW213" s="110"/>
      <c r="BX213" s="74" t="s">
        <v>1256</v>
      </c>
      <c r="BY213" s="73">
        <f t="shared" ca="1" si="1069"/>
        <v>5</v>
      </c>
      <c r="BZ213" s="110"/>
      <c r="CA213" s="74" t="s">
        <v>1256</v>
      </c>
      <c r="CB213" s="73">
        <f t="shared" ca="1" si="1070"/>
        <v>5</v>
      </c>
      <c r="CC213" s="110"/>
      <c r="CD213" s="74" t="s">
        <v>1256</v>
      </c>
      <c r="CE213" s="73">
        <f t="shared" ca="1" si="1071"/>
        <v>5</v>
      </c>
      <c r="CF213" s="110"/>
      <c r="CG213" s="74" t="s">
        <v>1256</v>
      </c>
      <c r="CH213" s="73">
        <f t="shared" ca="1" si="1072"/>
        <v>5</v>
      </c>
      <c r="CI213" s="110"/>
      <c r="CJ213" s="74" t="s">
        <v>1256</v>
      </c>
      <c r="CK213" s="73">
        <f t="shared" ca="1" si="1073"/>
        <v>5</v>
      </c>
      <c r="CL213" s="110"/>
      <c r="CM213" s="74" t="s">
        <v>1256</v>
      </c>
      <c r="CN213" s="73">
        <f t="shared" ca="1" si="1074"/>
        <v>5</v>
      </c>
      <c r="CO213" s="110"/>
      <c r="CP213" s="74" t="s">
        <v>1256</v>
      </c>
      <c r="CQ213" s="73">
        <f t="shared" ca="1" si="1075"/>
        <v>5</v>
      </c>
      <c r="CR213" s="110"/>
      <c r="CS213" s="74" t="s">
        <v>1256</v>
      </c>
      <c r="CT213" s="73">
        <f t="shared" ca="1" si="1076"/>
        <v>5</v>
      </c>
      <c r="CU213" s="110"/>
      <c r="CV213" s="74" t="s">
        <v>1256</v>
      </c>
      <c r="CW213" s="73">
        <f t="shared" ca="1" si="1077"/>
        <v>5</v>
      </c>
      <c r="CX213" s="110"/>
      <c r="CY213" s="74" t="s">
        <v>1256</v>
      </c>
      <c r="CZ213" s="73">
        <f t="shared" ca="1" si="1078"/>
        <v>5</v>
      </c>
      <c r="DA213" s="110"/>
      <c r="DB213" s="74" t="s">
        <v>1256</v>
      </c>
      <c r="DC213" s="73">
        <f t="shared" ca="1" si="1079"/>
        <v>5</v>
      </c>
      <c r="DD213" s="110"/>
      <c r="DE213" s="74" t="s">
        <v>1256</v>
      </c>
      <c r="DF213" s="73">
        <f t="shared" ca="1" si="1080"/>
        <v>5</v>
      </c>
      <c r="DG213" s="110"/>
      <c r="DH213" s="74" t="s">
        <v>1256</v>
      </c>
      <c r="DI213" s="73">
        <f t="shared" ca="1" si="1081"/>
        <v>5</v>
      </c>
      <c r="DJ213" s="110"/>
      <c r="DK213" s="74" t="s">
        <v>1256</v>
      </c>
      <c r="DL213" s="73">
        <f t="shared" ca="1" si="1082"/>
        <v>5</v>
      </c>
      <c r="DM213" s="110"/>
      <c r="DN213" s="795" t="s">
        <v>1256</v>
      </c>
      <c r="DO213" s="73">
        <f t="shared" ca="1" si="1083"/>
        <v>5</v>
      </c>
      <c r="DP213" s="110"/>
      <c r="DQ213" s="795" t="s">
        <v>1256</v>
      </c>
      <c r="DR213" s="73">
        <f t="shared" ca="1" si="1084"/>
        <v>5</v>
      </c>
      <c r="DS213" s="110"/>
      <c r="DT213" s="74" t="s">
        <v>1835</v>
      </c>
      <c r="DU213" s="73">
        <f t="shared" ca="1" si="1085"/>
        <v>0</v>
      </c>
      <c r="DV213" s="110"/>
      <c r="DW213" s="74" t="s">
        <v>1256</v>
      </c>
      <c r="DX213" s="73">
        <f t="shared" ca="1" si="1086"/>
        <v>5</v>
      </c>
      <c r="DY213" s="110"/>
      <c r="DZ213" s="74" t="s">
        <v>1256</v>
      </c>
      <c r="EA213" s="73">
        <f t="shared" ca="1" si="1087"/>
        <v>5</v>
      </c>
      <c r="EB213" s="110"/>
      <c r="EC213" s="74" t="s">
        <v>1256</v>
      </c>
      <c r="ED213" s="73">
        <f t="shared" ca="1" si="1088"/>
        <v>5</v>
      </c>
      <c r="EE213" s="110"/>
      <c r="EF213" s="74" t="s">
        <v>1318</v>
      </c>
      <c r="EG213" s="73">
        <f t="shared" ca="1" si="1089"/>
        <v>0</v>
      </c>
      <c r="EH213" s="110"/>
      <c r="EI213" s="74" t="s">
        <v>1256</v>
      </c>
      <c r="EJ213" s="73">
        <f t="shared" ca="1" si="1090"/>
        <v>5</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 ca="1">WORLDCUP!AF134</f>
        <v>Suiza</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5</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20</v>
      </c>
      <c r="U218" s="49"/>
      <c r="V218" s="84"/>
      <c r="W218" s="71">
        <f t="shared" ref="W218" ca="1" si="1101">SUM(W210:W217)</f>
        <v>25</v>
      </c>
      <c r="X218" s="49"/>
      <c r="Y218" s="84"/>
      <c r="Z218" s="71">
        <f t="shared" ref="Z218" ca="1" si="1102">SUM(Z210:Z217)</f>
        <v>25</v>
      </c>
      <c r="AA218" s="49"/>
      <c r="AB218" s="84"/>
      <c r="AC218" s="71">
        <f t="shared" ref="AC218" ca="1" si="1103">SUM(AC210:AC217)</f>
        <v>20</v>
      </c>
      <c r="AD218" s="49"/>
      <c r="AE218" s="84"/>
      <c r="AF218" s="71">
        <f t="shared" ref="AF218" ca="1" si="1104">SUM(AF210:AF217)</f>
        <v>30</v>
      </c>
      <c r="AG218" s="49"/>
      <c r="AH218" s="84"/>
      <c r="AI218" s="71">
        <f t="shared" ref="AI218" ca="1" si="1105">SUM(AI210:AI217)</f>
        <v>25</v>
      </c>
      <c r="AJ218" s="49"/>
      <c r="AK218" s="84"/>
      <c r="AL218" s="71">
        <f t="shared" ref="AL218" ca="1" si="1106">SUM(AL210:AL217)</f>
        <v>20</v>
      </c>
      <c r="AM218" s="49"/>
      <c r="AN218" s="84"/>
      <c r="AO218" s="71">
        <f t="shared" ref="AO218" ca="1" si="1107">SUM(AO210:AO217)</f>
        <v>20</v>
      </c>
      <c r="AP218" s="49"/>
      <c r="AQ218" s="84"/>
      <c r="AR218" s="71">
        <f t="shared" ref="AR218" ca="1" si="1108">SUM(AR210:AR217)</f>
        <v>30</v>
      </c>
      <c r="AS218" s="49"/>
      <c r="AT218" s="84"/>
      <c r="AU218" s="71">
        <f t="shared" ref="AU218" ca="1" si="1109">SUM(AU210:AU217)</f>
        <v>15</v>
      </c>
      <c r="AV218" s="49"/>
      <c r="AW218" s="84"/>
      <c r="AX218" s="71">
        <f t="shared" ref="AX218" ca="1" si="1110">SUM(AX210:AX217)</f>
        <v>20</v>
      </c>
      <c r="AY218" s="49"/>
      <c r="AZ218" s="84"/>
      <c r="BA218" s="71">
        <f t="shared" ref="BA218" ca="1" si="1111">SUM(BA210:BA217)</f>
        <v>20</v>
      </c>
      <c r="BB218" s="49"/>
      <c r="BC218" s="84"/>
      <c r="BD218" s="71">
        <f t="shared" ref="BD218" ca="1" si="1112">SUM(BD210:BD217)</f>
        <v>20</v>
      </c>
      <c r="BE218" s="49"/>
      <c r="BF218" s="84"/>
      <c r="BG218" s="71">
        <f t="shared" ref="BG218" ca="1" si="1113">SUM(BG210:BG217)</f>
        <v>25</v>
      </c>
      <c r="BH218" s="49"/>
      <c r="BI218" s="84"/>
      <c r="BJ218" s="71">
        <f t="shared" ref="BJ218" ca="1" si="1114">SUM(BJ210:BJ217)</f>
        <v>20</v>
      </c>
      <c r="BK218" s="49"/>
      <c r="BL218" s="84"/>
      <c r="BM218" s="71">
        <f t="shared" ref="BM218" ca="1" si="1115">SUM(BM210:BM217)</f>
        <v>30</v>
      </c>
      <c r="BN218" s="49"/>
      <c r="BO218" s="84"/>
      <c r="BP218" s="71">
        <f t="shared" ref="BP218" ca="1" si="1116">SUM(BP210:BP217)</f>
        <v>25</v>
      </c>
      <c r="BQ218" s="49"/>
      <c r="BR218" s="84"/>
      <c r="BS218" s="71">
        <f t="shared" ref="BS218" ca="1" si="1117">SUM(BS210:BS217)</f>
        <v>25</v>
      </c>
      <c r="BT218" s="49"/>
      <c r="BU218" s="84"/>
      <c r="BV218" s="71">
        <f t="shared" ref="BV218" ca="1" si="1118">SUM(BV210:BV217)</f>
        <v>25</v>
      </c>
      <c r="BW218" s="49"/>
      <c r="BX218" s="84"/>
      <c r="BY218" s="71">
        <f t="shared" ref="BY218" ca="1" si="1119">SUM(BY210:BY217)</f>
        <v>30</v>
      </c>
      <c r="BZ218" s="49"/>
      <c r="CA218" s="84"/>
      <c r="CB218" s="71">
        <f t="shared" ref="CB218" ca="1" si="1120">SUM(CB210:CB217)</f>
        <v>20</v>
      </c>
      <c r="CC218" s="49"/>
      <c r="CD218" s="84"/>
      <c r="CE218" s="71">
        <f t="shared" ref="CE218" ca="1" si="1121">SUM(CE210:CE217)</f>
        <v>15</v>
      </c>
      <c r="CF218" s="49"/>
      <c r="CG218" s="84"/>
      <c r="CH218" s="71">
        <f t="shared" ref="CH218" ca="1" si="1122">SUM(CH210:CH217)</f>
        <v>20</v>
      </c>
      <c r="CI218" s="49"/>
      <c r="CJ218" s="84"/>
      <c r="CK218" s="71">
        <f t="shared" ref="CK218" ca="1" si="1123">SUM(CK210:CK217)</f>
        <v>25</v>
      </c>
      <c r="CL218" s="49"/>
      <c r="CM218" s="84"/>
      <c r="CN218" s="71">
        <f t="shared" ref="CN218" ca="1" si="1124">SUM(CN210:CN217)</f>
        <v>25</v>
      </c>
      <c r="CO218" s="49"/>
      <c r="CP218" s="84"/>
      <c r="CQ218" s="71">
        <f t="shared" ref="CQ218" ca="1" si="1125">SUM(CQ210:CQ217)</f>
        <v>25</v>
      </c>
      <c r="CR218" s="49"/>
      <c r="CS218" s="84"/>
      <c r="CT218" s="71">
        <f t="shared" ref="CT218" ca="1" si="1126">SUM(CT210:CT217)</f>
        <v>30</v>
      </c>
      <c r="CU218" s="49"/>
      <c r="CV218" s="84"/>
      <c r="CW218" s="71">
        <f t="shared" ref="CW218" ca="1" si="1127">SUM(CW210:CW217)</f>
        <v>30</v>
      </c>
      <c r="CX218" s="49"/>
      <c r="CY218" s="84"/>
      <c r="CZ218" s="71">
        <f t="shared" ref="CZ218" ca="1" si="1128">SUM(CZ210:CZ217)</f>
        <v>35</v>
      </c>
      <c r="DA218" s="49"/>
      <c r="DB218" s="84"/>
      <c r="DC218" s="71">
        <f t="shared" ref="DC218" ca="1" si="1129">SUM(DC210:DC217)</f>
        <v>30</v>
      </c>
      <c r="DD218" s="49"/>
      <c r="DE218" s="84"/>
      <c r="DF218" s="71">
        <f t="shared" ref="DF218" ca="1" si="1130">SUM(DF210:DF217)</f>
        <v>10</v>
      </c>
      <c r="DG218" s="49"/>
      <c r="DH218" s="84"/>
      <c r="DI218" s="71">
        <f t="shared" ref="DI218" ca="1" si="1131">SUM(DI210:DI217)</f>
        <v>20</v>
      </c>
      <c r="DJ218" s="49"/>
      <c r="DK218" s="84"/>
      <c r="DL218" s="71">
        <f t="shared" ref="DL218" ca="1" si="1132">SUM(DL210:DL217)</f>
        <v>15</v>
      </c>
      <c r="DM218" s="49"/>
      <c r="DN218" s="796"/>
      <c r="DO218" s="71">
        <f t="shared" ref="DO218" ca="1" si="1133">SUM(DO210:DO217)</f>
        <v>15</v>
      </c>
      <c r="DP218" s="49"/>
      <c r="DQ218" s="796"/>
      <c r="DR218" s="71">
        <f t="shared" ref="DR218" ca="1" si="1134">SUM(DR210:DR217)</f>
        <v>15</v>
      </c>
      <c r="DS218" s="49"/>
      <c r="DT218" s="84"/>
      <c r="DU218" s="71">
        <f t="shared" ref="DU218" ca="1" si="1135">SUM(DU210:DU217)</f>
        <v>15</v>
      </c>
      <c r="DV218" s="49"/>
      <c r="DW218" s="84"/>
      <c r="DX218" s="71">
        <f t="shared" ref="DX218" ca="1" si="1136">SUM(DX210:DX217)</f>
        <v>25</v>
      </c>
      <c r="DY218" s="49"/>
      <c r="DZ218" s="84"/>
      <c r="EA218" s="71">
        <f t="shared" ref="EA218" ca="1" si="1137">SUM(EA210:EA217)</f>
        <v>10</v>
      </c>
      <c r="EB218" s="49"/>
      <c r="EC218" s="84"/>
      <c r="ED218" s="71">
        <f t="shared" ref="ED218" ca="1" si="1138">SUM(ED210:ED217)</f>
        <v>15</v>
      </c>
      <c r="EE218" s="49"/>
      <c r="EF218" s="84"/>
      <c r="EG218" s="71">
        <f t="shared" ref="EG218" ca="1" si="1139">SUM(EG210:EG217)</f>
        <v>10</v>
      </c>
      <c r="EH218" s="49"/>
      <c r="EI218" s="84"/>
      <c r="EJ218" s="71">
        <f t="shared" ref="EJ218" ca="1" si="1140">SUM(EJ210:EJ217)</f>
        <v>25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07">
        <f>SUM($D$24:$D$26)*I220</f>
        <v>4</v>
      </c>
      <c r="G220" s="407">
        <f ca="1">VLOOKUP(H220,Equipos!$Q$1:$R$25,2,0)</f>
        <v>22</v>
      </c>
      <c r="H220" s="65" t="str">
        <f>Idiomas!$D$262</f>
        <v>Cuartos de final</v>
      </c>
      <c r="I220" s="43">
        <v>1</v>
      </c>
      <c r="J220" s="849" t="s">
        <v>34</v>
      </c>
      <c r="K220" s="53" t="str">
        <f ca="1">CONCATENATE(WORLDCUP!AA131,"-",WORLDCUP!AF131)</f>
        <v>Francia-Marruecos</v>
      </c>
      <c r="L220" s="53">
        <f>IF(OR(WORLDCUP!AC131="",WORLDCUP!AD131=""),"PD",IF(WORLDCUP!AC131&gt;WORLDCUP!AD131,1,IF(WORLDCUP!AC131&lt;WORLDCUP!AD131,2,0)))</f>
        <v>1</v>
      </c>
      <c r="M220" s="55" t="str">
        <f t="shared" ref="M220:M223" si="1150">IF(L220="PD","-",N220&amp;"-"&amp;O220)</f>
        <v>2-0</v>
      </c>
      <c r="N220" s="25">
        <f>WORLDCUP!AC131</f>
        <v>2</v>
      </c>
      <c r="O220" s="25">
        <f>WORLDCUP!AD131</f>
        <v>0</v>
      </c>
      <c r="P220" s="25">
        <f t="shared" ref="P220:P223" si="1151">+N220-O220</f>
        <v>2</v>
      </c>
      <c r="Q220" s="25">
        <f>+A220-B220</f>
        <v>-2</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2025</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2059</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2083</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2112</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1</v>
      </c>
      <c r="AG220" s="110"/>
      <c r="AH220" s="76" t="s">
        <v>2118</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2165</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2165</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2145</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2</v>
      </c>
      <c r="AS220" s="110"/>
      <c r="AT220" s="76" t="s">
        <v>2083</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2165</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2291</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2316</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2339</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2355</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2375</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1</v>
      </c>
      <c r="BN220" s="110"/>
      <c r="BO220" s="76" t="s">
        <v>2112</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1</v>
      </c>
      <c r="BQ220" s="110"/>
      <c r="BR220" s="76" t="s">
        <v>2145</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2</v>
      </c>
      <c r="BT220" s="110"/>
      <c r="BU220" s="76" t="s">
        <v>2417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2435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4</v>
      </c>
      <c r="BZ220" s="110"/>
      <c r="CA220" s="76" t="s">
        <v>2454</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2474</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2355</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2339</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2517</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2145</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2</v>
      </c>
      <c r="CR220" s="110"/>
      <c r="CS220" s="76" t="s">
        <v>2435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4</v>
      </c>
      <c r="CU220" s="110"/>
      <c r="CV220" s="76" t="s">
        <v>2375</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1</v>
      </c>
      <c r="CX220" s="110"/>
      <c r="CY220" s="76" t="s">
        <v>2573</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2375</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1</v>
      </c>
      <c r="DD220" s="110"/>
      <c r="DE220" s="76" t="s">
        <v>2600</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2355</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2118</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2025</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2667</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2339</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2600</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2600</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2745</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2375</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1</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1</v>
      </c>
      <c r="B221" s="25">
        <f>WORLDCUP!AC132</f>
        <v>2</v>
      </c>
      <c r="C221" s="25" t="str">
        <f ca="1">CONCATENATE(WORLDCUP!AF132,"-",WORLDCUP!AA132)</f>
        <v>Bélgica-España</v>
      </c>
      <c r="D221" s="25">
        <f>IF(WORLDCUP!AC132&gt;WORLDCUP!AD132,2,IF(WORLDCUP!AC132&lt;WORLDCUP!AD132,1,IF(AND(WORLDCUP!AC132=WORLDCUP!AD132,WORLDCUP!AC132&lt;&gt;"",WORLDCUP!AD132&lt;&gt;""),0,"PD")))</f>
        <v>2</v>
      </c>
      <c r="E221" s="25" t="str">
        <f>IF(OR(WORLDCUP!AD132="",WORLDCUP!AC132=""),"-",A221&amp;"-"&amp;B221)</f>
        <v>1-2</v>
      </c>
      <c r="F221" s="407">
        <f t="shared" ref="F221:F223" si="1201">SUM($D$24:$D$26)*I221</f>
        <v>4</v>
      </c>
      <c r="G221" s="407">
        <f ca="1">VLOOKUP(H221,Equipos!$Q$1:$R$25,2,0)</f>
        <v>22</v>
      </c>
      <c r="H221" s="65" t="str">
        <f>Idiomas!$D$262</f>
        <v>Cuartos de final</v>
      </c>
      <c r="I221" s="43">
        <v>1</v>
      </c>
      <c r="J221" s="849"/>
      <c r="K221" s="56" t="str">
        <f ca="1">CONCATENATE(WORLDCUP!AA132,"-",WORLDCUP!AF132)</f>
        <v>España-Bélgica</v>
      </c>
      <c r="L221" s="53">
        <f>IF(OR(WORLDCUP!AC132="",WORLDCUP!AD132=""),"PD",IF(WORLDCUP!AC132&gt;WORLDCUP!AD132,1,IF(WORLDCUP!AC132&lt;WORLDCUP!AD132,2,0)))</f>
        <v>1</v>
      </c>
      <c r="M221" s="55" t="str">
        <f t="shared" si="1150"/>
        <v>2-1</v>
      </c>
      <c r="N221" s="25">
        <f>WORLDCUP!AC132</f>
        <v>2</v>
      </c>
      <c r="O221" s="25">
        <f>WORLDCUP!AD132</f>
        <v>1</v>
      </c>
      <c r="P221" s="25">
        <f t="shared" si="1151"/>
        <v>1</v>
      </c>
      <c r="Q221" s="25">
        <f>+A221-B221</f>
        <v>-1</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2026</v>
      </c>
      <c r="W221" s="77">
        <f t="shared" ca="1" si="1152"/>
        <v>0</v>
      </c>
      <c r="X221" s="110"/>
      <c r="Y221" s="74" t="s">
        <v>2060</v>
      </c>
      <c r="Z221" s="77">
        <f t="shared" ca="1" si="1152"/>
        <v>1</v>
      </c>
      <c r="AA221" s="110"/>
      <c r="AB221" s="74" t="s">
        <v>2084</v>
      </c>
      <c r="AC221" s="77">
        <f t="shared" ca="1" si="1152"/>
        <v>0</v>
      </c>
      <c r="AD221" s="110"/>
      <c r="AE221" s="74" t="s">
        <v>2113</v>
      </c>
      <c r="AF221" s="77">
        <f t="shared" ca="1" si="1152"/>
        <v>1</v>
      </c>
      <c r="AG221" s="110"/>
      <c r="AH221" s="74" t="s">
        <v>2140</v>
      </c>
      <c r="AI221" s="77">
        <f t="shared" ca="1" si="1152"/>
        <v>2</v>
      </c>
      <c r="AJ221" s="110"/>
      <c r="AK221" s="74" t="s">
        <v>2166</v>
      </c>
      <c r="AL221" s="77">
        <f t="shared" ca="1" si="1152"/>
        <v>0</v>
      </c>
      <c r="AM221" s="110"/>
      <c r="AN221" s="74" t="s">
        <v>2197</v>
      </c>
      <c r="AO221" s="77">
        <f t="shared" ca="1" si="1152"/>
        <v>0</v>
      </c>
      <c r="AP221" s="110"/>
      <c r="AQ221" s="74" t="s">
        <v>2060</v>
      </c>
      <c r="AR221" s="77">
        <f t="shared" ca="1" si="1152"/>
        <v>1</v>
      </c>
      <c r="AS221" s="110"/>
      <c r="AT221" s="74" t="s">
        <v>2245</v>
      </c>
      <c r="AU221" s="77">
        <f t="shared" ca="1" si="1152"/>
        <v>0</v>
      </c>
      <c r="AV221" s="110"/>
      <c r="AW221" s="74" t="s">
        <v>2270</v>
      </c>
      <c r="AX221" s="77">
        <f t="shared" ca="1" si="1152"/>
        <v>0</v>
      </c>
      <c r="AY221" s="110"/>
      <c r="AZ221" s="74" t="s">
        <v>2084</v>
      </c>
      <c r="BA221" s="77">
        <f t="shared" ca="1" si="1152"/>
        <v>0</v>
      </c>
      <c r="BB221" s="110"/>
      <c r="BC221" s="74" t="s">
        <v>2060</v>
      </c>
      <c r="BD221" s="77">
        <f t="shared" ca="1" si="1152"/>
        <v>1</v>
      </c>
      <c r="BE221" s="110"/>
      <c r="BF221" s="74" t="s">
        <v>2060</v>
      </c>
      <c r="BG221" s="77">
        <f t="shared" ca="1" si="1152"/>
        <v>1</v>
      </c>
      <c r="BH221" s="110"/>
      <c r="BI221" s="74" t="s">
        <v>2356</v>
      </c>
      <c r="BJ221" s="77">
        <f t="shared" ca="1" si="1152"/>
        <v>0</v>
      </c>
      <c r="BK221" s="110"/>
      <c r="BL221" s="74" t="s">
        <v>2376</v>
      </c>
      <c r="BM221" s="77">
        <f t="shared" ca="1" si="1152"/>
        <v>4</v>
      </c>
      <c r="BN221" s="110"/>
      <c r="BO221" s="74" t="s">
        <v>2386</v>
      </c>
      <c r="BP221" s="77">
        <f t="shared" ca="1" si="1152"/>
        <v>0</v>
      </c>
      <c r="BQ221" s="110"/>
      <c r="BR221" s="74" t="s">
        <v>2397</v>
      </c>
      <c r="BS221" s="77">
        <f t="shared" ca="1" si="1152"/>
        <v>0</v>
      </c>
      <c r="BT221" s="110"/>
      <c r="BU221" s="74" t="s">
        <v>2418</v>
      </c>
      <c r="BV221" s="77">
        <f t="shared" ca="1" si="1152"/>
        <v>1</v>
      </c>
      <c r="BW221" s="110"/>
      <c r="BX221" s="74" t="s">
        <v>2436</v>
      </c>
      <c r="BY221" s="77">
        <f t="shared" ca="1" si="1152"/>
        <v>0</v>
      </c>
      <c r="BZ221" s="110"/>
      <c r="CA221" s="74" t="s">
        <v>2455</v>
      </c>
      <c r="CB221" s="77">
        <f t="shared" ca="1" si="1152"/>
        <v>1</v>
      </c>
      <c r="CC221" s="110"/>
      <c r="CD221" s="74" t="s">
        <v>2245</v>
      </c>
      <c r="CE221" s="77">
        <f t="shared" ca="1" si="1152"/>
        <v>0</v>
      </c>
      <c r="CF221" s="110"/>
      <c r="CG221" s="74" t="s">
        <v>2026</v>
      </c>
      <c r="CH221" s="77">
        <f t="shared" ca="1" si="1152"/>
        <v>0</v>
      </c>
      <c r="CI221" s="110"/>
      <c r="CJ221" s="74" t="s">
        <v>2376</v>
      </c>
      <c r="CK221" s="77">
        <f t="shared" ca="1" si="1174"/>
        <v>4</v>
      </c>
      <c r="CL221" s="110"/>
      <c r="CM221" s="74" t="s">
        <v>2518</v>
      </c>
      <c r="CN221" s="77">
        <f t="shared" ca="1" si="1174"/>
        <v>0</v>
      </c>
      <c r="CO221" s="110"/>
      <c r="CP221" s="74" t="s">
        <v>2535</v>
      </c>
      <c r="CQ221" s="77">
        <f t="shared" ca="1" si="1174"/>
        <v>0</v>
      </c>
      <c r="CR221" s="110"/>
      <c r="CS221" s="74" t="s">
        <v>2376</v>
      </c>
      <c r="CT221" s="77">
        <f t="shared" ca="1" si="1174"/>
        <v>4</v>
      </c>
      <c r="CU221" s="110"/>
      <c r="CV221" s="74" t="s">
        <v>2551</v>
      </c>
      <c r="CW221" s="77">
        <f t="shared" ca="1" si="1174"/>
        <v>2</v>
      </c>
      <c r="CX221" s="110"/>
      <c r="CY221" s="74" t="s">
        <v>2376</v>
      </c>
      <c r="CZ221" s="77">
        <f t="shared" ca="1" si="1174"/>
        <v>4</v>
      </c>
      <c r="DA221" s="110"/>
      <c r="DB221" s="74" t="s">
        <v>2060</v>
      </c>
      <c r="DC221" s="77">
        <f t="shared" ca="1" si="1174"/>
        <v>1</v>
      </c>
      <c r="DD221" s="110"/>
      <c r="DE221" s="74" t="s">
        <v>2601</v>
      </c>
      <c r="DF221" s="77">
        <f t="shared" ca="1" si="1174"/>
        <v>0</v>
      </c>
      <c r="DG221" s="110"/>
      <c r="DH221" s="74" t="s">
        <v>2386</v>
      </c>
      <c r="DI221" s="77">
        <f t="shared" ca="1" si="1174"/>
        <v>0</v>
      </c>
      <c r="DJ221" s="110"/>
      <c r="DK221" s="74" t="s">
        <v>2397</v>
      </c>
      <c r="DL221" s="77">
        <f t="shared" ca="1" si="1174"/>
        <v>0</v>
      </c>
      <c r="DM221" s="110"/>
      <c r="DN221" s="795" t="s">
        <v>2386</v>
      </c>
      <c r="DO221" s="77">
        <f t="shared" ca="1" si="1174"/>
        <v>0</v>
      </c>
      <c r="DP221" s="110"/>
      <c r="DQ221" s="795" t="s">
        <v>2668</v>
      </c>
      <c r="DR221" s="77">
        <f t="shared" ca="1" si="1174"/>
        <v>1</v>
      </c>
      <c r="DS221" s="110"/>
      <c r="DT221" s="74" t="s">
        <v>2060</v>
      </c>
      <c r="DU221" s="77">
        <f t="shared" ca="1" si="1174"/>
        <v>1</v>
      </c>
      <c r="DV221" s="110"/>
      <c r="DW221" s="74" t="s">
        <v>2707</v>
      </c>
      <c r="DX221" s="77">
        <f t="shared" ca="1" si="1174"/>
        <v>0</v>
      </c>
      <c r="DY221" s="110"/>
      <c r="DZ221" s="74" t="s">
        <v>2722</v>
      </c>
      <c r="EA221" s="77">
        <f t="shared" ca="1" si="1174"/>
        <v>0</v>
      </c>
      <c r="EB221" s="110"/>
      <c r="EC221" s="74" t="s">
        <v>2386</v>
      </c>
      <c r="ED221" s="77">
        <f t="shared" ca="1" si="1174"/>
        <v>0</v>
      </c>
      <c r="EE221" s="110"/>
      <c r="EF221" s="74" t="s">
        <v>2746</v>
      </c>
      <c r="EG221" s="77">
        <f t="shared" ca="1" si="1174"/>
        <v>0</v>
      </c>
      <c r="EH221" s="110"/>
      <c r="EI221" s="74" t="s">
        <v>2084</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2</v>
      </c>
      <c r="B222" s="25">
        <f>WORLDCUP!AC133</f>
        <v>1</v>
      </c>
      <c r="C222" s="25" t="str">
        <f ca="1">CONCATENATE(WORLDCUP!AF133,"-",WORLDCUP!AA133)</f>
        <v>Inglaterra-Noruega</v>
      </c>
      <c r="D222" s="25">
        <f>IF(WORLDCUP!AC133&gt;WORLDCUP!AD133,2,IF(WORLDCUP!AC133&lt;WORLDCUP!AD133,1,IF(AND(WORLDCUP!AC133=WORLDCUP!AD133,WORLDCUP!AC133&lt;&gt;"",WORLDCUP!AD133&lt;&gt;""),0,"PD")))</f>
        <v>1</v>
      </c>
      <c r="E222" s="25" t="str">
        <f>IF(OR(WORLDCUP!AD133="",WORLDCUP!AC133=""),"-",A222&amp;"-"&amp;B222)</f>
        <v>2-1</v>
      </c>
      <c r="F222" s="407">
        <f t="shared" si="1201"/>
        <v>4</v>
      </c>
      <c r="G222" s="407">
        <f ca="1">VLOOKUP(H222,Equipos!$Q$1:$R$25,2,0)</f>
        <v>22</v>
      </c>
      <c r="H222" s="65" t="str">
        <f>Idiomas!$D$262</f>
        <v>Cuartos de final</v>
      </c>
      <c r="I222" s="43">
        <v>1</v>
      </c>
      <c r="J222" s="849"/>
      <c r="K222" s="56" t="str">
        <f ca="1">CONCATENATE(WORLDCUP!AA133,"-",WORLDCUP!AF133)</f>
        <v>Noruega-Inglaterra</v>
      </c>
      <c r="L222" s="53">
        <f>IF(OR(WORLDCUP!AC133="",WORLDCUP!AD133=""),"PD",IF(WORLDCUP!AC133&gt;WORLDCUP!AD133,1,IF(WORLDCUP!AC133&lt;WORLDCUP!AD133,2,0)))</f>
        <v>2</v>
      </c>
      <c r="M222" s="55" t="str">
        <f t="shared" si="1150"/>
        <v>1-2</v>
      </c>
      <c r="N222" s="25">
        <f>WORLDCUP!AC133</f>
        <v>1</v>
      </c>
      <c r="O222" s="25">
        <f>WORLDCUP!AD133</f>
        <v>2</v>
      </c>
      <c r="P222" s="25">
        <f t="shared" si="1151"/>
        <v>-1</v>
      </c>
      <c r="Q222" s="25">
        <f>+A222-B222</f>
        <v>1</v>
      </c>
      <c r="R222" s="110"/>
      <c r="S222" s="74" t="s">
        <v>1990</v>
      </c>
      <c r="T222" s="77">
        <f t="shared" ca="1" si="1202"/>
        <v>0</v>
      </c>
      <c r="U222" s="110"/>
      <c r="V222" s="74" t="s">
        <v>2027</v>
      </c>
      <c r="W222" s="77">
        <f t="shared" ca="1" si="1152"/>
        <v>0</v>
      </c>
      <c r="X222" s="110"/>
      <c r="Y222" s="74" t="s">
        <v>2061</v>
      </c>
      <c r="Z222" s="77">
        <f t="shared" ca="1" si="1152"/>
        <v>0</v>
      </c>
      <c r="AA222" s="110"/>
      <c r="AB222" s="74" t="s">
        <v>2085</v>
      </c>
      <c r="AC222" s="77">
        <f t="shared" ca="1" si="1152"/>
        <v>0</v>
      </c>
      <c r="AD222" s="110"/>
      <c r="AE222" s="74" t="s">
        <v>2061</v>
      </c>
      <c r="AF222" s="77">
        <f t="shared" ca="1" si="1152"/>
        <v>0</v>
      </c>
      <c r="AG222" s="110"/>
      <c r="AH222" s="74" t="s">
        <v>2141</v>
      </c>
      <c r="AI222" s="77">
        <f t="shared" ca="1" si="1152"/>
        <v>0</v>
      </c>
      <c r="AJ222" s="110"/>
      <c r="AK222" s="74" t="s">
        <v>2167</v>
      </c>
      <c r="AL222" s="77">
        <f t="shared" ca="1" si="1152"/>
        <v>0</v>
      </c>
      <c r="AM222" s="110"/>
      <c r="AN222" s="74" t="s">
        <v>2198</v>
      </c>
      <c r="AO222" s="77">
        <f t="shared" ca="1" si="1152"/>
        <v>1</v>
      </c>
      <c r="AP222" s="110"/>
      <c r="AQ222" s="74" t="s">
        <v>2085</v>
      </c>
      <c r="AR222" s="77">
        <f t="shared" ca="1" si="1152"/>
        <v>0</v>
      </c>
      <c r="AS222" s="110"/>
      <c r="AT222" s="74" t="s">
        <v>2085</v>
      </c>
      <c r="AU222" s="77">
        <f t="shared" ca="1" si="1152"/>
        <v>0</v>
      </c>
      <c r="AV222" s="110"/>
      <c r="AW222" s="74" t="s">
        <v>2271</v>
      </c>
      <c r="AX222" s="77">
        <f t="shared" ca="1" si="1152"/>
        <v>0</v>
      </c>
      <c r="AY222" s="110"/>
      <c r="AZ222" s="74" t="s">
        <v>2292</v>
      </c>
      <c r="BA222" s="77">
        <f t="shared" ca="1" si="1152"/>
        <v>0</v>
      </c>
      <c r="BB222" s="110"/>
      <c r="BC222" s="74" t="s">
        <v>2317</v>
      </c>
      <c r="BD222" s="77">
        <f t="shared" ca="1" si="1152"/>
        <v>0</v>
      </c>
      <c r="BE222" s="110"/>
      <c r="BF222" s="74" t="s">
        <v>2085</v>
      </c>
      <c r="BG222" s="77">
        <f t="shared" ca="1" si="1152"/>
        <v>0</v>
      </c>
      <c r="BH222" s="110"/>
      <c r="BI222" s="74" t="s">
        <v>2357</v>
      </c>
      <c r="BJ222" s="77">
        <f t="shared" ca="1" si="1152"/>
        <v>0</v>
      </c>
      <c r="BK222" s="110"/>
      <c r="BL222" s="74" t="s">
        <v>2085</v>
      </c>
      <c r="BM222" s="77">
        <f t="shared" ca="1" si="1152"/>
        <v>0</v>
      </c>
      <c r="BN222" s="110"/>
      <c r="BO222" s="74" t="s">
        <v>2085</v>
      </c>
      <c r="BP222" s="77">
        <f t="shared" ca="1" si="1152"/>
        <v>0</v>
      </c>
      <c r="BQ222" s="110"/>
      <c r="BR222" s="74" t="s">
        <v>2061</v>
      </c>
      <c r="BS222" s="77">
        <f t="shared" ca="1" si="1152"/>
        <v>0</v>
      </c>
      <c r="BT222" s="110"/>
      <c r="BU222" s="74" t="s">
        <v>1990</v>
      </c>
      <c r="BV222" s="77">
        <f t="shared" ca="1" si="1152"/>
        <v>0</v>
      </c>
      <c r="BW222" s="110"/>
      <c r="BX222" s="74" t="s">
        <v>2027</v>
      </c>
      <c r="BY222" s="77">
        <f t="shared" ca="1" si="1152"/>
        <v>0</v>
      </c>
      <c r="BZ222" s="110"/>
      <c r="CA222" s="74" t="s">
        <v>2456</v>
      </c>
      <c r="CB222" s="77">
        <f t="shared" ca="1" si="1152"/>
        <v>0</v>
      </c>
      <c r="CC222" s="110"/>
      <c r="CD222" s="74" t="s">
        <v>2475</v>
      </c>
      <c r="CE222" s="77">
        <f t="shared" ca="1" si="1152"/>
        <v>0</v>
      </c>
      <c r="CF222" s="110"/>
      <c r="CG222" s="74" t="s">
        <v>2492</v>
      </c>
      <c r="CH222" s="77">
        <f t="shared" ca="1" si="1152"/>
        <v>0</v>
      </c>
      <c r="CI222" s="110"/>
      <c r="CJ222" s="74" t="s">
        <v>1990</v>
      </c>
      <c r="CK222" s="77">
        <f t="shared" ca="1" si="1174"/>
        <v>0</v>
      </c>
      <c r="CL222" s="110"/>
      <c r="CM222" s="74" t="s">
        <v>2519</v>
      </c>
      <c r="CN222" s="77">
        <f t="shared" ca="1" si="1174"/>
        <v>0</v>
      </c>
      <c r="CO222" s="110"/>
      <c r="CP222" s="74" t="s">
        <v>1990</v>
      </c>
      <c r="CQ222" s="77">
        <f t="shared" ca="1" si="1174"/>
        <v>0</v>
      </c>
      <c r="CR222" s="110"/>
      <c r="CS222" s="74" t="s">
        <v>2357</v>
      </c>
      <c r="CT222" s="77">
        <f t="shared" ca="1" si="1174"/>
        <v>0</v>
      </c>
      <c r="CU222" s="110"/>
      <c r="CV222" s="74" t="s">
        <v>1990</v>
      </c>
      <c r="CW222" s="77">
        <f t="shared" ca="1" si="1174"/>
        <v>0</v>
      </c>
      <c r="CX222" s="110"/>
      <c r="CY222" s="74" t="s">
        <v>2574</v>
      </c>
      <c r="CZ222" s="77">
        <f t="shared" ca="1" si="1174"/>
        <v>2</v>
      </c>
      <c r="DA222" s="110"/>
      <c r="DB222" s="74" t="s">
        <v>2585</v>
      </c>
      <c r="DC222" s="77">
        <f t="shared" ca="1" si="1174"/>
        <v>0</v>
      </c>
      <c r="DD222" s="110"/>
      <c r="DE222" s="74" t="s">
        <v>2107</v>
      </c>
      <c r="DF222" s="77">
        <f t="shared" ca="1" si="1174"/>
        <v>0</v>
      </c>
      <c r="DG222" s="110"/>
      <c r="DH222" s="74" t="s">
        <v>2617</v>
      </c>
      <c r="DI222" s="77">
        <f t="shared" ca="1" si="1174"/>
        <v>0</v>
      </c>
      <c r="DJ222" s="110"/>
      <c r="DK222" s="74" t="s">
        <v>2390</v>
      </c>
      <c r="DL222" s="77">
        <f t="shared" ca="1" si="1174"/>
        <v>0</v>
      </c>
      <c r="DM222" s="110"/>
      <c r="DN222" s="795" t="s">
        <v>2492</v>
      </c>
      <c r="DO222" s="77">
        <f t="shared" ca="1" si="1174"/>
        <v>0</v>
      </c>
      <c r="DP222" s="110"/>
      <c r="DQ222" s="795" t="s">
        <v>2669</v>
      </c>
      <c r="DR222" s="77">
        <f t="shared" ca="1" si="1174"/>
        <v>0</v>
      </c>
      <c r="DS222" s="110"/>
      <c r="DT222" s="74" t="s">
        <v>2691</v>
      </c>
      <c r="DU222" s="77">
        <f t="shared" ca="1" si="1174"/>
        <v>0</v>
      </c>
      <c r="DV222" s="110"/>
      <c r="DW222" s="74" t="s">
        <v>2708</v>
      </c>
      <c r="DX222" s="77">
        <f t="shared" ca="1" si="1174"/>
        <v>4</v>
      </c>
      <c r="DY222" s="110"/>
      <c r="DZ222" s="74" t="s">
        <v>2723</v>
      </c>
      <c r="EA222" s="77">
        <f t="shared" ca="1" si="1174"/>
        <v>0</v>
      </c>
      <c r="EB222" s="110"/>
      <c r="EC222" s="74" t="s">
        <v>2617</v>
      </c>
      <c r="ED222" s="77">
        <f t="shared" ca="1" si="1174"/>
        <v>0</v>
      </c>
      <c r="EE222" s="110"/>
      <c r="EF222" s="74" t="s">
        <v>2027</v>
      </c>
      <c r="EG222" s="77">
        <f t="shared" ca="1" si="1174"/>
        <v>0</v>
      </c>
      <c r="EH222" s="110"/>
      <c r="EI222" s="74" t="s">
        <v>2271</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1</v>
      </c>
      <c r="B223" s="25">
        <f>WORLDCUP!AC134</f>
        <v>3</v>
      </c>
      <c r="C223" s="25" t="str">
        <f ca="1">CONCATENATE(WORLDCUP!AF134,"-",WORLDCUP!AA134)</f>
        <v>Suiza-Argentina</v>
      </c>
      <c r="D223" s="25">
        <f>IF(WORLDCUP!AC134&gt;WORLDCUP!AD134,2,IF(WORLDCUP!AC134&lt;WORLDCUP!AD134,1,IF(AND(WORLDCUP!AC134=WORLDCUP!AD134,WORLDCUP!AC134&lt;&gt;"",WORLDCUP!AD134&lt;&gt;""),0,"PD")))</f>
        <v>2</v>
      </c>
      <c r="E223" s="25" t="str">
        <f>IF(OR(WORLDCUP!AD134="",WORLDCUP!AC134=""),"-",A223&amp;"-"&amp;B223)</f>
        <v>1-3</v>
      </c>
      <c r="F223" s="407">
        <f t="shared" si="1201"/>
        <v>4</v>
      </c>
      <c r="G223" s="407">
        <f ca="1">VLOOKUP(H223,Equipos!$Q$1:$R$25,2,0)</f>
        <v>22</v>
      </c>
      <c r="H223" s="65" t="str">
        <f>Idiomas!$D$262</f>
        <v>Cuartos de final</v>
      </c>
      <c r="I223" s="43">
        <v>1</v>
      </c>
      <c r="J223" s="849"/>
      <c r="K223" s="115" t="str">
        <f ca="1">CONCATENATE(WORLDCUP!AA134,"-",WORLDCUP!AF134)</f>
        <v>Argentina-Suiza</v>
      </c>
      <c r="L223" s="115">
        <f>IF(OR(WORLDCUP!AC134="",WORLDCUP!AD134=""),"PD",IF(WORLDCUP!AC134&gt;WORLDCUP!AD134,1,IF(WORLDCUP!AC134&lt;WORLDCUP!AD134,2,0)))</f>
        <v>1</v>
      </c>
      <c r="M223" s="116" t="str">
        <f t="shared" si="1150"/>
        <v>3-1</v>
      </c>
      <c r="N223" s="25">
        <f>WORLDCUP!AC134</f>
        <v>3</v>
      </c>
      <c r="O223" s="25">
        <f>WORLDCUP!AD134</f>
        <v>1</v>
      </c>
      <c r="P223" s="25">
        <f t="shared" si="1151"/>
        <v>2</v>
      </c>
      <c r="Q223" s="25">
        <f>+A223-B223</f>
        <v>-2</v>
      </c>
      <c r="R223" s="110"/>
      <c r="S223" s="80" t="s">
        <v>1991</v>
      </c>
      <c r="T223" s="81">
        <f t="shared" ca="1" si="1202"/>
        <v>0</v>
      </c>
      <c r="U223" s="110"/>
      <c r="V223" s="80" t="s">
        <v>2028</v>
      </c>
      <c r="W223" s="81">
        <f t="shared" ca="1" si="1152"/>
        <v>0</v>
      </c>
      <c r="X223" s="110"/>
      <c r="Y223" s="80" t="s">
        <v>2028</v>
      </c>
      <c r="Z223" s="81">
        <f t="shared" ca="1" si="1152"/>
        <v>0</v>
      </c>
      <c r="AA223" s="110"/>
      <c r="AB223" s="80" t="s">
        <v>2086</v>
      </c>
      <c r="AC223" s="81">
        <f t="shared" ca="1" si="1152"/>
        <v>0</v>
      </c>
      <c r="AD223" s="110"/>
      <c r="AE223" s="80" t="s">
        <v>2114</v>
      </c>
      <c r="AF223" s="81">
        <f t="shared" ca="1" si="1152"/>
        <v>0</v>
      </c>
      <c r="AG223" s="110"/>
      <c r="AH223" s="80" t="s">
        <v>2142</v>
      </c>
      <c r="AI223" s="81">
        <f t="shared" ca="1" si="1152"/>
        <v>0</v>
      </c>
      <c r="AJ223" s="110"/>
      <c r="AK223" s="80" t="s">
        <v>2168</v>
      </c>
      <c r="AL223" s="81">
        <f t="shared" ca="1" si="1152"/>
        <v>0</v>
      </c>
      <c r="AM223" s="110"/>
      <c r="AN223" s="80" t="s">
        <v>2199</v>
      </c>
      <c r="AO223" s="81">
        <f t="shared" ca="1" si="1152"/>
        <v>0</v>
      </c>
      <c r="AP223" s="110"/>
      <c r="AQ223" s="80" t="s">
        <v>2224</v>
      </c>
      <c r="AR223" s="81">
        <f t="shared" ca="1" si="1152"/>
        <v>0</v>
      </c>
      <c r="AS223" s="110"/>
      <c r="AT223" s="80" t="s">
        <v>2246</v>
      </c>
      <c r="AU223" s="81">
        <f t="shared" ca="1" si="1152"/>
        <v>0</v>
      </c>
      <c r="AV223" s="110"/>
      <c r="AW223" s="80" t="s">
        <v>2272</v>
      </c>
      <c r="AX223" s="81">
        <f t="shared" ca="1" si="1152"/>
        <v>0</v>
      </c>
      <c r="AY223" s="110"/>
      <c r="AZ223" s="80" t="s">
        <v>2168</v>
      </c>
      <c r="BA223" s="81">
        <f t="shared" ca="1" si="1152"/>
        <v>0</v>
      </c>
      <c r="BB223" s="110"/>
      <c r="BC223" s="80" t="s">
        <v>2028</v>
      </c>
      <c r="BD223" s="81">
        <f t="shared" ca="1" si="1152"/>
        <v>0</v>
      </c>
      <c r="BE223" s="110"/>
      <c r="BF223" s="80" t="s">
        <v>2340</v>
      </c>
      <c r="BG223" s="81">
        <f t="shared" ca="1" si="1152"/>
        <v>0</v>
      </c>
      <c r="BH223" s="110"/>
      <c r="BI223" s="80" t="s">
        <v>2086</v>
      </c>
      <c r="BJ223" s="81">
        <f t="shared" ca="1" si="1152"/>
        <v>0</v>
      </c>
      <c r="BK223" s="110"/>
      <c r="BL223" s="80" t="s">
        <v>2340</v>
      </c>
      <c r="BM223" s="81">
        <f t="shared" ca="1" si="1152"/>
        <v>0</v>
      </c>
      <c r="BN223" s="110"/>
      <c r="BO223" s="80" t="s">
        <v>2168</v>
      </c>
      <c r="BP223" s="81">
        <f t="shared" ca="1" si="1152"/>
        <v>0</v>
      </c>
      <c r="BQ223" s="110"/>
      <c r="BR223" s="80" t="s">
        <v>2398</v>
      </c>
      <c r="BS223" s="81">
        <f t="shared" ca="1" si="1152"/>
        <v>0</v>
      </c>
      <c r="BT223" s="110"/>
      <c r="BU223" s="80" t="s">
        <v>2419</v>
      </c>
      <c r="BV223" s="81">
        <f t="shared" ca="1" si="1152"/>
        <v>0</v>
      </c>
      <c r="BW223" s="110"/>
      <c r="BX223" s="80" t="s">
        <v>2437</v>
      </c>
      <c r="BY223" s="81">
        <f t="shared" ca="1" si="1152"/>
        <v>0</v>
      </c>
      <c r="BZ223" s="110"/>
      <c r="CA223" s="80" t="s">
        <v>2457</v>
      </c>
      <c r="CB223" s="81">
        <f t="shared" ca="1" si="1152"/>
        <v>0</v>
      </c>
      <c r="CC223" s="110"/>
      <c r="CD223" s="80" t="s">
        <v>2028</v>
      </c>
      <c r="CE223" s="81">
        <f t="shared" ca="1" si="1152"/>
        <v>0</v>
      </c>
      <c r="CF223" s="110"/>
      <c r="CG223" s="80" t="s">
        <v>2340</v>
      </c>
      <c r="CH223" s="81">
        <f t="shared" ca="1" si="1152"/>
        <v>0</v>
      </c>
      <c r="CI223" s="110"/>
      <c r="CJ223" s="80" t="s">
        <v>2168</v>
      </c>
      <c r="CK223" s="81">
        <f t="shared" ca="1" si="1174"/>
        <v>0</v>
      </c>
      <c r="CL223" s="110"/>
      <c r="CM223" s="80" t="s">
        <v>2028</v>
      </c>
      <c r="CN223" s="81">
        <f t="shared" ca="1" si="1174"/>
        <v>0</v>
      </c>
      <c r="CO223" s="110"/>
      <c r="CP223" s="80" t="s">
        <v>2168</v>
      </c>
      <c r="CQ223" s="81">
        <f t="shared" ca="1" si="1174"/>
        <v>0</v>
      </c>
      <c r="CR223" s="110"/>
      <c r="CS223" s="80" t="s">
        <v>2340</v>
      </c>
      <c r="CT223" s="81">
        <f t="shared" ca="1" si="1174"/>
        <v>0</v>
      </c>
      <c r="CU223" s="110"/>
      <c r="CV223" s="80" t="s">
        <v>2028</v>
      </c>
      <c r="CW223" s="81">
        <f t="shared" ca="1" si="1174"/>
        <v>0</v>
      </c>
      <c r="CX223" s="110"/>
      <c r="CY223" s="80" t="s">
        <v>2575</v>
      </c>
      <c r="CZ223" s="81">
        <f t="shared" ca="1" si="1174"/>
        <v>0</v>
      </c>
      <c r="DA223" s="110"/>
      <c r="DB223" s="80" t="s">
        <v>2457</v>
      </c>
      <c r="DC223" s="81">
        <f t="shared" ca="1" si="1174"/>
        <v>0</v>
      </c>
      <c r="DD223" s="110"/>
      <c r="DE223" s="80" t="s">
        <v>2602</v>
      </c>
      <c r="DF223" s="81">
        <f t="shared" ca="1" si="1174"/>
        <v>0</v>
      </c>
      <c r="DG223" s="110"/>
      <c r="DH223" s="80" t="s">
        <v>2419</v>
      </c>
      <c r="DI223" s="81">
        <f t="shared" ca="1" si="1174"/>
        <v>0</v>
      </c>
      <c r="DJ223" s="110"/>
      <c r="DK223" s="80" t="s">
        <v>2398</v>
      </c>
      <c r="DL223" s="81">
        <f t="shared" ca="1" si="1174"/>
        <v>0</v>
      </c>
      <c r="DM223" s="110"/>
      <c r="DN223" s="795" t="s">
        <v>2142</v>
      </c>
      <c r="DO223" s="81">
        <f t="shared" ca="1" si="1174"/>
        <v>0</v>
      </c>
      <c r="DP223" s="110"/>
      <c r="DQ223" s="795" t="s">
        <v>2419</v>
      </c>
      <c r="DR223" s="81">
        <f t="shared" ca="1" si="1174"/>
        <v>0</v>
      </c>
      <c r="DS223" s="110"/>
      <c r="DT223" s="80" t="s">
        <v>2692</v>
      </c>
      <c r="DU223" s="81">
        <f t="shared" ca="1" si="1174"/>
        <v>0</v>
      </c>
      <c r="DV223" s="110"/>
      <c r="DW223" s="80" t="s">
        <v>2709</v>
      </c>
      <c r="DX223" s="81">
        <f t="shared" ca="1" si="1174"/>
        <v>0</v>
      </c>
      <c r="DY223" s="110"/>
      <c r="DZ223" s="80" t="s">
        <v>2398</v>
      </c>
      <c r="EA223" s="81">
        <f t="shared" ca="1" si="1174"/>
        <v>0</v>
      </c>
      <c r="EB223" s="110"/>
      <c r="EC223" s="80" t="s">
        <v>2086</v>
      </c>
      <c r="ED223" s="81">
        <f t="shared" ca="1" si="1174"/>
        <v>0</v>
      </c>
      <c r="EE223" s="110"/>
      <c r="EF223" s="80" t="s">
        <v>2747</v>
      </c>
      <c r="EG223" s="81">
        <f t="shared" ca="1" si="1174"/>
        <v>0</v>
      </c>
      <c r="EH223" s="110"/>
      <c r="EI223" s="80" t="s">
        <v>2419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1</v>
      </c>
      <c r="AA224" s="65"/>
      <c r="AB224" s="84"/>
      <c r="AC224" s="71">
        <f t="shared" ref="AC224" ca="1" si="1205">SUM(AC220:AC223)</f>
        <v>0</v>
      </c>
      <c r="AD224" s="65"/>
      <c r="AE224" s="84"/>
      <c r="AF224" s="71">
        <f t="shared" ref="AF224" ca="1" si="1206">SUM(AF220:AF223)</f>
        <v>2</v>
      </c>
      <c r="AG224" s="65"/>
      <c r="AH224" s="84"/>
      <c r="AI224" s="71">
        <f t="shared" ref="AI224" ca="1" si="1207">SUM(AI220:AI223)</f>
        <v>2</v>
      </c>
      <c r="AJ224" s="65"/>
      <c r="AK224" s="84"/>
      <c r="AL224" s="71">
        <f t="shared" ref="AL224" ca="1" si="1208">SUM(AL220:AL223)</f>
        <v>0</v>
      </c>
      <c r="AM224" s="65"/>
      <c r="AN224" s="84"/>
      <c r="AO224" s="71">
        <f t="shared" ref="AO224" ca="1" si="1209">SUM(AO220:AO223)</f>
        <v>1</v>
      </c>
      <c r="AP224" s="65"/>
      <c r="AQ224" s="84"/>
      <c r="AR224" s="71">
        <f t="shared" ref="AR224" ca="1" si="1210">SUM(AR220:AR223)</f>
        <v>3</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1</v>
      </c>
      <c r="BE224" s="65"/>
      <c r="BF224" s="84"/>
      <c r="BG224" s="71">
        <f t="shared" ref="BG224" ca="1" si="1215">SUM(BG220:BG223)</f>
        <v>1</v>
      </c>
      <c r="BH224" s="65"/>
      <c r="BI224" s="84"/>
      <c r="BJ224" s="71">
        <f t="shared" ref="BJ224" ca="1" si="1216">SUM(BJ220:BJ223)</f>
        <v>0</v>
      </c>
      <c r="BK224" s="65"/>
      <c r="BL224" s="84"/>
      <c r="BM224" s="71">
        <f t="shared" ref="BM224" ca="1" si="1217">SUM(BM220:BM223)</f>
        <v>5</v>
      </c>
      <c r="BN224" s="65"/>
      <c r="BO224" s="84"/>
      <c r="BP224" s="71">
        <f t="shared" ref="BP224" ca="1" si="1218">SUM(BP220:BP223)</f>
        <v>1</v>
      </c>
      <c r="BQ224" s="65"/>
      <c r="BR224" s="84"/>
      <c r="BS224" s="71">
        <f t="shared" ref="BS224" ca="1" si="1219">SUM(BS220:BS223)</f>
        <v>2</v>
      </c>
      <c r="BT224" s="65"/>
      <c r="BU224" s="84"/>
      <c r="BV224" s="71">
        <f t="shared" ref="BV224" ca="1" si="1220">SUM(BV220:BV223)</f>
        <v>1</v>
      </c>
      <c r="BW224" s="65"/>
      <c r="BX224" s="84"/>
      <c r="BY224" s="71">
        <f t="shared" ref="BY224" ca="1" si="1221">SUM(BY220:BY223)</f>
        <v>4</v>
      </c>
      <c r="BZ224" s="65"/>
      <c r="CA224" s="84"/>
      <c r="CB224" s="71">
        <f t="shared" ref="CB224" ca="1" si="1222">SUM(CB220:CB223)</f>
        <v>1</v>
      </c>
      <c r="CC224" s="65"/>
      <c r="CD224" s="84"/>
      <c r="CE224" s="71">
        <f t="shared" ref="CE224" ca="1" si="1223">SUM(CE220:CE223)</f>
        <v>0</v>
      </c>
      <c r="CF224" s="65"/>
      <c r="CG224" s="84"/>
      <c r="CH224" s="71">
        <f t="shared" ref="CH224" ca="1" si="1224">SUM(CH220:CH223)</f>
        <v>0</v>
      </c>
      <c r="CI224" s="65"/>
      <c r="CJ224" s="84"/>
      <c r="CK224" s="71">
        <f t="shared" ref="CK224" ca="1" si="1225">SUM(CK220:CK223)</f>
        <v>4</v>
      </c>
      <c r="CL224" s="65"/>
      <c r="CM224" s="84"/>
      <c r="CN224" s="71">
        <f t="shared" ref="CN224" ca="1" si="1226">SUM(CN220:CN223)</f>
        <v>0</v>
      </c>
      <c r="CO224" s="65"/>
      <c r="CP224" s="84"/>
      <c r="CQ224" s="71">
        <f t="shared" ref="CQ224" ca="1" si="1227">SUM(CQ220:CQ223)</f>
        <v>2</v>
      </c>
      <c r="CR224" s="65"/>
      <c r="CS224" s="84"/>
      <c r="CT224" s="71">
        <f t="shared" ref="CT224" ca="1" si="1228">SUM(CT220:CT223)</f>
        <v>8</v>
      </c>
      <c r="CU224" s="65"/>
      <c r="CV224" s="84"/>
      <c r="CW224" s="71">
        <f t="shared" ref="CW224" ca="1" si="1229">SUM(CW220:CW223)</f>
        <v>3</v>
      </c>
      <c r="CX224" s="65"/>
      <c r="CY224" s="84"/>
      <c r="CZ224" s="71">
        <f t="shared" ref="CZ224" ca="1" si="1230">SUM(CZ220:CZ223)</f>
        <v>6</v>
      </c>
      <c r="DA224" s="65"/>
      <c r="DB224" s="84"/>
      <c r="DC224" s="71">
        <f t="shared" ref="DC224" ca="1" si="1231">SUM(DC220:DC223)</f>
        <v>2</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1</v>
      </c>
      <c r="DS224" s="65"/>
      <c r="DT224" s="84"/>
      <c r="DU224" s="71">
        <f t="shared" ref="DU224" ca="1" si="1237">SUM(DU220:DU223)</f>
        <v>1</v>
      </c>
      <c r="DV224" s="65"/>
      <c r="DW224" s="84"/>
      <c r="DX224" s="71">
        <f t="shared" ref="DX224" ca="1" si="1238">SUM(DX220:DX223)</f>
        <v>4</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1</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 ca="1">WORLDCUP!AA138</f>
        <v>Francia</v>
      </c>
      <c r="N226" s="25"/>
      <c r="O226" s="25"/>
      <c r="P226" s="25"/>
      <c r="Q226" s="25"/>
      <c r="R226" s="110"/>
      <c r="S226" s="76" t="s">
        <v>77</v>
      </c>
      <c r="T226" s="77">
        <f ca="1">COUNTIF($M$226:$M$229,S226)*$D$27</f>
        <v>0</v>
      </c>
      <c r="U226" s="64"/>
      <c r="V226" s="76" t="s">
        <v>74</v>
      </c>
      <c r="W226" s="77">
        <f t="shared" ref="W226" ca="1" si="1252">COUNTIF($M$226:$M$229,V226)*$D$27</f>
        <v>5</v>
      </c>
      <c r="X226" s="64"/>
      <c r="Y226" s="76" t="s">
        <v>74</v>
      </c>
      <c r="Z226" s="77">
        <f t="shared" ref="Z226" ca="1" si="1253">COUNTIF($M$226:$M$229,Y226)*$D$27</f>
        <v>5</v>
      </c>
      <c r="AA226" s="64"/>
      <c r="AB226" s="76" t="s">
        <v>74</v>
      </c>
      <c r="AC226" s="77">
        <f t="shared" ref="AC226" ca="1" si="1254">COUNTIF($M$226:$M$229,AB226)*$D$27</f>
        <v>5</v>
      </c>
      <c r="AD226" s="64"/>
      <c r="AE226" s="76" t="s">
        <v>74</v>
      </c>
      <c r="AF226" s="77">
        <f t="shared" ref="AF226" ca="1" si="1255">COUNTIF($M$226:$M$229,AE226)*$D$27</f>
        <v>5</v>
      </c>
      <c r="AG226" s="64"/>
      <c r="AH226" s="76" t="s">
        <v>74</v>
      </c>
      <c r="AI226" s="77">
        <f t="shared" ref="AI226" ca="1" si="1256">COUNTIF($M$226:$M$229,AH226)*$D$27</f>
        <v>5</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5</v>
      </c>
      <c r="AS226" s="64"/>
      <c r="AT226" s="76" t="s">
        <v>74</v>
      </c>
      <c r="AU226" s="77">
        <f t="shared" ref="AU226" ca="1" si="1260">COUNTIF($M$226:$M$229,AT226)*$D$27</f>
        <v>5</v>
      </c>
      <c r="AV226" s="64"/>
      <c r="AW226" s="76" t="s">
        <v>74</v>
      </c>
      <c r="AX226" s="77">
        <f t="shared" ref="AX226" ca="1" si="1261">COUNTIF($M$226:$M$229,AW226)*$D$27</f>
        <v>5</v>
      </c>
      <c r="AY226" s="64"/>
      <c r="AZ226" s="76" t="s">
        <v>74</v>
      </c>
      <c r="BA226" s="77">
        <f t="shared" ref="BA226" ca="1" si="1262">COUNTIF($M$226:$M$229,AZ226)*$D$27</f>
        <v>5</v>
      </c>
      <c r="BB226" s="64"/>
      <c r="BC226" s="76" t="s">
        <v>74</v>
      </c>
      <c r="BD226" s="77">
        <f t="shared" ref="BD226" ca="1" si="1263">COUNTIF($M$226:$M$229,BC226)*$D$27</f>
        <v>5</v>
      </c>
      <c r="BE226" s="64"/>
      <c r="BF226" s="76" t="s">
        <v>74</v>
      </c>
      <c r="BG226" s="77">
        <f t="shared" ref="BG226" ca="1" si="1264">COUNTIF($M$226:$M$229,BF226)*$D$27</f>
        <v>5</v>
      </c>
      <c r="BH226" s="64"/>
      <c r="BI226" s="76" t="s">
        <v>74</v>
      </c>
      <c r="BJ226" s="77">
        <f t="shared" ref="BJ226" ca="1" si="1265">COUNTIF($M$226:$M$229,BI226)*$D$27</f>
        <v>5</v>
      </c>
      <c r="BK226" s="64"/>
      <c r="BL226" s="76" t="s">
        <v>74</v>
      </c>
      <c r="BM226" s="77">
        <f t="shared" ref="BM226" ca="1" si="1266">COUNTIF($M$226:$M$229,BL226)*$D$27</f>
        <v>5</v>
      </c>
      <c r="BN226" s="64"/>
      <c r="BO226" s="76" t="s">
        <v>74</v>
      </c>
      <c r="BP226" s="77">
        <f t="shared" ref="BP226" ca="1" si="1267">COUNTIF($M$226:$M$229,BO226)*$D$27</f>
        <v>5</v>
      </c>
      <c r="BQ226" s="64"/>
      <c r="BR226" s="76" t="s">
        <v>74</v>
      </c>
      <c r="BS226" s="77">
        <f t="shared" ref="BS226" ca="1" si="1268">COUNTIF($M$226:$M$229,BR226)*$D$27</f>
        <v>5</v>
      </c>
      <c r="BT226" s="64"/>
      <c r="BU226" s="76" t="s">
        <v>74</v>
      </c>
      <c r="BV226" s="77">
        <f t="shared" ref="BV226" ca="1" si="1269">COUNTIF($M$226:$M$229,BU226)*$D$27</f>
        <v>5</v>
      </c>
      <c r="BW226" s="64"/>
      <c r="BX226" s="76" t="s">
        <v>74</v>
      </c>
      <c r="BY226" s="77">
        <f t="shared" ref="BY226" ca="1" si="1270">COUNTIF($M$226:$M$229,BX226)*$D$27</f>
        <v>5</v>
      </c>
      <c r="BZ226" s="64"/>
      <c r="CA226" s="76" t="s">
        <v>77</v>
      </c>
      <c r="CB226" s="77">
        <f t="shared" ref="CB226" ca="1" si="1271">COUNTIF($M$226:$M$229,CA226)*$D$27</f>
        <v>0</v>
      </c>
      <c r="CC226" s="64"/>
      <c r="CD226" s="76" t="s">
        <v>74</v>
      </c>
      <c r="CE226" s="77">
        <f t="shared" ref="CE226" ca="1" si="1272">COUNTIF($M$226:$M$229,CD226)*$D$27</f>
        <v>5</v>
      </c>
      <c r="CF226" s="64"/>
      <c r="CG226" s="76" t="s">
        <v>74</v>
      </c>
      <c r="CH226" s="77">
        <f t="shared" ref="CH226" ca="1" si="1273">COUNTIF($M$226:$M$229,CG226)*$D$27</f>
        <v>5</v>
      </c>
      <c r="CI226" s="64"/>
      <c r="CJ226" s="76" t="s">
        <v>74</v>
      </c>
      <c r="CK226" s="77">
        <f t="shared" ref="CK226" ca="1" si="1274">COUNTIF($M$226:$M$229,CJ226)*$D$27</f>
        <v>5</v>
      </c>
      <c r="CL226" s="64"/>
      <c r="CM226" s="76" t="s">
        <v>74</v>
      </c>
      <c r="CN226" s="77">
        <f t="shared" ref="CN226" ca="1" si="1275">COUNTIF($M$226:$M$229,CM226)*$D$27</f>
        <v>5</v>
      </c>
      <c r="CO226" s="64"/>
      <c r="CP226" s="76" t="s">
        <v>74</v>
      </c>
      <c r="CQ226" s="77">
        <f t="shared" ref="CQ226" ca="1" si="1276">COUNTIF($M$226:$M$229,CP226)*$D$27</f>
        <v>5</v>
      </c>
      <c r="CR226" s="64"/>
      <c r="CS226" s="76" t="s">
        <v>74</v>
      </c>
      <c r="CT226" s="77">
        <f t="shared" ref="CT226" ca="1" si="1277">COUNTIF($M$226:$M$229,CS226)*$D$27</f>
        <v>5</v>
      </c>
      <c r="CU226" s="64"/>
      <c r="CV226" s="76" t="s">
        <v>74</v>
      </c>
      <c r="CW226" s="77">
        <f t="shared" ref="CW226" ca="1" si="1278">COUNTIF($M$226:$M$229,CV226)*$D$27</f>
        <v>5</v>
      </c>
      <c r="CX226" s="64"/>
      <c r="CY226" s="76" t="s">
        <v>74</v>
      </c>
      <c r="CZ226" s="77">
        <f t="shared" ref="CZ226" ca="1" si="1279">COUNTIF($M$226:$M$229,CY226)*$D$27</f>
        <v>5</v>
      </c>
      <c r="DA226" s="64"/>
      <c r="DB226" s="76" t="s">
        <v>74</v>
      </c>
      <c r="DC226" s="77">
        <f t="shared" ref="DC226" ca="1" si="1280">COUNTIF($M$226:$M$229,DB226)*$D$27</f>
        <v>5</v>
      </c>
      <c r="DD226" s="64"/>
      <c r="DE226" s="76" t="s">
        <v>77</v>
      </c>
      <c r="DF226" s="77">
        <f t="shared" ref="DF226" ca="1" si="1281">COUNTIF($M$226:$M$229,DE226)*$D$27</f>
        <v>0</v>
      </c>
      <c r="DG226" s="64"/>
      <c r="DH226" s="76" t="s">
        <v>74</v>
      </c>
      <c r="DI226" s="77">
        <f t="shared" ref="DI226" ca="1" si="1282">COUNTIF($M$226:$M$229,DH226)*$D$27</f>
        <v>5</v>
      </c>
      <c r="DJ226" s="64"/>
      <c r="DK226" s="76" t="s">
        <v>74</v>
      </c>
      <c r="DL226" s="77">
        <f t="shared" ref="DL226" ca="1" si="1283">COUNTIF($M$226:$M$229,DK226)*$D$27</f>
        <v>5</v>
      </c>
      <c r="DM226" s="64"/>
      <c r="DN226" s="795" t="s">
        <v>74</v>
      </c>
      <c r="DO226" s="77">
        <f t="shared" ref="DO226" ca="1" si="1284">COUNTIF($M$226:$M$229,DN226)*$D$27</f>
        <v>5</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5</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5</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 ca="1">WORLDCUP!AA139</f>
        <v>Inglaterra</v>
      </c>
      <c r="N227" s="25"/>
      <c r="O227" s="25"/>
      <c r="P227" s="25"/>
      <c r="Q227" s="25"/>
      <c r="R227" s="110"/>
      <c r="S227" s="74" t="s">
        <v>76</v>
      </c>
      <c r="T227" s="73">
        <f ca="1">COUNTIF($M$226:$M$229,S227)*$D$27</f>
        <v>5</v>
      </c>
      <c r="U227" s="64"/>
      <c r="V227" s="74" t="s">
        <v>76</v>
      </c>
      <c r="W227" s="73">
        <f t="shared" ref="W227" ca="1" si="1302">COUNTIF($M$226:$M$229,V227)*$D$27</f>
        <v>5</v>
      </c>
      <c r="X227" s="64"/>
      <c r="Y227" s="74" t="s">
        <v>1258</v>
      </c>
      <c r="Z227" s="73">
        <f t="shared" ref="Z227" ca="1" si="1303">COUNTIF($M$226:$M$229,Y227)*$D$27</f>
        <v>0</v>
      </c>
      <c r="AA227" s="64"/>
      <c r="AB227" s="74" t="s">
        <v>76</v>
      </c>
      <c r="AC227" s="73">
        <f t="shared" ref="AC227" ca="1" si="1304">COUNTIF($M$226:$M$229,AB227)*$D$27</f>
        <v>5</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5</v>
      </c>
      <c r="AM227" s="64"/>
      <c r="AN227" s="74" t="s">
        <v>76</v>
      </c>
      <c r="AO227" s="73">
        <f t="shared" ref="AO227" ca="1" si="1308">COUNTIF($M$226:$M$229,AN227)*$D$27</f>
        <v>5</v>
      </c>
      <c r="AP227" s="64"/>
      <c r="AQ227" s="74" t="s">
        <v>76</v>
      </c>
      <c r="AR227" s="73">
        <f t="shared" ref="AR227" ca="1" si="1309">COUNTIF($M$226:$M$229,AQ227)*$D$27</f>
        <v>5</v>
      </c>
      <c r="AS227" s="64"/>
      <c r="AT227" s="74" t="s">
        <v>76</v>
      </c>
      <c r="AU227" s="73">
        <f t="shared" ref="AU227" ca="1" si="1310">COUNTIF($M$226:$M$229,AT227)*$D$27</f>
        <v>5</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5</v>
      </c>
      <c r="BH227" s="64"/>
      <c r="BI227" s="74" t="s">
        <v>1258</v>
      </c>
      <c r="BJ227" s="73">
        <f t="shared" ref="BJ227" ca="1" si="1315">COUNTIF($M$226:$M$229,BI227)*$D$27</f>
        <v>0</v>
      </c>
      <c r="BK227" s="64"/>
      <c r="BL227" s="74" t="s">
        <v>76</v>
      </c>
      <c r="BM227" s="73">
        <f t="shared" ref="BM227" ca="1" si="1316">COUNTIF($M$226:$M$229,BL227)*$D$27</f>
        <v>5</v>
      </c>
      <c r="BN227" s="64"/>
      <c r="BO227" s="74" t="s">
        <v>76</v>
      </c>
      <c r="BP227" s="73">
        <f t="shared" ref="BP227" ca="1" si="1317">COUNTIF($M$226:$M$229,BO227)*$D$27</f>
        <v>5</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5</v>
      </c>
      <c r="BZ227" s="64"/>
      <c r="CA227" s="74" t="s">
        <v>76</v>
      </c>
      <c r="CB227" s="73">
        <f t="shared" ref="CB227" ca="1" si="1321">COUNTIF($M$226:$M$229,CA227)*$D$27</f>
        <v>5</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5</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5</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5</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5</v>
      </c>
      <c r="EH227" s="64"/>
      <c r="EI227" s="74" t="s">
        <v>76</v>
      </c>
      <c r="EJ227" s="73">
        <f t="shared" ref="EJ227" ca="1" si="1341">COUNTIF($M$226:$M$229,EI227)*$D$27</f>
        <v>5</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 ca="1">WORLDCUP!AF138</f>
        <v>España</v>
      </c>
      <c r="N228" s="25"/>
      <c r="O228" s="25"/>
      <c r="P228" s="25"/>
      <c r="Q228" s="25"/>
      <c r="R228" s="110"/>
      <c r="S228" s="74" t="s">
        <v>38</v>
      </c>
      <c r="T228" s="73">
        <f ca="1">COUNTIF($M$226:$M$229,S228)*$D$27</f>
        <v>5</v>
      </c>
      <c r="U228" s="64"/>
      <c r="V228" s="74" t="s">
        <v>38</v>
      </c>
      <c r="W228" s="73">
        <f t="shared" ref="W228" ca="1" si="1351">COUNTIF($M$226:$M$229,V228)*$D$27</f>
        <v>5</v>
      </c>
      <c r="X228" s="64"/>
      <c r="Y228" s="74" t="s">
        <v>38</v>
      </c>
      <c r="Z228" s="73">
        <f t="shared" ref="Z228" ca="1" si="1352">COUNTIF($M$226:$M$229,Y228)*$D$27</f>
        <v>5</v>
      </c>
      <c r="AA228" s="64"/>
      <c r="AB228" s="74" t="s">
        <v>38</v>
      </c>
      <c r="AC228" s="73">
        <f t="shared" ref="AC228" ca="1" si="1353">COUNTIF($M$226:$M$229,AB228)*$D$27</f>
        <v>5</v>
      </c>
      <c r="AD228" s="64"/>
      <c r="AE228" s="74" t="s">
        <v>38</v>
      </c>
      <c r="AF228" s="73">
        <f t="shared" ref="AF228" ca="1" si="1354">COUNTIF($M$226:$M$229,AE228)*$D$27</f>
        <v>5</v>
      </c>
      <c r="AG228" s="64"/>
      <c r="AH228" s="74" t="s">
        <v>38</v>
      </c>
      <c r="AI228" s="73">
        <f t="shared" ref="AI228" ca="1" si="1355">COUNTIF($M$226:$M$229,AH228)*$D$27</f>
        <v>5</v>
      </c>
      <c r="AJ228" s="64"/>
      <c r="AK228" s="74" t="s">
        <v>38</v>
      </c>
      <c r="AL228" s="73">
        <f t="shared" ref="AL228" ca="1" si="1356">COUNTIF($M$226:$M$229,AK228)*$D$27</f>
        <v>5</v>
      </c>
      <c r="AM228" s="64"/>
      <c r="AN228" s="74" t="s">
        <v>1320</v>
      </c>
      <c r="AO228" s="73">
        <f t="shared" ref="AO228" ca="1" si="1357">COUNTIF($M$226:$M$229,AN228)*$D$27</f>
        <v>0</v>
      </c>
      <c r="AP228" s="64"/>
      <c r="AQ228" s="74" t="s">
        <v>38</v>
      </c>
      <c r="AR228" s="73">
        <f t="shared" ref="AR228" ca="1" si="1358">COUNTIF($M$226:$M$229,AQ228)*$D$27</f>
        <v>5</v>
      </c>
      <c r="AS228" s="64"/>
      <c r="AT228" s="74" t="s">
        <v>38</v>
      </c>
      <c r="AU228" s="73">
        <f t="shared" ref="AU228" ca="1" si="1359">COUNTIF($M$226:$M$229,AT228)*$D$27</f>
        <v>5</v>
      </c>
      <c r="AV228" s="64"/>
      <c r="AW228" s="74" t="s">
        <v>38</v>
      </c>
      <c r="AX228" s="73">
        <f t="shared" ref="AX228" ca="1" si="1360">COUNTIF($M$226:$M$229,AW228)*$D$27</f>
        <v>5</v>
      </c>
      <c r="AY228" s="64"/>
      <c r="AZ228" s="74" t="s">
        <v>38</v>
      </c>
      <c r="BA228" s="73">
        <f t="shared" ref="BA228" ca="1" si="1361">COUNTIF($M$226:$M$229,AZ228)*$D$27</f>
        <v>5</v>
      </c>
      <c r="BB228" s="64"/>
      <c r="BC228" s="74" t="s">
        <v>38</v>
      </c>
      <c r="BD228" s="73">
        <f t="shared" ref="BD228" ca="1" si="1362">COUNTIF($M$226:$M$229,BC228)*$D$27</f>
        <v>5</v>
      </c>
      <c r="BE228" s="64"/>
      <c r="BF228" s="74" t="s">
        <v>38</v>
      </c>
      <c r="BG228" s="73">
        <f t="shared" ref="BG228" ca="1" si="1363">COUNTIF($M$226:$M$229,BF228)*$D$27</f>
        <v>5</v>
      </c>
      <c r="BH228" s="64"/>
      <c r="BI228" s="74" t="s">
        <v>38</v>
      </c>
      <c r="BJ228" s="73">
        <f t="shared" ref="BJ228" ca="1" si="1364">COUNTIF($M$226:$M$229,BI228)*$D$27</f>
        <v>5</v>
      </c>
      <c r="BK228" s="64"/>
      <c r="BL228" s="74" t="s">
        <v>38</v>
      </c>
      <c r="BM228" s="73">
        <f t="shared" ref="BM228" ca="1" si="1365">COUNTIF($M$226:$M$229,BL228)*$D$27</f>
        <v>5</v>
      </c>
      <c r="BN228" s="64"/>
      <c r="BO228" s="74" t="s">
        <v>38</v>
      </c>
      <c r="BP228" s="73">
        <f t="shared" ref="BP228" ca="1" si="1366">COUNTIF($M$226:$M$229,BO228)*$D$27</f>
        <v>5</v>
      </c>
      <c r="BQ228" s="64"/>
      <c r="BR228" s="74" t="s">
        <v>38</v>
      </c>
      <c r="BS228" s="73">
        <f t="shared" ref="BS228" ca="1" si="1367">COUNTIF($M$226:$M$229,BR228)*$D$27</f>
        <v>5</v>
      </c>
      <c r="BT228" s="64"/>
      <c r="BU228" s="74" t="s">
        <v>38</v>
      </c>
      <c r="BV228" s="73">
        <f t="shared" ref="BV228" ca="1" si="1368">COUNTIF($M$226:$M$229,BU228)*$D$27</f>
        <v>5</v>
      </c>
      <c r="BW228" s="64"/>
      <c r="BX228" s="74" t="s">
        <v>38</v>
      </c>
      <c r="BY228" s="73">
        <f t="shared" ref="BY228" ca="1" si="1369">COUNTIF($M$226:$M$229,BX228)*$D$27</f>
        <v>5</v>
      </c>
      <c r="BZ228" s="64"/>
      <c r="CA228" s="74" t="s">
        <v>38</v>
      </c>
      <c r="CB228" s="73">
        <f t="shared" ref="CB228" ca="1" si="1370">COUNTIF($M$226:$M$229,CA228)*$D$27</f>
        <v>5</v>
      </c>
      <c r="CC228" s="64"/>
      <c r="CD228" s="74" t="s">
        <v>38</v>
      </c>
      <c r="CE228" s="73">
        <f t="shared" ref="CE228" ca="1" si="1371">COUNTIF($M$226:$M$229,CD228)*$D$27</f>
        <v>5</v>
      </c>
      <c r="CF228" s="64"/>
      <c r="CG228" s="74" t="s">
        <v>38</v>
      </c>
      <c r="CH228" s="73">
        <f t="shared" ref="CH228" ca="1" si="1372">COUNTIF($M$226:$M$229,CG228)*$D$27</f>
        <v>5</v>
      </c>
      <c r="CI228" s="64"/>
      <c r="CJ228" s="74" t="s">
        <v>38</v>
      </c>
      <c r="CK228" s="73">
        <f t="shared" ref="CK228" ca="1" si="1373">COUNTIF($M$226:$M$229,CJ228)*$D$27</f>
        <v>5</v>
      </c>
      <c r="CL228" s="64"/>
      <c r="CM228" s="74" t="s">
        <v>38</v>
      </c>
      <c r="CN228" s="73">
        <f t="shared" ref="CN228" ca="1" si="1374">COUNTIF($M$226:$M$229,CM228)*$D$27</f>
        <v>5</v>
      </c>
      <c r="CO228" s="64"/>
      <c r="CP228" s="74" t="s">
        <v>38</v>
      </c>
      <c r="CQ228" s="73">
        <f t="shared" ref="CQ228" ca="1" si="1375">COUNTIF($M$226:$M$229,CP228)*$D$27</f>
        <v>5</v>
      </c>
      <c r="CR228" s="64"/>
      <c r="CS228" s="74" t="s">
        <v>38</v>
      </c>
      <c r="CT228" s="73">
        <f t="shared" ref="CT228" ca="1" si="1376">COUNTIF($M$226:$M$229,CS228)*$D$27</f>
        <v>5</v>
      </c>
      <c r="CU228" s="64"/>
      <c r="CV228" s="74" t="s">
        <v>38</v>
      </c>
      <c r="CW228" s="73">
        <f t="shared" ref="CW228" ca="1" si="1377">COUNTIF($M$226:$M$229,CV228)*$D$27</f>
        <v>5</v>
      </c>
      <c r="CX228" s="64"/>
      <c r="CY228" s="74" t="s">
        <v>38</v>
      </c>
      <c r="CZ228" s="73">
        <f t="shared" ref="CZ228" ca="1" si="1378">COUNTIF($M$226:$M$229,CY228)*$D$27</f>
        <v>5</v>
      </c>
      <c r="DA228" s="64"/>
      <c r="DB228" s="74" t="s">
        <v>38</v>
      </c>
      <c r="DC228" s="73">
        <f t="shared" ref="DC228" ca="1" si="1379">COUNTIF($M$226:$M$229,DB228)*$D$27</f>
        <v>5</v>
      </c>
      <c r="DD228" s="64"/>
      <c r="DE228" s="74" t="s">
        <v>1835</v>
      </c>
      <c r="DF228" s="73">
        <f t="shared" ref="DF228" ca="1" si="1380">COUNTIF($M$226:$M$229,DE228)*$D$27</f>
        <v>0</v>
      </c>
      <c r="DG228" s="64"/>
      <c r="DH228" s="74" t="s">
        <v>38</v>
      </c>
      <c r="DI228" s="73">
        <f t="shared" ref="DI228" ca="1" si="1381">COUNTIF($M$226:$M$229,DH228)*$D$27</f>
        <v>5</v>
      </c>
      <c r="DJ228" s="64"/>
      <c r="DK228" s="74" t="s">
        <v>38</v>
      </c>
      <c r="DL228" s="73">
        <f t="shared" ref="DL228" ca="1" si="1382">COUNTIF($M$226:$M$229,DK228)*$D$27</f>
        <v>5</v>
      </c>
      <c r="DM228" s="64"/>
      <c r="DN228" s="795" t="s">
        <v>38</v>
      </c>
      <c r="DO228" s="73">
        <f t="shared" ref="DO228" ca="1" si="1383">COUNTIF($M$226:$M$229,DN228)*$D$27</f>
        <v>5</v>
      </c>
      <c r="DP228" s="64"/>
      <c r="DQ228" s="795" t="s">
        <v>76</v>
      </c>
      <c r="DR228" s="73">
        <f t="shared" ref="DR228" ca="1" si="1384">COUNTIF($M$226:$M$229,DQ228)*$D$27</f>
        <v>5</v>
      </c>
      <c r="DS228" s="64"/>
      <c r="DT228" s="74" t="s">
        <v>38</v>
      </c>
      <c r="DU228" s="73">
        <f t="shared" ref="DU228" ca="1" si="1385">COUNTIF($M$226:$M$229,DT228)*$D$27</f>
        <v>5</v>
      </c>
      <c r="DV228" s="64"/>
      <c r="DW228" s="74" t="s">
        <v>38</v>
      </c>
      <c r="DX228" s="73">
        <f t="shared" ref="DX228" ca="1" si="1386">COUNTIF($M$226:$M$229,DW228)*$D$27</f>
        <v>5</v>
      </c>
      <c r="DY228" s="64"/>
      <c r="DZ228" s="74" t="s">
        <v>38</v>
      </c>
      <c r="EA228" s="73">
        <f t="shared" ref="EA228" ca="1" si="1387">COUNTIF($M$226:$M$229,DZ228)*$D$27</f>
        <v>5</v>
      </c>
      <c r="EB228" s="64"/>
      <c r="EC228" s="74" t="s">
        <v>38</v>
      </c>
      <c r="ED228" s="73">
        <f t="shared" ref="ED228" ca="1" si="1388">COUNTIF($M$226:$M$229,EC228)*$D$27</f>
        <v>5</v>
      </c>
      <c r="EE228" s="64"/>
      <c r="EF228" s="74" t="s">
        <v>38</v>
      </c>
      <c r="EG228" s="73">
        <f t="shared" ref="EG228" ca="1" si="1389">COUNTIF($M$226:$M$229,EF228)*$D$27</f>
        <v>5</v>
      </c>
      <c r="EH228" s="64"/>
      <c r="EI228" s="74" t="s">
        <v>38</v>
      </c>
      <c r="EJ228" s="73">
        <f t="shared" ref="EJ228" ca="1" si="1390">COUNTIF($M$226:$M$229,EI228)*$D$27</f>
        <v>5</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 ca="1">WORLDCUP!AF139</f>
        <v>Argentina</v>
      </c>
      <c r="N229" s="25"/>
      <c r="O229" s="25"/>
      <c r="P229" s="25"/>
      <c r="Q229" s="25"/>
      <c r="R229" s="110"/>
      <c r="S229" s="80" t="s">
        <v>1256</v>
      </c>
      <c r="T229" s="81">
        <f ca="1">COUNTIF($M$226:$M$229,S229)*$D$27</f>
        <v>5</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5</v>
      </c>
      <c r="AD229" s="64"/>
      <c r="AE229" s="80" t="s">
        <v>1256</v>
      </c>
      <c r="AF229" s="81">
        <f t="shared" ref="AF229" ca="1" si="1403">COUNTIF($M$226:$M$229,AE229)*$D$27</f>
        <v>5</v>
      </c>
      <c r="AG229" s="64"/>
      <c r="AH229" s="80" t="s">
        <v>1256</v>
      </c>
      <c r="AI229" s="81">
        <f t="shared" ref="AI229" ca="1" si="1404">COUNTIF($M$226:$M$229,AH229)*$D$27</f>
        <v>5</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5</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5</v>
      </c>
      <c r="BH229" s="64"/>
      <c r="BI229" s="80" t="s">
        <v>79</v>
      </c>
      <c r="BJ229" s="81">
        <f t="shared" ref="BJ229" ca="1" si="1413">COUNTIF($M$226:$M$229,BI229)*$D$27</f>
        <v>0</v>
      </c>
      <c r="BK229" s="64"/>
      <c r="BL229" s="80" t="s">
        <v>1256</v>
      </c>
      <c r="BM229" s="81">
        <f t="shared" ref="BM229" ca="1" si="1414">COUNTIF($M$226:$M$229,BL229)*$D$27</f>
        <v>5</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5</v>
      </c>
      <c r="CC229" s="64"/>
      <c r="CD229" s="80" t="s">
        <v>79</v>
      </c>
      <c r="CE229" s="81">
        <f t="shared" ref="CE229" ca="1" si="1420">COUNTIF($M$226:$M$229,CD229)*$D$27</f>
        <v>0</v>
      </c>
      <c r="CF229" s="64"/>
      <c r="CG229" s="80" t="s">
        <v>1256</v>
      </c>
      <c r="CH229" s="81">
        <f t="shared" ref="CH229" ca="1" si="1421">COUNTIF($M$226:$M$229,CG229)*$D$27</f>
        <v>5</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5</v>
      </c>
      <c r="CU229" s="64"/>
      <c r="CV229" s="80" t="s">
        <v>79</v>
      </c>
      <c r="CW229" s="81">
        <f t="shared" ref="CW229" ca="1" si="1426">COUNTIF($M$226:$M$229,CV229)*$D$27</f>
        <v>0</v>
      </c>
      <c r="CX229" s="64"/>
      <c r="CY229" s="80" t="s">
        <v>1256</v>
      </c>
      <c r="CZ229" s="81">
        <f t="shared" ref="CZ229" ca="1" si="1427">COUNTIF($M$226:$M$229,CY229)*$D$27</f>
        <v>5</v>
      </c>
      <c r="DA229" s="64"/>
      <c r="DB229" s="80" t="s">
        <v>1256</v>
      </c>
      <c r="DC229" s="81">
        <f t="shared" ref="DC229" ca="1" si="1428">COUNTIF($M$226:$M$229,DB229)*$D$27</f>
        <v>5</v>
      </c>
      <c r="DD229" s="64"/>
      <c r="DE229" s="80" t="s">
        <v>1256</v>
      </c>
      <c r="DF229" s="81">
        <f t="shared" ref="DF229" ca="1" si="1429">COUNTIF($M$226:$M$229,DE229)*$D$27</f>
        <v>5</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5</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15</v>
      </c>
      <c r="U230" s="65"/>
      <c r="V230" s="84"/>
      <c r="W230" s="71">
        <f t="shared" ref="W230" ca="1" si="1449">SUM(W226:W229)</f>
        <v>15</v>
      </c>
      <c r="X230" s="65"/>
      <c r="Y230" s="84"/>
      <c r="Z230" s="71">
        <f t="shared" ref="Z230" ca="1" si="1450">SUM(Z226:Z229)</f>
        <v>10</v>
      </c>
      <c r="AA230" s="65"/>
      <c r="AB230" s="84"/>
      <c r="AC230" s="71">
        <f t="shared" ref="AC230" ca="1" si="1451">SUM(AC226:AC229)</f>
        <v>20</v>
      </c>
      <c r="AD230" s="65"/>
      <c r="AE230" s="84"/>
      <c r="AF230" s="71">
        <f t="shared" ref="AF230" ca="1" si="1452">SUM(AF226:AF229)</f>
        <v>15</v>
      </c>
      <c r="AG230" s="65"/>
      <c r="AH230" s="84"/>
      <c r="AI230" s="71">
        <f t="shared" ref="AI230" ca="1" si="1453">SUM(AI226:AI229)</f>
        <v>15</v>
      </c>
      <c r="AJ230" s="65"/>
      <c r="AK230" s="84"/>
      <c r="AL230" s="71">
        <f t="shared" ref="AL230" ca="1" si="1454">SUM(AL226:AL229)</f>
        <v>10</v>
      </c>
      <c r="AM230" s="65"/>
      <c r="AN230" s="84"/>
      <c r="AO230" s="71">
        <f t="shared" ref="AO230" ca="1" si="1455">SUM(AO226:AO229)</f>
        <v>5</v>
      </c>
      <c r="AP230" s="65"/>
      <c r="AQ230" s="84"/>
      <c r="AR230" s="71">
        <f t="shared" ref="AR230" ca="1" si="1456">SUM(AR226:AR229)</f>
        <v>20</v>
      </c>
      <c r="AS230" s="65"/>
      <c r="AT230" s="84"/>
      <c r="AU230" s="71">
        <f t="shared" ref="AU230" ca="1" si="1457">SUM(AU226:AU229)</f>
        <v>15</v>
      </c>
      <c r="AV230" s="65"/>
      <c r="AW230" s="84"/>
      <c r="AX230" s="71">
        <f t="shared" ref="AX230" ca="1" si="1458">SUM(AX226:AX229)</f>
        <v>10</v>
      </c>
      <c r="AY230" s="65"/>
      <c r="AZ230" s="84"/>
      <c r="BA230" s="71">
        <f t="shared" ref="BA230" ca="1" si="1459">SUM(BA226:BA229)</f>
        <v>10</v>
      </c>
      <c r="BB230" s="65"/>
      <c r="BC230" s="84"/>
      <c r="BD230" s="71">
        <f t="shared" ref="BD230" ca="1" si="1460">SUM(BD226:BD229)</f>
        <v>10</v>
      </c>
      <c r="BE230" s="65"/>
      <c r="BF230" s="84"/>
      <c r="BG230" s="71">
        <f t="shared" ref="BG230" ca="1" si="1461">SUM(BG226:BG229)</f>
        <v>20</v>
      </c>
      <c r="BH230" s="65"/>
      <c r="BI230" s="84"/>
      <c r="BJ230" s="71">
        <f t="shared" ref="BJ230" ca="1" si="1462">SUM(BJ226:BJ229)</f>
        <v>10</v>
      </c>
      <c r="BK230" s="65"/>
      <c r="BL230" s="84"/>
      <c r="BM230" s="71">
        <f t="shared" ref="BM230" ca="1" si="1463">SUM(BM226:BM229)</f>
        <v>20</v>
      </c>
      <c r="BN230" s="65"/>
      <c r="BO230" s="84"/>
      <c r="BP230" s="71">
        <f t="shared" ref="BP230" ca="1" si="1464">SUM(BP226:BP229)</f>
        <v>15</v>
      </c>
      <c r="BQ230" s="65"/>
      <c r="BR230" s="84"/>
      <c r="BS230" s="71">
        <f t="shared" ref="BS230" ca="1" si="1465">SUM(BS226:BS229)</f>
        <v>10</v>
      </c>
      <c r="BT230" s="65"/>
      <c r="BU230" s="84"/>
      <c r="BV230" s="71">
        <f t="shared" ref="BV230" ca="1" si="1466">SUM(BV226:BV229)</f>
        <v>10</v>
      </c>
      <c r="BW230" s="65"/>
      <c r="BX230" s="84"/>
      <c r="BY230" s="71">
        <f t="shared" ref="BY230" ca="1" si="1467">SUM(BY226:BY229)</f>
        <v>15</v>
      </c>
      <c r="BZ230" s="65"/>
      <c r="CA230" s="84"/>
      <c r="CB230" s="71">
        <f t="shared" ref="CB230" ca="1" si="1468">SUM(CB226:CB229)</f>
        <v>15</v>
      </c>
      <c r="CC230" s="65"/>
      <c r="CD230" s="84"/>
      <c r="CE230" s="71">
        <f t="shared" ref="CE230" ca="1" si="1469">SUM(CE226:CE229)</f>
        <v>10</v>
      </c>
      <c r="CF230" s="65"/>
      <c r="CG230" s="84"/>
      <c r="CH230" s="71">
        <f t="shared" ref="CH230" ca="1" si="1470">SUM(CH226:CH229)</f>
        <v>15</v>
      </c>
      <c r="CI230" s="65"/>
      <c r="CJ230" s="84"/>
      <c r="CK230" s="71">
        <f t="shared" ref="CK230" ca="1" si="1471">SUM(CK226:CK229)</f>
        <v>15</v>
      </c>
      <c r="CL230" s="65"/>
      <c r="CM230" s="84"/>
      <c r="CN230" s="71">
        <f t="shared" ref="CN230" ca="1" si="1472">SUM(CN226:CN229)</f>
        <v>10</v>
      </c>
      <c r="CO230" s="65"/>
      <c r="CP230" s="84"/>
      <c r="CQ230" s="71">
        <f t="shared" ref="CQ230" ca="1" si="1473">SUM(CQ226:CQ229)</f>
        <v>10</v>
      </c>
      <c r="CR230" s="65"/>
      <c r="CS230" s="84"/>
      <c r="CT230" s="71">
        <f t="shared" ref="CT230" ca="1" si="1474">SUM(CT226:CT229)</f>
        <v>15</v>
      </c>
      <c r="CU230" s="65"/>
      <c r="CV230" s="84"/>
      <c r="CW230" s="71">
        <f t="shared" ref="CW230" ca="1" si="1475">SUM(CW226:CW229)</f>
        <v>10</v>
      </c>
      <c r="CX230" s="65"/>
      <c r="CY230" s="84"/>
      <c r="CZ230" s="71">
        <f t="shared" ref="CZ230" ca="1" si="1476">SUM(CZ226:CZ229)</f>
        <v>20</v>
      </c>
      <c r="DA230" s="65"/>
      <c r="DB230" s="84"/>
      <c r="DC230" s="71">
        <f t="shared" ref="DC230" ca="1" si="1477">SUM(DC226:DC229)</f>
        <v>15</v>
      </c>
      <c r="DD230" s="65"/>
      <c r="DE230" s="84"/>
      <c r="DF230" s="71">
        <f t="shared" ref="DF230" ca="1" si="1478">SUM(DF226:DF229)</f>
        <v>5</v>
      </c>
      <c r="DG230" s="65"/>
      <c r="DH230" s="84"/>
      <c r="DI230" s="71">
        <f t="shared" ref="DI230" ca="1" si="1479">SUM(DI226:DI229)</f>
        <v>10</v>
      </c>
      <c r="DJ230" s="65"/>
      <c r="DK230" s="84"/>
      <c r="DL230" s="71">
        <f t="shared" ref="DL230" ca="1" si="1480">SUM(DL226:DL229)</f>
        <v>10</v>
      </c>
      <c r="DM230" s="65"/>
      <c r="DN230" s="796"/>
      <c r="DO230" s="71">
        <f t="shared" ref="DO230" ca="1" si="1481">SUM(DO226:DO229)</f>
        <v>10</v>
      </c>
      <c r="DP230" s="65"/>
      <c r="DQ230" s="796"/>
      <c r="DR230" s="71">
        <f t="shared" ref="DR230" ca="1" si="1482">SUM(DR226:DR229)</f>
        <v>5</v>
      </c>
      <c r="DS230" s="65"/>
      <c r="DT230" s="84"/>
      <c r="DU230" s="71">
        <f t="shared" ref="DU230" ca="1" si="1483">SUM(DU226:DU229)</f>
        <v>5</v>
      </c>
      <c r="DV230" s="65"/>
      <c r="DW230" s="84"/>
      <c r="DX230" s="71">
        <f t="shared" ref="DX230" ca="1" si="1484">SUM(DX226:DX229)</f>
        <v>15</v>
      </c>
      <c r="DY230" s="65"/>
      <c r="DZ230" s="84"/>
      <c r="EA230" s="71">
        <f t="shared" ref="EA230" ca="1" si="1485">SUM(EA226:EA229)</f>
        <v>10</v>
      </c>
      <c r="EB230" s="65"/>
      <c r="EC230" s="84"/>
      <c r="ED230" s="71">
        <f t="shared" ref="ED230" ca="1" si="1486">SUM(ED226:ED229)</f>
        <v>5</v>
      </c>
      <c r="EE230" s="65"/>
      <c r="EF230" s="84"/>
      <c r="EG230" s="71">
        <f t="shared" ref="EG230" ca="1" si="1487">SUM(EG226:EG229)</f>
        <v>10</v>
      </c>
      <c r="EH230" s="65"/>
      <c r="EI230" s="84"/>
      <c r="EJ230" s="71">
        <f t="shared" ref="EJ230" ca="1" si="1488">SUM(EJ226:EJ229)</f>
        <v>15</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2</v>
      </c>
      <c r="B232" s="25">
        <f>WORLDCUP!AC138</f>
        <v>0</v>
      </c>
      <c r="C232" s="25" t="str">
        <f ca="1">CONCATENATE(WORLDCUP!AF138,"-",WORLDCUP!AA138)</f>
        <v>España-Francia</v>
      </c>
      <c r="D232" s="25">
        <f>IF(WORLDCUP!AC138&gt;WORLDCUP!AD138,2,IF(WORLDCUP!AC138&lt;WORLDCUP!AD138,1,IF(AND(WORLDCUP!AC138=WORLDCUP!AD138,WORLDCUP!AC138&lt;&gt;"",WORLDCUP!AD138&lt;&gt;""),0,"PD")))</f>
        <v>1</v>
      </c>
      <c r="E232" s="25" t="str">
        <f>IF(OR(WORLDCUP!AD138="",WORLDCUP!AC138=""),"-",A232&amp;"-"&amp;B232)</f>
        <v>2-0</v>
      </c>
      <c r="F232" s="407">
        <f>SUM($D$28:$D$30)*I232</f>
        <v>4</v>
      </c>
      <c r="G232" s="407">
        <f ca="1">VLOOKUP(H232,Equipos!$Q$1:$R$25,2,0)</f>
        <v>23</v>
      </c>
      <c r="H232" s="65" t="str">
        <f>Idiomas!$D$263</f>
        <v>Semifinales</v>
      </c>
      <c r="I232" s="43">
        <v>1</v>
      </c>
      <c r="J232" s="850" t="s">
        <v>35</v>
      </c>
      <c r="K232" s="53" t="str">
        <f ca="1">CONCATENATE(WORLDCUP!AA138,"-",WORLDCUP!AF138)</f>
        <v>Francia-España</v>
      </c>
      <c r="L232" s="53">
        <f>IF(OR(WORLDCUP!AC138="",WORLDCUP!AD138=""),"PD",IF(WORLDCUP!AC138&gt;WORLDCUP!AD138,1,IF(WORLDCUP!AC138&lt;WORLDCUP!AD138,2,0)))</f>
        <v>2</v>
      </c>
      <c r="M232" s="55" t="str">
        <f t="shared" ref="M232:M233" si="1498">IF(L232="PD","-",N232&amp;"-"&amp;O232)</f>
        <v>0-2</v>
      </c>
      <c r="N232" s="25">
        <f>WORLDCUP!AC138</f>
        <v>0</v>
      </c>
      <c r="O232" s="25">
        <f>WORLDCUP!AD138</f>
        <v>2</v>
      </c>
      <c r="P232" s="25">
        <f>+N232-O232</f>
        <v>-2</v>
      </c>
      <c r="Q232" s="25">
        <f>+A232-B232</f>
        <v>2</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2029</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1</v>
      </c>
      <c r="X232" s="110"/>
      <c r="Y232" s="76" t="s">
        <v>2029</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1</v>
      </c>
      <c r="AA232" s="110"/>
      <c r="AB232" s="76" t="s">
        <v>2087</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2115</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2143</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1</v>
      </c>
      <c r="AJ232" s="110"/>
      <c r="AK232" s="76" t="s">
        <v>2169</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2200</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2115</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2247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2087</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2115</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2318</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4</v>
      </c>
      <c r="BE232" s="110"/>
      <c r="BF232" s="76" t="s">
        <v>2029</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1</v>
      </c>
      <c r="BH232" s="110"/>
      <c r="BI232" s="76" t="s">
        <v>2358</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1</v>
      </c>
      <c r="BK232" s="110"/>
      <c r="BL232" s="76" t="s">
        <v>2029</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1</v>
      </c>
      <c r="BN232" s="110"/>
      <c r="BO232" s="76" t="s">
        <v>2029</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1</v>
      </c>
      <c r="BQ232" s="110"/>
      <c r="BR232" s="76" t="s">
        <v>2399</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2318</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4</v>
      </c>
      <c r="BW232" s="110"/>
      <c r="BX232" s="76" t="s">
        <v>2087</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2458</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2247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2143</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1</v>
      </c>
      <c r="CI232" s="110"/>
      <c r="CJ232" s="76" t="s">
        <v>2115</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2399</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2143</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1</v>
      </c>
      <c r="CR232" s="110"/>
      <c r="CS232" s="76" t="s">
        <v>2029</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1</v>
      </c>
      <c r="CU232" s="110"/>
      <c r="CV232" s="76" t="s">
        <v>2115</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2087</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2029</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1</v>
      </c>
      <c r="DD232" s="110"/>
      <c r="DE232" s="76" t="s">
        <v>2603</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2618</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2087</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2399</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2670</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2693</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2029</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1</v>
      </c>
      <c r="DY232" s="110"/>
      <c r="DZ232" s="76" t="s">
        <v>2458</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2734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2748</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2143</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1</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2</v>
      </c>
      <c r="B233" s="25">
        <f>WORLDCUP!AC139</f>
        <v>1</v>
      </c>
      <c r="C233" s="25" t="str">
        <f ca="1">CONCATENATE(WORLDCUP!AF139,"-",WORLDCUP!AA139)</f>
        <v>Argentina-Inglaterra</v>
      </c>
      <c r="D233" s="25">
        <f>IF(WORLDCUP!AC139&gt;WORLDCUP!AD139,2,IF(WORLDCUP!AC139&lt;WORLDCUP!AD139,1,IF(AND(WORLDCUP!AC139=WORLDCUP!AD139,WORLDCUP!AC139&lt;&gt;"",WORLDCUP!AD139&lt;&gt;""),0,"PD")))</f>
        <v>1</v>
      </c>
      <c r="E233" s="25" t="str">
        <f>IF(OR(WORLDCUP!AD139="",WORLDCUP!AC139=""),"-",A233&amp;"-"&amp;B233)</f>
        <v>2-1</v>
      </c>
      <c r="F233" s="407">
        <f>SUM($D$28:$D$30)*I233</f>
        <v>4</v>
      </c>
      <c r="G233" s="407">
        <f ca="1">VLOOKUP(H233,Equipos!$Q$1:$R$25,2,0)</f>
        <v>23</v>
      </c>
      <c r="H233" s="65" t="str">
        <f>Idiomas!$D$263</f>
        <v>Semifinales</v>
      </c>
      <c r="I233" s="43">
        <v>1</v>
      </c>
      <c r="J233" s="850"/>
      <c r="K233" s="56" t="str">
        <f ca="1">CONCATENATE(WORLDCUP!AA139,"-",WORLDCUP!AF139)</f>
        <v>Inglaterra-Argentina</v>
      </c>
      <c r="L233" s="53">
        <f>IF(OR(WORLDCUP!AC139="",WORLDCUP!AD139=""),"PD",IF(WORLDCUP!AC139&gt;WORLDCUP!AD139,1,IF(WORLDCUP!AC139&lt;WORLDCUP!AD139,2,0)))</f>
        <v>2</v>
      </c>
      <c r="M233" s="55" t="str">
        <f t="shared" si="1498"/>
        <v>1-2</v>
      </c>
      <c r="N233" s="25">
        <f>WORLDCUP!AC139</f>
        <v>1</v>
      </c>
      <c r="O233" s="25">
        <f>WORLDCUP!AD139</f>
        <v>2</v>
      </c>
      <c r="P233" s="25">
        <f>+N233-O233</f>
        <v>-1</v>
      </c>
      <c r="Q233" s="25">
        <f>+A233-B233</f>
        <v>1</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2030</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2116</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2144</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2170</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2201</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2225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4</v>
      </c>
      <c r="AS233" s="110"/>
      <c r="AT233" s="80" t="s">
        <v>2170</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2273</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2293</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2319</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2225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4</v>
      </c>
      <c r="BH233" s="110"/>
      <c r="BI233" s="80" t="s">
        <v>2359</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2377</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2</v>
      </c>
      <c r="BN233" s="110"/>
      <c r="BO233" s="80" t="s">
        <v>2201</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2293</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2293</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2438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2225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4</v>
      </c>
      <c r="CC233" s="110"/>
      <c r="CD233" s="80" t="s">
        <v>2476</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2493</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2201</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2520</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2273</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2541</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2552</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2586</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2604</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2476</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2058</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2476</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2671</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2694</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2710</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2724</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2273</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2749</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2201</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1</v>
      </c>
      <c r="X234" s="49"/>
      <c r="Y234" s="84"/>
      <c r="Z234" s="71">
        <f t="shared" ref="Z234" ca="1" si="1598">SUM(Z232:Z233)</f>
        <v>1</v>
      </c>
      <c r="AA234" s="49"/>
      <c r="AB234" s="84"/>
      <c r="AC234" s="71">
        <f t="shared" ref="AC234" ca="1" si="1599">SUM(AC232:AC233)</f>
        <v>0</v>
      </c>
      <c r="AD234" s="111"/>
      <c r="AE234" s="84"/>
      <c r="AF234" s="71">
        <f t="shared" ref="AF234" ca="1" si="1600">SUM(AF232:AF233)</f>
        <v>0</v>
      </c>
      <c r="AG234" s="49"/>
      <c r="AH234" s="84"/>
      <c r="AI234" s="71">
        <f t="shared" ref="AI234" ca="1" si="1601">SUM(AI232:AI233)</f>
        <v>1</v>
      </c>
      <c r="AJ234" s="49"/>
      <c r="AK234" s="84"/>
      <c r="AL234" s="71">
        <f t="shared" ref="AL234" ca="1" si="1602">SUM(AL232:AL233)</f>
        <v>0</v>
      </c>
      <c r="AM234" s="49"/>
      <c r="AN234" s="84"/>
      <c r="AO234" s="71">
        <f t="shared" ref="AO234" ca="1" si="1603">SUM(AO232:AO233)</f>
        <v>0</v>
      </c>
      <c r="AP234" s="49"/>
      <c r="AQ234" s="84"/>
      <c r="AR234" s="71">
        <f t="shared" ref="AR234" ca="1" si="1604">SUM(AR232:AR233)</f>
        <v>4</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4</v>
      </c>
      <c r="BE234" s="49"/>
      <c r="BF234" s="84"/>
      <c r="BG234" s="71">
        <f t="shared" ref="BG234" ca="1" si="1609">SUM(BG232:BG233)</f>
        <v>5</v>
      </c>
      <c r="BH234" s="49"/>
      <c r="BI234" s="84"/>
      <c r="BJ234" s="71">
        <f t="shared" ref="BJ234" ca="1" si="1610">SUM(BJ232:BJ233)</f>
        <v>1</v>
      </c>
      <c r="BK234" s="49"/>
      <c r="BL234" s="84"/>
      <c r="BM234" s="71">
        <f t="shared" ref="BM234" ca="1" si="1611">SUM(BM232:BM233)</f>
        <v>3</v>
      </c>
      <c r="BN234" s="49"/>
      <c r="BO234" s="84"/>
      <c r="BP234" s="71">
        <f t="shared" ref="BP234" ca="1" si="1612">SUM(BP232:BP233)</f>
        <v>1</v>
      </c>
      <c r="BQ234" s="49"/>
      <c r="BR234" s="84"/>
      <c r="BS234" s="71">
        <f t="shared" ref="BS234" ca="1" si="1613">SUM(BS232:BS233)</f>
        <v>0</v>
      </c>
      <c r="BT234" s="49"/>
      <c r="BU234" s="84"/>
      <c r="BV234" s="71">
        <f t="shared" ref="BV234" ca="1" si="1614">SUM(BV232:BV233)</f>
        <v>4</v>
      </c>
      <c r="BW234" s="49"/>
      <c r="BX234" s="84"/>
      <c r="BY234" s="71">
        <f t="shared" ref="BY234" ca="1" si="1615">SUM(BY232:BY233)</f>
        <v>0</v>
      </c>
      <c r="BZ234" s="49"/>
      <c r="CA234" s="84"/>
      <c r="CB234" s="71">
        <f t="shared" ref="CB234" ca="1" si="1616">SUM(CB232:CB233)</f>
        <v>4</v>
      </c>
      <c r="CC234" s="49"/>
      <c r="CD234" s="84"/>
      <c r="CE234" s="71">
        <f t="shared" ref="CE234" ca="1" si="1617">SUM(CE232:CE233)</f>
        <v>0</v>
      </c>
      <c r="CF234" s="49"/>
      <c r="CG234" s="84"/>
      <c r="CH234" s="71">
        <f t="shared" ref="CH234" ca="1" si="1618">SUM(CH232:CH233)</f>
        <v>1</v>
      </c>
      <c r="CI234" s="49"/>
      <c r="CJ234" s="84"/>
      <c r="CK234" s="71">
        <f t="shared" ref="CK234" ca="1" si="1619">SUM(CK232:CK233)</f>
        <v>0</v>
      </c>
      <c r="CL234" s="49"/>
      <c r="CM234" s="84"/>
      <c r="CN234" s="71">
        <f t="shared" ref="CN234" ca="1" si="1620">SUM(CN232:CN233)</f>
        <v>0</v>
      </c>
      <c r="CO234" s="49"/>
      <c r="CP234" s="84"/>
      <c r="CQ234" s="71">
        <f t="shared" ref="CQ234" ca="1" si="1621">SUM(CQ232:CQ233)</f>
        <v>1</v>
      </c>
      <c r="CR234" s="49"/>
      <c r="CS234" s="84"/>
      <c r="CT234" s="71">
        <f t="shared" ref="CT234" ca="1" si="1622">SUM(CT232:CT233)</f>
        <v>1</v>
      </c>
      <c r="CU234" s="49"/>
      <c r="CV234" s="84"/>
      <c r="CW234" s="71">
        <f t="shared" ref="CW234" ca="1" si="1623">SUM(CW232:CW233)</f>
        <v>0</v>
      </c>
      <c r="CX234" s="49"/>
      <c r="CY234" s="84"/>
      <c r="CZ234" s="71">
        <f t="shared" ref="CZ234" ca="1" si="1624">SUM(CZ232:CZ233)</f>
        <v>0</v>
      </c>
      <c r="DA234" s="49"/>
      <c r="DB234" s="84"/>
      <c r="DC234" s="71">
        <f t="shared" ref="DC234" ca="1" si="1625">SUM(DC232:DC233)</f>
        <v>1</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1</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1</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 ca="1">WORLDCUP!AA143</f>
        <v>Francia</v>
      </c>
      <c r="N236" s="25"/>
      <c r="O236" s="25"/>
      <c r="P236" s="25"/>
      <c r="Q236" s="25"/>
      <c r="R236" s="17"/>
      <c r="S236" s="76" t="s">
        <v>38</v>
      </c>
      <c r="T236" s="77">
        <f ca="1">COUNTIF($M$236:$M$237,S236)*$D$31</f>
        <v>0</v>
      </c>
      <c r="U236" s="110"/>
      <c r="V236" s="76" t="s">
        <v>74</v>
      </c>
      <c r="W236" s="77">
        <f t="shared" ref="W236" ca="1" si="1646">COUNTIF($M$236:$M$237,V236)*$D$31</f>
        <v>6</v>
      </c>
      <c r="X236" s="110"/>
      <c r="Y236" s="76" t="s">
        <v>74</v>
      </c>
      <c r="Z236" s="77">
        <f t="shared" ref="Z236" ca="1" si="1647">COUNTIF($M$236:$M$237,Y236)*$D$31</f>
        <v>6</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6</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6</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6</v>
      </c>
      <c r="BB236" s="110"/>
      <c r="BC236" s="76" t="s">
        <v>74</v>
      </c>
      <c r="BD236" s="77">
        <f t="shared" ref="BD236" ca="1" si="1657">COUNTIF($M$236:$M$237,BC236)*$D$31</f>
        <v>6</v>
      </c>
      <c r="BE236" s="110"/>
      <c r="BF236" s="76" t="s">
        <v>74</v>
      </c>
      <c r="BG236" s="77">
        <f t="shared" ref="BG236" ca="1" si="1658">COUNTIF($M$236:$M$237,BF236)*$D$31</f>
        <v>6</v>
      </c>
      <c r="BH236" s="110"/>
      <c r="BI236" s="76" t="s">
        <v>74</v>
      </c>
      <c r="BJ236" s="77">
        <f t="shared" ref="BJ236" ca="1" si="1659">COUNTIF($M$236:$M$237,BI236)*$D$31</f>
        <v>6</v>
      </c>
      <c r="BK236" s="110"/>
      <c r="BL236" s="76" t="s">
        <v>74</v>
      </c>
      <c r="BM236" s="77">
        <f t="shared" ref="BM236" ca="1" si="1660">COUNTIF($M$236:$M$237,BL236)*$D$31</f>
        <v>6</v>
      </c>
      <c r="BN236" s="110"/>
      <c r="BO236" s="76" t="s">
        <v>74</v>
      </c>
      <c r="BP236" s="77">
        <f t="shared" ref="BP236" ca="1" si="1661">COUNTIF($M$236:$M$237,BO236)*$D$31</f>
        <v>6</v>
      </c>
      <c r="BQ236" s="110"/>
      <c r="BR236" s="76" t="s">
        <v>74</v>
      </c>
      <c r="BS236" s="77">
        <f t="shared" ref="BS236" ca="1" si="1662">COUNTIF($M$236:$M$237,BR236)*$D$31</f>
        <v>6</v>
      </c>
      <c r="BT236" s="110"/>
      <c r="BU236" s="76" t="s">
        <v>74</v>
      </c>
      <c r="BV236" s="77">
        <f t="shared" ref="BV236" ca="1" si="1663">COUNTIF($M$236:$M$237,BU236)*$D$31</f>
        <v>6</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6</v>
      </c>
      <c r="CI236" s="110"/>
      <c r="CJ236" s="76" t="s">
        <v>74</v>
      </c>
      <c r="CK236" s="77">
        <f t="shared" ref="CK236" ca="1" si="1668">COUNTIF($M$236:$M$237,CJ236)*$D$31</f>
        <v>6</v>
      </c>
      <c r="CL236" s="110"/>
      <c r="CM236" s="76" t="s">
        <v>74</v>
      </c>
      <c r="CN236" s="77">
        <f t="shared" ref="CN236" ca="1" si="1669">COUNTIF($M$236:$M$237,CM236)*$D$31</f>
        <v>6</v>
      </c>
      <c r="CO236" s="110"/>
      <c r="CP236" s="76" t="s">
        <v>74</v>
      </c>
      <c r="CQ236" s="77">
        <f t="shared" ref="CQ236" ca="1" si="1670">COUNTIF($M$236:$M$237,CP236)*$D$31</f>
        <v>6</v>
      </c>
      <c r="CR236" s="110"/>
      <c r="CS236" s="76" t="s">
        <v>74</v>
      </c>
      <c r="CT236" s="77">
        <f t="shared" ref="CT236" ca="1" si="1671">COUNTIF($M$236:$M$237,CS236)*$D$31</f>
        <v>6</v>
      </c>
      <c r="CU236" s="110"/>
      <c r="CV236" s="76" t="s">
        <v>74</v>
      </c>
      <c r="CW236" s="77">
        <f t="shared" ref="CW236" ca="1" si="1672">COUNTIF($M$236:$M$237,CV236)*$D$31</f>
        <v>6</v>
      </c>
      <c r="CX236" s="110"/>
      <c r="CY236" s="76" t="s">
        <v>38</v>
      </c>
      <c r="CZ236" s="77">
        <f t="shared" ref="CZ236" ca="1" si="1673">COUNTIF($M$236:$M$237,CY236)*$D$31</f>
        <v>0</v>
      </c>
      <c r="DA236" s="110"/>
      <c r="DB236" s="76" t="s">
        <v>74</v>
      </c>
      <c r="DC236" s="77">
        <f t="shared" ref="DC236" ca="1" si="1674">COUNTIF($M$236:$M$237,DB236)*$D$31</f>
        <v>6</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6</v>
      </c>
      <c r="DP236" s="110"/>
      <c r="DQ236" s="795" t="s">
        <v>76</v>
      </c>
      <c r="DR236" s="77">
        <f t="shared" ref="DR236" ca="1" si="1679">COUNTIF($M$236:$M$237,DQ236)*$D$31</f>
        <v>6</v>
      </c>
      <c r="DS236" s="110"/>
      <c r="DT236" s="76" t="s">
        <v>77</v>
      </c>
      <c r="DU236" s="77">
        <f t="shared" ref="DU236" ca="1" si="1680">COUNTIF($M$236:$M$237,DT236)*$D$31</f>
        <v>0</v>
      </c>
      <c r="DV236" s="110"/>
      <c r="DW236" s="76" t="s">
        <v>74</v>
      </c>
      <c r="DX236" s="77">
        <f t="shared" ref="DX236" ca="1" si="1681">COUNTIF($M$236:$M$237,DW236)*$D$31</f>
        <v>6</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t="s">
        <v>74</v>
      </c>
      <c r="EJ236" s="77">
        <f t="shared" ref="EJ236" ca="1" si="1685">COUNTIF($M$236:$M$237,EI236)*$D$31</f>
        <v>6</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 ca="1">WORLDCUP!AF143</f>
        <v>Inglaterra</v>
      </c>
      <c r="N237" s="25"/>
      <c r="O237" s="25"/>
      <c r="P237" s="25"/>
      <c r="Q237" s="25"/>
      <c r="R237" s="17"/>
      <c r="S237" s="80" t="s">
        <v>1256</v>
      </c>
      <c r="T237" s="81">
        <f ca="1">COUNTIF($M$236:$M$237,S237)*$D$31</f>
        <v>0</v>
      </c>
      <c r="U237" s="110"/>
      <c r="V237" s="80" t="s">
        <v>76</v>
      </c>
      <c r="W237" s="81">
        <f t="shared" ref="W237" ca="1" si="1695">COUNTIF($M$236:$M$237,V237)*$D$31</f>
        <v>6</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6</v>
      </c>
      <c r="AM237" s="110"/>
      <c r="AN237" s="80" t="s">
        <v>76</v>
      </c>
      <c r="AO237" s="81">
        <f t="shared" ref="AO237" ca="1" si="1701">COUNTIF($M$236:$M$237,AN237)*$D$31</f>
        <v>6</v>
      </c>
      <c r="AP237" s="110"/>
      <c r="AQ237" s="80" t="s">
        <v>76</v>
      </c>
      <c r="AR237" s="81">
        <f t="shared" ref="AR237" ca="1" si="1702">COUNTIF($M$236:$M$237,AQ237)*$D$31</f>
        <v>6</v>
      </c>
      <c r="AS237" s="110"/>
      <c r="AT237" s="80" t="s">
        <v>76</v>
      </c>
      <c r="AU237" s="81">
        <f t="shared" ref="AU237" ca="1" si="1703">COUNTIF($M$236:$M$237,AT237)*$D$31</f>
        <v>6</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6</v>
      </c>
      <c r="BH237" s="110"/>
      <c r="BI237" s="80" t="s">
        <v>79</v>
      </c>
      <c r="BJ237" s="81">
        <f t="shared" ref="BJ237" ca="1" si="1708">COUNTIF($M$236:$M$237,BI237)*$D$31</f>
        <v>0</v>
      </c>
      <c r="BK237" s="110"/>
      <c r="BL237" s="80" t="s">
        <v>76</v>
      </c>
      <c r="BM237" s="81">
        <f t="shared" ref="BM237" ca="1" si="1709">COUNTIF($M$236:$M$237,BL237)*$D$31</f>
        <v>6</v>
      </c>
      <c r="BN237" s="110"/>
      <c r="BO237" s="80" t="s">
        <v>76</v>
      </c>
      <c r="BP237" s="81">
        <f t="shared" ref="BP237" ca="1" si="1710">COUNTIF($M$236:$M$237,BO237)*$D$31</f>
        <v>6</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6</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6</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6</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t="s">
        <v>76</v>
      </c>
      <c r="EJ237" s="81">
        <f t="shared" ref="EJ237" ca="1" si="1734">COUNTIF($M$236:$M$237,EI237)*$D$31</f>
        <v>6</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12</v>
      </c>
      <c r="X238" s="49"/>
      <c r="Y238" s="84"/>
      <c r="Z238" s="71">
        <f t="shared" ref="Z238" ca="1" si="1745">SUM(Z236:Z237)</f>
        <v>6</v>
      </c>
      <c r="AA238" s="49"/>
      <c r="AB238" s="84"/>
      <c r="AC238" s="71">
        <f t="shared" ref="AC238" ca="1" si="1746">SUM(AC236:AC237)</f>
        <v>0</v>
      </c>
      <c r="AD238" s="49"/>
      <c r="AE238" s="84"/>
      <c r="AF238" s="71">
        <f t="shared" ref="AF238" ca="1" si="1747">SUM(AF236:AF237)</f>
        <v>0</v>
      </c>
      <c r="AG238" s="49"/>
      <c r="AH238" s="84"/>
      <c r="AI238" s="71">
        <f t="shared" ref="AI238" ca="1" si="1748">SUM(AI236:AI237)</f>
        <v>6</v>
      </c>
      <c r="AJ238" s="49"/>
      <c r="AK238" s="84"/>
      <c r="AL238" s="71">
        <f t="shared" ref="AL238" ca="1" si="1749">SUM(AL236:AL237)</f>
        <v>6</v>
      </c>
      <c r="AM238" s="49"/>
      <c r="AN238" s="84"/>
      <c r="AO238" s="71">
        <f t="shared" ref="AO238" ca="1" si="1750">SUM(AO236:AO237)</f>
        <v>6</v>
      </c>
      <c r="AP238" s="49"/>
      <c r="AQ238" s="84"/>
      <c r="AR238" s="71">
        <f t="shared" ref="AR238" ca="1" si="1751">SUM(AR236:AR237)</f>
        <v>12</v>
      </c>
      <c r="AS238" s="49"/>
      <c r="AT238" s="84"/>
      <c r="AU238" s="71">
        <f t="shared" ref="AU238" ca="1" si="1752">SUM(AU236:AU237)</f>
        <v>6</v>
      </c>
      <c r="AV238" s="49"/>
      <c r="AW238" s="84"/>
      <c r="AX238" s="71">
        <f t="shared" ref="AX238" ca="1" si="1753">SUM(AX236:AX237)</f>
        <v>0</v>
      </c>
      <c r="AY238" s="49"/>
      <c r="AZ238" s="84"/>
      <c r="BA238" s="71">
        <f t="shared" ref="BA238" ca="1" si="1754">SUM(BA236:BA237)</f>
        <v>6</v>
      </c>
      <c r="BB238" s="49"/>
      <c r="BC238" s="84"/>
      <c r="BD238" s="71">
        <f t="shared" ref="BD238" ca="1" si="1755">SUM(BD236:BD237)</f>
        <v>6</v>
      </c>
      <c r="BE238" s="49"/>
      <c r="BF238" s="84"/>
      <c r="BG238" s="71">
        <f t="shared" ref="BG238" ca="1" si="1756">SUM(BG236:BG237)</f>
        <v>12</v>
      </c>
      <c r="BH238" s="49"/>
      <c r="BI238" s="84"/>
      <c r="BJ238" s="71">
        <f t="shared" ref="BJ238" ca="1" si="1757">SUM(BJ236:BJ237)</f>
        <v>6</v>
      </c>
      <c r="BK238" s="49"/>
      <c r="BL238" s="84"/>
      <c r="BM238" s="71">
        <f t="shared" ref="BM238" ca="1" si="1758">SUM(BM236:BM237)</f>
        <v>12</v>
      </c>
      <c r="BN238" s="49"/>
      <c r="BO238" s="84"/>
      <c r="BP238" s="71">
        <f t="shared" ref="BP238" ca="1" si="1759">SUM(BP236:BP237)</f>
        <v>12</v>
      </c>
      <c r="BQ238" s="49"/>
      <c r="BR238" s="84"/>
      <c r="BS238" s="71">
        <f t="shared" ref="BS238" ca="1" si="1760">SUM(BS236:BS237)</f>
        <v>6</v>
      </c>
      <c r="BT238" s="49"/>
      <c r="BU238" s="84"/>
      <c r="BV238" s="71">
        <f t="shared" ref="BV238" ca="1" si="1761">SUM(BV236:BV237)</f>
        <v>6</v>
      </c>
      <c r="BW238" s="49"/>
      <c r="BX238" s="84"/>
      <c r="BY238" s="71">
        <f t="shared" ref="BY238" ca="1" si="1762">SUM(BY236:BY237)</f>
        <v>0</v>
      </c>
      <c r="BZ238" s="49"/>
      <c r="CA238" s="84"/>
      <c r="CB238" s="71">
        <f t="shared" ref="CB238" ca="1" si="1763">SUM(CB236:CB237)</f>
        <v>6</v>
      </c>
      <c r="CC238" s="49"/>
      <c r="CD238" s="84"/>
      <c r="CE238" s="71">
        <f t="shared" ref="CE238" ca="1" si="1764">SUM(CE236:CE237)</f>
        <v>0</v>
      </c>
      <c r="CF238" s="49"/>
      <c r="CG238" s="84"/>
      <c r="CH238" s="71">
        <f t="shared" ref="CH238" ca="1" si="1765">SUM(CH236:CH237)</f>
        <v>6</v>
      </c>
      <c r="CI238" s="49"/>
      <c r="CJ238" s="84"/>
      <c r="CK238" s="71">
        <f t="shared" ref="CK238" ca="1" si="1766">SUM(CK236:CK237)</f>
        <v>12</v>
      </c>
      <c r="CL238" s="49"/>
      <c r="CM238" s="84"/>
      <c r="CN238" s="71">
        <f t="shared" ref="CN238" ca="1" si="1767">SUM(CN236:CN237)</f>
        <v>6</v>
      </c>
      <c r="CO238" s="49"/>
      <c r="CP238" s="84"/>
      <c r="CQ238" s="71">
        <f t="shared" ref="CQ238" ca="1" si="1768">SUM(CQ236:CQ237)</f>
        <v>6</v>
      </c>
      <c r="CR238" s="49"/>
      <c r="CS238" s="84"/>
      <c r="CT238" s="71">
        <f t="shared" ref="CT238" ca="1" si="1769">SUM(CT236:CT237)</f>
        <v>6</v>
      </c>
      <c r="CU238" s="49"/>
      <c r="CV238" s="84"/>
      <c r="CW238" s="71">
        <f t="shared" ref="CW238" ca="1" si="1770">SUM(CW236:CW237)</f>
        <v>6</v>
      </c>
      <c r="CX238" s="49"/>
      <c r="CY238" s="84"/>
      <c r="CZ238" s="71">
        <f t="shared" ref="CZ238" ca="1" si="1771">SUM(CZ236:CZ237)</f>
        <v>0</v>
      </c>
      <c r="DA238" s="49"/>
      <c r="DB238" s="84"/>
      <c r="DC238" s="71">
        <f t="shared" ref="DC238" ca="1" si="1772">SUM(DC236:DC237)</f>
        <v>6</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6</v>
      </c>
      <c r="DP238" s="49"/>
      <c r="DQ238" s="796"/>
      <c r="DR238" s="71">
        <f t="shared" ref="DR238" ca="1" si="1777">SUM(DR236:DR237)</f>
        <v>6</v>
      </c>
      <c r="DS238" s="49"/>
      <c r="DT238" s="84"/>
      <c r="DU238" s="71">
        <f t="shared" ref="DU238" ca="1" si="1778">SUM(DU236:DU237)</f>
        <v>0</v>
      </c>
      <c r="DV238" s="49"/>
      <c r="DW238" s="84"/>
      <c r="DX238" s="71">
        <f t="shared" ref="DX238" ca="1" si="1779">SUM(DX236:DX237)</f>
        <v>12</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12</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 ca="1">WORLDCUP!AA147</f>
        <v>España</v>
      </c>
      <c r="N240" s="25"/>
      <c r="O240" s="25"/>
      <c r="P240" s="25"/>
      <c r="Q240" s="25"/>
      <c r="R240" s="17"/>
      <c r="S240" s="76" t="s">
        <v>77</v>
      </c>
      <c r="T240" s="77">
        <f ca="1">COUNTIF($M$240:$M$241,S240)*$D$32</f>
        <v>0</v>
      </c>
      <c r="U240" s="110"/>
      <c r="V240" s="76" t="s">
        <v>38</v>
      </c>
      <c r="W240" s="77">
        <f t="shared" ref="W240" ca="1" si="1793">COUNTIF($M$240:$M$241,V240)*$D$32</f>
        <v>7</v>
      </c>
      <c r="X240" s="110"/>
      <c r="Y240" s="76" t="s">
        <v>38</v>
      </c>
      <c r="Z240" s="77">
        <f t="shared" ref="Z240" ca="1" si="1794">COUNTIF($M$240:$M$241,Y240)*$D$32</f>
        <v>7</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7</v>
      </c>
      <c r="AJ240" s="110"/>
      <c r="AK240" s="76" t="s">
        <v>38</v>
      </c>
      <c r="AL240" s="77">
        <f t="shared" ref="AL240" ca="1" si="1798">COUNTIF($M$240:$M$241,AK240)*$D$32</f>
        <v>7</v>
      </c>
      <c r="AM240" s="110"/>
      <c r="AN240" s="76" t="s">
        <v>111</v>
      </c>
      <c r="AO240" s="77">
        <f t="shared" ref="AO240" ca="1" si="1799">COUNTIF($M$240:$M$241,AN240)*$D$32</f>
        <v>0</v>
      </c>
      <c r="AP240" s="110"/>
      <c r="AQ240" s="76" t="s">
        <v>38</v>
      </c>
      <c r="AR240" s="77">
        <f t="shared" ref="AR240" ca="1" si="1800">COUNTIF($M$240:$M$241,AQ240)*$D$32</f>
        <v>7</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7</v>
      </c>
      <c r="BB240" s="110"/>
      <c r="BC240" s="76" t="s">
        <v>38</v>
      </c>
      <c r="BD240" s="77">
        <f t="shared" ref="BD240" ca="1" si="1804">COUNTIF($M$240:$M$241,BC240)*$D$32</f>
        <v>7</v>
      </c>
      <c r="BE240" s="110"/>
      <c r="BF240" s="76" t="s">
        <v>38</v>
      </c>
      <c r="BG240" s="77">
        <f t="shared" ref="BG240" ca="1" si="1805">COUNTIF($M$240:$M$241,BF240)*$D$32</f>
        <v>7</v>
      </c>
      <c r="BH240" s="110"/>
      <c r="BI240" s="76" t="s">
        <v>38</v>
      </c>
      <c r="BJ240" s="77">
        <f t="shared" ref="BJ240" ca="1" si="1806">COUNTIF($M$240:$M$241,BI240)*$D$32</f>
        <v>7</v>
      </c>
      <c r="BK240" s="110"/>
      <c r="BL240" s="76" t="s">
        <v>38</v>
      </c>
      <c r="BM240" s="77">
        <f t="shared" ref="BM240" ca="1" si="1807">COUNTIF($M$240:$M$241,BL240)*$D$32</f>
        <v>7</v>
      </c>
      <c r="BN240" s="110"/>
      <c r="BO240" s="76" t="s">
        <v>38</v>
      </c>
      <c r="BP240" s="77">
        <f t="shared" ref="BP240" ca="1" si="1808">COUNTIF($M$240:$M$241,BO240)*$D$32</f>
        <v>7</v>
      </c>
      <c r="BQ240" s="110"/>
      <c r="BR240" s="76" t="s">
        <v>38</v>
      </c>
      <c r="BS240" s="77">
        <f t="shared" ref="BS240" ca="1" si="1809">COUNTIF($M$240:$M$241,BR240)*$D$32</f>
        <v>7</v>
      </c>
      <c r="BT240" s="110"/>
      <c r="BU240" s="76" t="s">
        <v>38</v>
      </c>
      <c r="BV240" s="77">
        <f t="shared" ref="BV240" ca="1" si="1810">COUNTIF($M$240:$M$241,BU240)*$D$32</f>
        <v>7</v>
      </c>
      <c r="BW240" s="110"/>
      <c r="BX240" s="76" t="s">
        <v>74</v>
      </c>
      <c r="BY240" s="77">
        <f t="shared" ref="BY240" ca="1" si="1811">COUNTIF($M$240:$M$241,BX240)*$D$32</f>
        <v>0</v>
      </c>
      <c r="BZ240" s="110"/>
      <c r="CA240" s="76" t="s">
        <v>38</v>
      </c>
      <c r="CB240" s="77">
        <f t="shared" ref="CB240" ca="1" si="1812">COUNTIF($M$240:$M$241,CA240)*$D$32</f>
        <v>7</v>
      </c>
      <c r="CC240" s="110"/>
      <c r="CD240" s="76" t="s">
        <v>74</v>
      </c>
      <c r="CE240" s="77">
        <f t="shared" ref="CE240" ca="1" si="1813">COUNTIF($M$240:$M$241,CD240)*$D$32</f>
        <v>0</v>
      </c>
      <c r="CF240" s="110"/>
      <c r="CG240" s="76" t="s">
        <v>38</v>
      </c>
      <c r="CH240" s="77">
        <f t="shared" ref="CH240" ca="1" si="1814">COUNTIF($M$240:$M$241,CG240)*$D$32</f>
        <v>7</v>
      </c>
      <c r="CI240" s="110"/>
      <c r="CJ240" s="76" t="s">
        <v>38</v>
      </c>
      <c r="CK240" s="77">
        <f t="shared" ref="CK240" ca="1" si="1815">COUNTIF($M$240:$M$241,CJ240)*$D$32</f>
        <v>7</v>
      </c>
      <c r="CL240" s="110"/>
      <c r="CM240" s="76" t="s">
        <v>38</v>
      </c>
      <c r="CN240" s="77">
        <f t="shared" ref="CN240" ca="1" si="1816">COUNTIF($M$240:$M$241,CM240)*$D$32</f>
        <v>7</v>
      </c>
      <c r="CO240" s="110"/>
      <c r="CP240" s="76" t="s">
        <v>38</v>
      </c>
      <c r="CQ240" s="77">
        <f t="shared" ref="CQ240" ca="1" si="1817">COUNTIF($M$240:$M$241,CP240)*$D$32</f>
        <v>7</v>
      </c>
      <c r="CR240" s="110"/>
      <c r="CS240" s="76" t="s">
        <v>38</v>
      </c>
      <c r="CT240" s="77">
        <f t="shared" ref="CT240" ca="1" si="1818">COUNTIF($M$240:$M$241,CS240)*$D$32</f>
        <v>7</v>
      </c>
      <c r="CU240" s="110"/>
      <c r="CV240" s="76" t="s">
        <v>38</v>
      </c>
      <c r="CW240" s="77">
        <f t="shared" ref="CW240" ca="1" si="1819">COUNTIF($M$240:$M$241,CV240)*$D$32</f>
        <v>7</v>
      </c>
      <c r="CX240" s="110"/>
      <c r="CY240" s="76" t="s">
        <v>74</v>
      </c>
      <c r="CZ240" s="77">
        <f t="shared" ref="CZ240" ca="1" si="1820">COUNTIF($M$240:$M$241,CY240)*$D$32</f>
        <v>0</v>
      </c>
      <c r="DA240" s="110"/>
      <c r="DB240" s="76" t="s">
        <v>38</v>
      </c>
      <c r="DC240" s="77">
        <f t="shared" ref="DC240" ca="1" si="1821">COUNTIF($M$240:$M$241,DB240)*$D$32</f>
        <v>7</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7</v>
      </c>
      <c r="DP240" s="110"/>
      <c r="DQ240" s="795" t="s">
        <v>1258</v>
      </c>
      <c r="DR240" s="77">
        <f t="shared" ref="DR240" ca="1" si="1826">COUNTIF($M$240:$M$241,DQ240)*$D$32</f>
        <v>0</v>
      </c>
      <c r="DS240" s="110"/>
      <c r="DT240" s="76" t="s">
        <v>38</v>
      </c>
      <c r="DU240" s="77">
        <f t="shared" ref="DU240" ca="1" si="1827">COUNTIF($M$240:$M$241,DT240)*$D$32</f>
        <v>7</v>
      </c>
      <c r="DV240" s="110"/>
      <c r="DW240" s="76" t="s">
        <v>38</v>
      </c>
      <c r="DX240" s="77">
        <f t="shared" ref="DX240" ca="1" si="1828">COUNTIF($M$240:$M$241,DW240)*$D$32</f>
        <v>7</v>
      </c>
      <c r="DY240" s="110"/>
      <c r="DZ240" s="76" t="s">
        <v>38</v>
      </c>
      <c r="EA240" s="77">
        <f t="shared" ref="EA240" ca="1" si="1829">COUNTIF($M$240:$M$241,DZ240)*$D$32</f>
        <v>7</v>
      </c>
      <c r="EB240" s="110"/>
      <c r="EC240" s="76" t="s">
        <v>38</v>
      </c>
      <c r="ED240" s="77">
        <f t="shared" ref="ED240" ca="1" si="1830">COUNTIF($M$240:$M$241,EC240)*$D$32</f>
        <v>7</v>
      </c>
      <c r="EE240" s="110"/>
      <c r="EF240" s="76" t="s">
        <v>38</v>
      </c>
      <c r="EG240" s="77">
        <f t="shared" ref="EG240" ca="1" si="1831">COUNTIF($M$240:$M$241,EF240)*$D$32</f>
        <v>7</v>
      </c>
      <c r="EH240" s="110"/>
      <c r="EI240" s="76" t="s">
        <v>38</v>
      </c>
      <c r="EJ240" s="77">
        <f t="shared" ref="EJ240" ca="1" si="1832">COUNTIF($M$240:$M$241,EI240)*$D$32</f>
        <v>7</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 ca="1">WORLDCUP!AF147</f>
        <v>Argentina</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7</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7</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7</v>
      </c>
      <c r="BH241" s="110"/>
      <c r="BI241" s="80" t="s">
        <v>1258</v>
      </c>
      <c r="BJ241" s="81">
        <f t="shared" ref="BJ241" ca="1" si="1855">COUNTIF($M$240:$M$241,BI241)*$D$32</f>
        <v>0</v>
      </c>
      <c r="BK241" s="110"/>
      <c r="BL241" s="80" t="s">
        <v>1256</v>
      </c>
      <c r="BM241" s="81">
        <f t="shared" ref="BM241" ca="1" si="1856">COUNTIF($M$240:$M$241,BL241)*$D$32</f>
        <v>7</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7</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7</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7</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7</v>
      </c>
      <c r="EB241" s="110"/>
      <c r="EC241" s="80" t="s">
        <v>79</v>
      </c>
      <c r="ED241" s="81">
        <f t="shared" ref="ED241" ca="1" si="1879">COUNTIF($M$240:$M$241,EC241)*$D$32</f>
        <v>0</v>
      </c>
      <c r="EE241" s="110"/>
      <c r="EF241" s="80" t="s">
        <v>76</v>
      </c>
      <c r="EG241" s="81">
        <f t="shared" ref="EG241" ca="1" si="1880">COUNTIF($M$240:$M$241,EF241)*$D$32</f>
        <v>0</v>
      </c>
      <c r="EH241" s="110"/>
      <c r="EI241" s="80" t="s">
        <v>79</v>
      </c>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7</v>
      </c>
      <c r="X242" s="49"/>
      <c r="Y242" s="84"/>
      <c r="Z242" s="71">
        <f t="shared" ref="Z242" ca="1" si="1892">SUM(Z240:Z241)</f>
        <v>7</v>
      </c>
      <c r="AA242" s="49"/>
      <c r="AB242" s="84"/>
      <c r="AC242" s="71">
        <f t="shared" ref="AC242" ca="1" si="1893">SUM(AC240:AC241)</f>
        <v>0</v>
      </c>
      <c r="AD242" s="49"/>
      <c r="AE242" s="84"/>
      <c r="AF242" s="71">
        <f t="shared" ref="AF242" ca="1" si="1894">SUM(AF240:AF241)</f>
        <v>0</v>
      </c>
      <c r="AG242" s="49"/>
      <c r="AH242" s="84"/>
      <c r="AI242" s="71">
        <f t="shared" ref="AI242" ca="1" si="1895">SUM(AI240:AI241)</f>
        <v>14</v>
      </c>
      <c r="AJ242" s="49"/>
      <c r="AK242" s="84"/>
      <c r="AL242" s="71">
        <f t="shared" ref="AL242" ca="1" si="1896">SUM(AL240:AL241)</f>
        <v>7</v>
      </c>
      <c r="AM242" s="49"/>
      <c r="AN242" s="84"/>
      <c r="AO242" s="71">
        <f t="shared" ref="AO242" ca="1" si="1897">SUM(AO240:AO241)</f>
        <v>0</v>
      </c>
      <c r="AP242" s="49"/>
      <c r="AQ242" s="84"/>
      <c r="AR242" s="71">
        <f t="shared" ref="AR242" ca="1" si="1898">SUM(AR240:AR241)</f>
        <v>14</v>
      </c>
      <c r="AS242" s="49"/>
      <c r="AT242" s="84"/>
      <c r="AU242" s="71">
        <f t="shared" ref="AU242" ca="1" si="1899">SUM(AU240:AU241)</f>
        <v>0</v>
      </c>
      <c r="AV242" s="49"/>
      <c r="AW242" s="84"/>
      <c r="AX242" s="71">
        <f t="shared" ref="AX242" ca="1" si="1900">SUM(AX240:AX241)</f>
        <v>0</v>
      </c>
      <c r="AY242" s="49"/>
      <c r="AZ242" s="84"/>
      <c r="BA242" s="71">
        <f t="shared" ref="BA242" ca="1" si="1901">SUM(BA240:BA241)</f>
        <v>7</v>
      </c>
      <c r="BB242" s="49"/>
      <c r="BC242" s="84"/>
      <c r="BD242" s="71">
        <f t="shared" ref="BD242" ca="1" si="1902">SUM(BD240:BD241)</f>
        <v>7</v>
      </c>
      <c r="BE242" s="49"/>
      <c r="BF242" s="84"/>
      <c r="BG242" s="71">
        <f t="shared" ref="BG242" ca="1" si="1903">SUM(BG240:BG241)</f>
        <v>14</v>
      </c>
      <c r="BH242" s="49"/>
      <c r="BI242" s="84"/>
      <c r="BJ242" s="71">
        <f t="shared" ref="BJ242" ca="1" si="1904">SUM(BJ240:BJ241)</f>
        <v>7</v>
      </c>
      <c r="BK242" s="49"/>
      <c r="BL242" s="84"/>
      <c r="BM242" s="71">
        <f t="shared" ref="BM242" ca="1" si="1905">SUM(BM240:BM241)</f>
        <v>14</v>
      </c>
      <c r="BN242" s="49"/>
      <c r="BO242" s="84"/>
      <c r="BP242" s="71">
        <f t="shared" ref="BP242" ca="1" si="1906">SUM(BP240:BP241)</f>
        <v>7</v>
      </c>
      <c r="BQ242" s="49"/>
      <c r="BR242" s="84"/>
      <c r="BS242" s="71">
        <f t="shared" ref="BS242" ca="1" si="1907">SUM(BS240:BS241)</f>
        <v>7</v>
      </c>
      <c r="BT242" s="49"/>
      <c r="BU242" s="84"/>
      <c r="BV242" s="71">
        <f t="shared" ref="BV242" ca="1" si="1908">SUM(BV240:BV241)</f>
        <v>7</v>
      </c>
      <c r="BW242" s="49"/>
      <c r="BX242" s="84"/>
      <c r="BY242" s="71">
        <f t="shared" ref="BY242" ca="1" si="1909">SUM(BY240:BY241)</f>
        <v>0</v>
      </c>
      <c r="BZ242" s="49"/>
      <c r="CA242" s="84"/>
      <c r="CB242" s="71">
        <f t="shared" ref="CB242" ca="1" si="1910">SUM(CB240:CB241)</f>
        <v>14</v>
      </c>
      <c r="CC242" s="49"/>
      <c r="CD242" s="84"/>
      <c r="CE242" s="71">
        <f t="shared" ref="CE242" ca="1" si="1911">SUM(CE240:CE241)</f>
        <v>0</v>
      </c>
      <c r="CF242" s="49"/>
      <c r="CG242" s="84"/>
      <c r="CH242" s="71">
        <f t="shared" ref="CH242" ca="1" si="1912">SUM(CH240:CH241)</f>
        <v>7</v>
      </c>
      <c r="CI242" s="49"/>
      <c r="CJ242" s="84"/>
      <c r="CK242" s="71">
        <f t="shared" ref="CK242" ca="1" si="1913">SUM(CK240:CK241)</f>
        <v>7</v>
      </c>
      <c r="CL242" s="49"/>
      <c r="CM242" s="84"/>
      <c r="CN242" s="71">
        <f t="shared" ref="CN242" ca="1" si="1914">SUM(CN240:CN241)</f>
        <v>7</v>
      </c>
      <c r="CO242" s="49"/>
      <c r="CP242" s="84"/>
      <c r="CQ242" s="71">
        <f t="shared" ref="CQ242" ca="1" si="1915">SUM(CQ240:CQ241)</f>
        <v>7</v>
      </c>
      <c r="CR242" s="49"/>
      <c r="CS242" s="84"/>
      <c r="CT242" s="71">
        <f t="shared" ref="CT242" ca="1" si="1916">SUM(CT240:CT241)</f>
        <v>14</v>
      </c>
      <c r="CU242" s="49"/>
      <c r="CV242" s="84"/>
      <c r="CW242" s="71">
        <f t="shared" ref="CW242" ca="1" si="1917">SUM(CW240:CW241)</f>
        <v>7</v>
      </c>
      <c r="CX242" s="49"/>
      <c r="CY242" s="84"/>
      <c r="CZ242" s="71">
        <f t="shared" ref="CZ242" ca="1" si="1918">SUM(CZ240:CZ241)</f>
        <v>0</v>
      </c>
      <c r="DA242" s="49"/>
      <c r="DB242" s="84"/>
      <c r="DC242" s="71">
        <f t="shared" ref="DC242" ca="1" si="1919">SUM(DC240:DC241)</f>
        <v>14</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7</v>
      </c>
      <c r="DP242" s="49"/>
      <c r="DQ242" s="796"/>
      <c r="DR242" s="71">
        <f t="shared" ref="DR242" ca="1" si="1924">SUM(DR240:DR241)</f>
        <v>0</v>
      </c>
      <c r="DS242" s="49"/>
      <c r="DT242" s="84"/>
      <c r="DU242" s="71">
        <f t="shared" ref="DU242" ca="1" si="1925">SUM(DU240:DU241)</f>
        <v>7</v>
      </c>
      <c r="DV242" s="49"/>
      <c r="DW242" s="84"/>
      <c r="DX242" s="71">
        <f t="shared" ref="DX242" ca="1" si="1926">SUM(DX240:DX241)</f>
        <v>7</v>
      </c>
      <c r="DY242" s="49"/>
      <c r="DZ242" s="84"/>
      <c r="EA242" s="71">
        <f t="shared" ref="EA242" ca="1" si="1927">SUM(EA240:EA241)</f>
        <v>14</v>
      </c>
      <c r="EB242" s="49"/>
      <c r="EC242" s="84"/>
      <c r="ED242" s="71">
        <f t="shared" ref="ED242" ca="1" si="1928">SUM(ED240:ED241)</f>
        <v>7</v>
      </c>
      <c r="EE242" s="49"/>
      <c r="EF242" s="84"/>
      <c r="EG242" s="71">
        <f t="shared" ref="EG242" ca="1" si="1929">SUM(EG240:EG241)</f>
        <v>7</v>
      </c>
      <c r="EH242" s="49"/>
      <c r="EI242" s="84"/>
      <c r="EJ242" s="71">
        <f t="shared" ref="EJ242" ca="1" si="1930">SUM(EJ240:EJ241)</f>
        <v>7</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6</v>
      </c>
      <c r="B244" s="25">
        <f>WORLDCUP!AC143</f>
        <v>4</v>
      </c>
      <c r="C244" s="25" t="str">
        <f ca="1">CONCATENATE(WORLDCUP!AF143,"-",WORLDCUP!AA143)</f>
        <v>Inglaterra-Francia</v>
      </c>
      <c r="D244" s="25">
        <f>IF(WORLDCUP!AC143&gt;WORLDCUP!AD143,2,IF(WORLDCUP!AC143&lt;WORLDCUP!AD143,1,IF(AND(WORLDCUP!AC143=WORLDCUP!AD143,WORLDCUP!AC143&lt;&gt;"",WORLDCUP!AD143&lt;&gt;""),0,"PD")))</f>
        <v>1</v>
      </c>
      <c r="E244" s="25" t="str">
        <f>IF(OR(WORLDCUP!AD143="",WORLDCUP!AC143=""),"-",A244&amp;"-"&amp;B244)</f>
        <v>6-4</v>
      </c>
      <c r="F244" s="407">
        <f>SUM($D$33:$D$35)*$I$244</f>
        <v>4</v>
      </c>
      <c r="G244" s="407">
        <f ca="1">VLOOKUP(H244,Equipos!$Q$1:$R$25,2,0)</f>
        <v>24</v>
      </c>
      <c r="H244" s="65" t="str">
        <f>Idiomas!$D$264</f>
        <v>3-4 &amp; Final</v>
      </c>
      <c r="I244" s="43">
        <v>1</v>
      </c>
      <c r="J244" s="98" t="s">
        <v>493</v>
      </c>
      <c r="K244" s="114" t="str">
        <f ca="1">CONCATENATE(WORLDCUP!AA143,"-",WORLDCUP!AF143)</f>
        <v>Francia-Inglaterra</v>
      </c>
      <c r="L244" s="114">
        <f>IF(OR(WORLDCUP!AC143="",WORLDCUP!AD143=""),"PD",IF(WORLDCUP!AC143&gt;WORLDCUP!AD143,1,IF(WORLDCUP!AC143&lt;WORLDCUP!AD143,2,0)))</f>
        <v>2</v>
      </c>
      <c r="M244" s="117" t="str">
        <f>IF(L244="PD","-",N244&amp;"-"&amp;O244)</f>
        <v>4-6</v>
      </c>
      <c r="N244" s="25">
        <f>WORLDCUP!AC143</f>
        <v>4</v>
      </c>
      <c r="O244" s="25">
        <f>WORLDCUP!AD143</f>
        <v>6</v>
      </c>
      <c r="P244" s="25">
        <f>+N244-O244</f>
        <v>-2</v>
      </c>
      <c r="Q244" s="25">
        <f>+A244-B244</f>
        <v>2</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2031</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2117</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2145</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2171</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2202</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2226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2248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2274</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2294</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2320</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2031</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2249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2031</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2031</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2294</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2420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2439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2459</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2274</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2494</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2507</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2521</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2536</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2542</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2542</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2341</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2587</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2605</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2274</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2633</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2645</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2672</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2695</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2711</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2725</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2667</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2750</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2758</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 ca="1">CONCATENATE(WORLDCUP!AF147,"-",WORLDCUP!AA147)</f>
        <v>Argentina-España</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 ca="1">CONCATENATE(WORLDCUP!AA147,"-",WORLDCUP!AF147)</f>
        <v>España-Argentina</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2032</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2064</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2088</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2118</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2117</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2172</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2203</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2117</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2249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2275</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2032</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2321</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2341</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2360</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2341</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2387</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2172</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2387</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2088</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2117</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2320</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2360</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2387</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2522</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2064</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2117</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2553</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2576</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2606</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2249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2634</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2553</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2673</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2696</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2172</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2387</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2751</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2387</v>
      </c>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0</v>
      </c>
      <c r="AJ248" s="65"/>
      <c r="AK248" s="84"/>
      <c r="AL248" s="71">
        <f t="shared" ref="AL248" ca="1" si="2091">AL247</f>
        <v>0</v>
      </c>
      <c r="AM248" s="65"/>
      <c r="AN248" s="84"/>
      <c r="AO248" s="71">
        <f t="shared" ref="AO248" ca="1" si="2092">AO247</f>
        <v>0</v>
      </c>
      <c r="AP248" s="65"/>
      <c r="AQ248" s="84"/>
      <c r="AR248" s="71">
        <f t="shared" ref="AR248" ca="1" si="2093">AR247</f>
        <v>0</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0</v>
      </c>
      <c r="BH248" s="65"/>
      <c r="BI248" s="84"/>
      <c r="BJ248" s="71">
        <f t="shared" ref="BJ248" ca="1" si="2099">BJ247</f>
        <v>0</v>
      </c>
      <c r="BK248" s="65"/>
      <c r="BL248" s="84"/>
      <c r="BM248" s="71">
        <f t="shared" ref="BM248" ca="1" si="2100">BM247</f>
        <v>0</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0</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0</v>
      </c>
      <c r="CU248" s="65"/>
      <c r="CV248" s="84"/>
      <c r="CW248" s="71">
        <f t="shared" ref="CW248" ca="1" si="2112">CW247</f>
        <v>0</v>
      </c>
      <c r="CX248" s="65"/>
      <c r="CY248" s="84"/>
      <c r="CZ248" s="71">
        <f t="shared" ref="CZ248" ca="1" si="2113">CZ247</f>
        <v>0</v>
      </c>
      <c r="DA248" s="65"/>
      <c r="DB248" s="84"/>
      <c r="DC248" s="71">
        <f t="shared" ref="DC248" ca="1" si="2114">DC247</f>
        <v>0</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0</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 ca="1">WORLDCUP!AA152</f>
        <v>Inglaterra</v>
      </c>
      <c r="N252" s="25"/>
      <c r="O252" s="25"/>
      <c r="P252" s="25"/>
      <c r="Q252" s="25"/>
      <c r="R252" s="17"/>
      <c r="S252" s="74" t="s">
        <v>38</v>
      </c>
      <c r="T252" s="73">
        <f ca="1">COUNTIF($M$252,S252)*$D$41</f>
        <v>0</v>
      </c>
      <c r="U252" s="64"/>
      <c r="V252" s="74" t="s">
        <v>74</v>
      </c>
      <c r="W252" s="73">
        <f t="shared" ref="W252" ca="1" si="2234">COUNTIF($M$252,V252)*$D$41</f>
        <v>0</v>
      </c>
      <c r="X252" s="64"/>
      <c r="Y252" s="74" t="s">
        <v>1258</v>
      </c>
      <c r="Z252" s="73">
        <f t="shared" ref="Z252" ca="1" si="2235">COUNTIF($M$252,Y252)*$D$41</f>
        <v>0</v>
      </c>
      <c r="AA252" s="64"/>
      <c r="AB252" s="74" t="s">
        <v>38</v>
      </c>
      <c r="AC252" s="73">
        <f t="shared" ref="AC252" ca="1" si="2236">COUNTIF($M$252,AB252)*$D$41</f>
        <v>0</v>
      </c>
      <c r="AD252" s="64"/>
      <c r="AE252" s="74" t="s">
        <v>38</v>
      </c>
      <c r="AF252" s="73">
        <f t="shared" ref="AF252" ca="1" si="2237">COUNTIF($M$252,AE252)*$D$41</f>
        <v>0</v>
      </c>
      <c r="AG252" s="64"/>
      <c r="AH252" s="74" t="s">
        <v>74</v>
      </c>
      <c r="AI252" s="73">
        <f t="shared" ref="AI252" ca="1" si="2238">COUNTIF($M$252,AH252)*$D$41</f>
        <v>0</v>
      </c>
      <c r="AJ252" s="64"/>
      <c r="AK252" s="74" t="s">
        <v>111</v>
      </c>
      <c r="AL252" s="73">
        <f t="shared" ref="AL252" ca="1" si="2239">COUNTIF($M$252,AK252)*$D$41</f>
        <v>0</v>
      </c>
      <c r="AM252" s="64"/>
      <c r="AN252" s="74" t="s">
        <v>76</v>
      </c>
      <c r="AO252" s="73">
        <f t="shared" ref="AO252" ca="1" si="2240">COUNTIF($M$252,AN252)*$D$41</f>
        <v>10</v>
      </c>
      <c r="AP252" s="64"/>
      <c r="AQ252" s="74" t="s">
        <v>74</v>
      </c>
      <c r="AR252" s="73">
        <f t="shared" ref="AR252" ca="1" si="2241">COUNTIF($M$252,AQ252)*$D$41</f>
        <v>0</v>
      </c>
      <c r="AS252" s="64"/>
      <c r="AT252" s="74" t="s">
        <v>38</v>
      </c>
      <c r="AU252" s="73">
        <f t="shared" ref="AU252" ca="1" si="2242">COUNTIF($M$252,AT252)*$D$41</f>
        <v>0</v>
      </c>
      <c r="AV252" s="64"/>
      <c r="AW252" s="74" t="s">
        <v>38</v>
      </c>
      <c r="AX252" s="73">
        <f t="shared" ref="AX252" ca="1" si="2243">COUNTIF($M$252,AW252)*$D$41</f>
        <v>0</v>
      </c>
      <c r="AY252" s="64"/>
      <c r="AZ252" s="74" t="s">
        <v>1258</v>
      </c>
      <c r="BA252" s="73">
        <f t="shared" ref="BA252" ca="1" si="2244">COUNTIF($M$252,AZ252)*$D$41</f>
        <v>0</v>
      </c>
      <c r="BB252" s="64"/>
      <c r="BC252" s="74" t="s">
        <v>79</v>
      </c>
      <c r="BD252" s="73">
        <f t="shared" ref="BD252" ca="1" si="2245">COUNTIF($M$252,BC252)*$D$41</f>
        <v>0</v>
      </c>
      <c r="BE252" s="64"/>
      <c r="BF252" s="74" t="s">
        <v>74</v>
      </c>
      <c r="BG252" s="73">
        <f t="shared" ref="BG252" ca="1" si="2246">COUNTIF($M$252,BF252)*$D$41</f>
        <v>0</v>
      </c>
      <c r="BH252" s="64"/>
      <c r="BI252" s="74" t="s">
        <v>79</v>
      </c>
      <c r="BJ252" s="73">
        <f t="shared" ref="BJ252" ca="1" si="2247">COUNTIF($M$252,BI252)*$D$41</f>
        <v>0</v>
      </c>
      <c r="BK252" s="64"/>
      <c r="BL252" s="74" t="s">
        <v>74</v>
      </c>
      <c r="BM252" s="73">
        <f t="shared" ref="BM252" ca="1" si="2248">COUNTIF($M$252,BL252)*$D$41</f>
        <v>0</v>
      </c>
      <c r="BN252" s="64"/>
      <c r="BO252" s="74" t="s">
        <v>74</v>
      </c>
      <c r="BP252" s="73">
        <f t="shared" ref="BP252" ca="1" si="2249">COUNTIF($M$252,BO252)*$D$41</f>
        <v>0</v>
      </c>
      <c r="BQ252" s="64"/>
      <c r="BR252" s="74" t="s">
        <v>1258</v>
      </c>
      <c r="BS252" s="73">
        <f t="shared" ref="BS252" ca="1" si="2250">COUNTIF($M$252,BR252)*$D$41</f>
        <v>0</v>
      </c>
      <c r="BT252" s="64"/>
      <c r="BU252" s="74" t="s">
        <v>74</v>
      </c>
      <c r="BV252" s="73">
        <f t="shared" ref="BV252" ca="1" si="2251">COUNTIF($M$252,BU252)*$D$41</f>
        <v>0</v>
      </c>
      <c r="BW252" s="64"/>
      <c r="BX252" s="74" t="s">
        <v>38</v>
      </c>
      <c r="BY252" s="73">
        <f t="shared" ref="BY252" ca="1" si="2252">COUNTIF($M$252,BX252)*$D$41</f>
        <v>0</v>
      </c>
      <c r="BZ252" s="64"/>
      <c r="CA252" s="74" t="s">
        <v>76</v>
      </c>
      <c r="CB252" s="73">
        <f t="shared" ref="CB252" ca="1" si="2253">COUNTIF($M$252,CA252)*$D$41</f>
        <v>10</v>
      </c>
      <c r="CC252" s="64"/>
      <c r="CD252" s="74" t="s">
        <v>38</v>
      </c>
      <c r="CE252" s="73">
        <f t="shared" ref="CE252" ca="1" si="2254">COUNTIF($M$252,CD252)*$D$41</f>
        <v>0</v>
      </c>
      <c r="CF252" s="64"/>
      <c r="CG252" s="74" t="s">
        <v>74</v>
      </c>
      <c r="CH252" s="73">
        <f t="shared" ref="CH252" ca="1" si="2255">COUNTIF($M$252,CG252)*$D$41</f>
        <v>0</v>
      </c>
      <c r="CI252" s="64"/>
      <c r="CJ252" s="74" t="s">
        <v>74</v>
      </c>
      <c r="CK252" s="73">
        <f t="shared" ref="CK252" ca="1" si="2256">COUNTIF($M$252,CJ252)*$D$41</f>
        <v>0</v>
      </c>
      <c r="CL252" s="64"/>
      <c r="CM252" s="74" t="s">
        <v>74</v>
      </c>
      <c r="CN252" s="73">
        <f t="shared" ref="CN252" ca="1" si="2257">COUNTIF($M$252,CM252)*$D$41</f>
        <v>0</v>
      </c>
      <c r="CO252" s="64"/>
      <c r="CP252" s="74" t="s">
        <v>74</v>
      </c>
      <c r="CQ252" s="73">
        <f t="shared" ref="CQ252" ca="1" si="2258">COUNTIF($M$252,CP252)*$D$41</f>
        <v>0</v>
      </c>
      <c r="CR252" s="64"/>
      <c r="CS252" s="74" t="s">
        <v>74</v>
      </c>
      <c r="CT252" s="73">
        <f t="shared" ref="CT252" ca="1" si="2259">COUNTIF($M$252,CS252)*$D$41</f>
        <v>0</v>
      </c>
      <c r="CU252" s="64"/>
      <c r="CV252" s="74" t="s">
        <v>74</v>
      </c>
      <c r="CW252" s="73">
        <f t="shared" ref="CW252" ca="1" si="2260">COUNTIF($M$252,CV252)*$D$41</f>
        <v>0</v>
      </c>
      <c r="CX252" s="64"/>
      <c r="CY252" s="74" t="s">
        <v>38</v>
      </c>
      <c r="CZ252" s="73">
        <f t="shared" ref="CZ252" ca="1" si="2261">COUNTIF($M$252,CY252)*$D$41</f>
        <v>0</v>
      </c>
      <c r="DA252" s="64"/>
      <c r="DB252" s="74" t="s">
        <v>74</v>
      </c>
      <c r="DC252" s="73">
        <f t="shared" ref="DC252" ca="1" si="2262">COUNTIF($M$252,DB252)*$D$41</f>
        <v>0</v>
      </c>
      <c r="DD252" s="64"/>
      <c r="DE252" s="74" t="s">
        <v>1256</v>
      </c>
      <c r="DF252" s="73">
        <f t="shared" ref="DF252" ca="1" si="2263">COUNTIF($M$252,DE252)*$D$41</f>
        <v>0</v>
      </c>
      <c r="DG252" s="64"/>
      <c r="DH252" s="74" t="s">
        <v>38</v>
      </c>
      <c r="DI252" s="73">
        <f t="shared" ref="DI252" ca="1" si="2264">COUNTIF($M$252,DH252)*$D$41</f>
        <v>0</v>
      </c>
      <c r="DJ252" s="64"/>
      <c r="DK252" s="74" t="s">
        <v>1261</v>
      </c>
      <c r="DL252" s="73">
        <f t="shared" ref="DL252" ca="1" si="2265">COUNTIF($M$252,DK252)*$D$41</f>
        <v>0</v>
      </c>
      <c r="DM252" s="64"/>
      <c r="DN252" s="795" t="s">
        <v>1258</v>
      </c>
      <c r="DO252" s="73">
        <f t="shared" ref="DO252" ca="1" si="2266">COUNTIF($M$252,DN252)*$D$41</f>
        <v>0</v>
      </c>
      <c r="DP252" s="64"/>
      <c r="DQ252" s="795" t="s">
        <v>76</v>
      </c>
      <c r="DR252" s="73">
        <f t="shared" ref="DR252" ca="1" si="2267">COUNTIF($M$252,DQ252)*$D$41</f>
        <v>10</v>
      </c>
      <c r="DS252" s="64"/>
      <c r="DT252" s="74" t="s">
        <v>77</v>
      </c>
      <c r="DU252" s="73">
        <f t="shared" ref="DU252" ca="1" si="2268">COUNTIF($M$252,DT252)*$D$41</f>
        <v>0</v>
      </c>
      <c r="DV252" s="64"/>
      <c r="DW252" s="74" t="s">
        <v>74</v>
      </c>
      <c r="DX252" s="73">
        <f t="shared" ref="DX252" ca="1" si="2269">COUNTIF($M$252,DW252)*$D$41</f>
        <v>0</v>
      </c>
      <c r="DY252" s="64"/>
      <c r="DZ252" s="74" t="s">
        <v>77</v>
      </c>
      <c r="EA252" s="73">
        <f t="shared" ref="EA252" ca="1" si="2270">COUNTIF($M$252,DZ252)*$D$41</f>
        <v>0</v>
      </c>
      <c r="EB252" s="64"/>
      <c r="EC252" s="74" t="s">
        <v>1258</v>
      </c>
      <c r="ED252" s="73">
        <f t="shared" ref="ED252" ca="1" si="2271">COUNTIF($M$252,EC252)*$D$41</f>
        <v>0</v>
      </c>
      <c r="EE252" s="64"/>
      <c r="EF252" s="74" t="s">
        <v>1318</v>
      </c>
      <c r="EG252" s="73">
        <f t="shared" ref="EG252" ca="1" si="2272">COUNTIF($M$252,EF252)*$D$41</f>
        <v>0</v>
      </c>
      <c r="EH252" s="64"/>
      <c r="EI252" s="74" t="s">
        <v>74</v>
      </c>
      <c r="EJ252" s="73">
        <f t="shared" ref="EJ252" ca="1" si="2273">COUNTIF($M$252,EI252)*$D$41</f>
        <v>0</v>
      </c>
      <c r="EK252" s="64"/>
      <c r="EL252" s="74"/>
      <c r="EM252" s="73">
        <f t="shared" ref="EM252" ca="1" si="2274">COUNTIF($M$252,EL252)*$D$41</f>
        <v>0</v>
      </c>
      <c r="EN252" s="64"/>
      <c r="EO252" s="74"/>
      <c r="EP252" s="73">
        <f t="shared" ref="EP252" ca="1" si="2275">COUNTIF($M$252,EO252)*$D$41</f>
        <v>0</v>
      </c>
      <c r="EQ252" s="64"/>
      <c r="ER252" s="74"/>
      <c r="ES252" s="73">
        <f t="shared" ref="ES252" ca="1" si="2276">COUNTIF($M$252,ER252)*$D$41</f>
        <v>0</v>
      </c>
      <c r="ET252" s="64"/>
      <c r="EU252" s="74"/>
      <c r="EV252" s="73">
        <f t="shared" ref="EV252" ca="1" si="2277">COUNTIF($M$252,EU252)*$D$41</f>
        <v>0</v>
      </c>
      <c r="EW252" s="64"/>
      <c r="EX252" s="74"/>
      <c r="EY252" s="73">
        <f t="shared" ref="EY252" ca="1" si="2278">COUNTIF($M$252,EX252)*$D$41</f>
        <v>0</v>
      </c>
      <c r="EZ252" s="64"/>
      <c r="FA252" s="74"/>
      <c r="FB252" s="73">
        <f t="shared" ref="FB252" ca="1" si="2279">COUNTIF($M$252,FA252)*$D$41</f>
        <v>0</v>
      </c>
      <c r="FC252" s="64"/>
      <c r="FD252" s="74"/>
      <c r="FE252" s="73">
        <f t="shared" ref="FE252" ca="1" si="2280">COUNTIF($M$252,FD252)*$D$41</f>
        <v>0</v>
      </c>
      <c r="FF252" s="64"/>
      <c r="FG252" s="74"/>
      <c r="FH252" s="73">
        <f t="shared" ref="FH252" ca="1" si="2281">COUNTIF($M$252,FG252)*$D$41</f>
        <v>0</v>
      </c>
      <c r="FI252" s="64"/>
      <c r="FJ252" s="74"/>
      <c r="FK252" s="73">
        <f t="shared" ref="FK252" ca="1"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2034</v>
      </c>
      <c r="T253" s="73">
        <f>COUNTIF($M$253,S253)*$D$42</f>
        <v>0</v>
      </c>
      <c r="U253" s="64"/>
      <c r="V253" s="74" t="s">
        <v>2033</v>
      </c>
      <c r="W253" s="73">
        <f t="shared" ref="W253" si="2283">COUNTIF($M$253,V253)*$D$42</f>
        <v>0</v>
      </c>
      <c r="X253" s="64"/>
      <c r="Y253" s="74" t="s">
        <v>2065</v>
      </c>
      <c r="Z253" s="73">
        <f t="shared" ref="Z253" si="2284">COUNTIF($M$253,Y253)*$D$42</f>
        <v>0</v>
      </c>
      <c r="AA253" s="64"/>
      <c r="AB253" s="74" t="s">
        <v>2033</v>
      </c>
      <c r="AC253" s="73">
        <f t="shared" ref="AC253" si="2285">COUNTIF($M$253,AB253)*$D$42</f>
        <v>0</v>
      </c>
      <c r="AD253" s="64"/>
      <c r="AE253" s="74" t="s">
        <v>2033</v>
      </c>
      <c r="AF253" s="73">
        <f t="shared" ref="AF253" si="2286">COUNTIF($M$253,AE253)*$D$42</f>
        <v>0</v>
      </c>
      <c r="AG253" s="64"/>
      <c r="AH253" s="74" t="s">
        <v>2033</v>
      </c>
      <c r="AI253" s="73">
        <f t="shared" ref="AI253" si="2287">COUNTIF($M$253,AH253)*$D$42</f>
        <v>0</v>
      </c>
      <c r="AJ253" s="64"/>
      <c r="AK253" s="74" t="s">
        <v>2034</v>
      </c>
      <c r="AL253" s="73">
        <f t="shared" ref="AL253" si="2288">COUNTIF($M$253,AK253)*$D$42</f>
        <v>0</v>
      </c>
      <c r="AM253" s="64"/>
      <c r="AN253" s="74" t="s">
        <v>2034</v>
      </c>
      <c r="AO253" s="73">
        <f t="shared" ref="AO253" si="2289">COUNTIF($M$253,AN253)*$D$42</f>
        <v>0</v>
      </c>
      <c r="AP253" s="64"/>
      <c r="AQ253" s="74" t="s">
        <v>2227</v>
      </c>
      <c r="AR253" s="73">
        <f t="shared" ref="AR253" si="2290">COUNTIF($M$253,AQ253)*$D$42</f>
        <v>0</v>
      </c>
      <c r="AS253" s="64"/>
      <c r="AT253" s="74" t="s">
        <v>2033</v>
      </c>
      <c r="AU253" s="73">
        <f t="shared" ref="AU253" si="2291">COUNTIF($M$253,AT253)*$D$42</f>
        <v>0</v>
      </c>
      <c r="AV253" s="64"/>
      <c r="AW253" s="74" t="s">
        <v>2033</v>
      </c>
      <c r="AX253" s="73">
        <f t="shared" ref="AX253" si="2292">COUNTIF($M$253,AW253)*$D$42</f>
        <v>0</v>
      </c>
      <c r="AY253" s="64"/>
      <c r="AZ253" s="74" t="s">
        <v>2065</v>
      </c>
      <c r="BA253" s="73">
        <f t="shared" ref="BA253" si="2293">COUNTIF($M$253,AZ253)*$D$42</f>
        <v>0</v>
      </c>
      <c r="BB253" s="64"/>
      <c r="BC253" s="74" t="s">
        <v>2322</v>
      </c>
      <c r="BD253" s="73">
        <f t="shared" ref="BD253" si="2294">COUNTIF($M$253,BC253)*$D$42</f>
        <v>0</v>
      </c>
      <c r="BE253" s="64"/>
      <c r="BF253" s="74" t="s">
        <v>2033</v>
      </c>
      <c r="BG253" s="73">
        <f t="shared" ref="BG253" si="2295">COUNTIF($M$253,BF253)*$D$42</f>
        <v>0</v>
      </c>
      <c r="BH253" s="64"/>
      <c r="BI253" s="74" t="s">
        <v>2034</v>
      </c>
      <c r="BJ253" s="73">
        <f t="shared" ref="BJ253" si="2296">COUNTIF($M$253,BI253)*$D$42</f>
        <v>0</v>
      </c>
      <c r="BK253" s="64"/>
      <c r="BL253" s="74" t="s">
        <v>2033</v>
      </c>
      <c r="BM253" s="73">
        <f t="shared" ref="BM253" si="2297">COUNTIF($M$253,BL253)*$D$42</f>
        <v>0</v>
      </c>
      <c r="BN253" s="64"/>
      <c r="BO253" s="74" t="s">
        <v>2033</v>
      </c>
      <c r="BP253" s="73">
        <f t="shared" ref="BP253" si="2298">COUNTIF($M$253,BO253)*$D$42</f>
        <v>0</v>
      </c>
      <c r="BQ253" s="64"/>
      <c r="BR253" s="74" t="s">
        <v>2033</v>
      </c>
      <c r="BS253" s="73">
        <f t="shared" ref="BS253" si="2299">COUNTIF($M$253,BR253)*$D$42</f>
        <v>0</v>
      </c>
      <c r="BT253" s="64"/>
      <c r="BU253" s="74" t="s">
        <v>2066</v>
      </c>
      <c r="BV253" s="73">
        <f t="shared" ref="BV253" si="2300">COUNTIF($M$253,BU253)*$D$42</f>
        <v>0</v>
      </c>
      <c r="BW253" s="64"/>
      <c r="BX253" s="74" t="s">
        <v>2034</v>
      </c>
      <c r="BY253" s="73">
        <f t="shared" ref="BY253" si="2301">COUNTIF($M$253,BX253)*$D$42</f>
        <v>0</v>
      </c>
      <c r="BZ253" s="64"/>
      <c r="CA253" s="74" t="s">
        <v>2034</v>
      </c>
      <c r="CB253" s="73">
        <f t="shared" ref="CB253" si="2302">COUNTIF($M$253,CA253)*$D$42</f>
        <v>0</v>
      </c>
      <c r="CC253" s="64"/>
      <c r="CD253" s="74" t="s">
        <v>2065</v>
      </c>
      <c r="CE253" s="73">
        <f t="shared" ref="CE253" si="2303">COUNTIF($M$253,CD253)*$D$42</f>
        <v>0</v>
      </c>
      <c r="CF253" s="64"/>
      <c r="CG253" s="74" t="s">
        <v>2119</v>
      </c>
      <c r="CH253" s="73">
        <f t="shared" ref="CH253" si="2304">COUNTIF($M$253,CG253)*$D$42</f>
        <v>0</v>
      </c>
      <c r="CI253" s="64"/>
      <c r="CJ253" s="74" t="s">
        <v>2033</v>
      </c>
      <c r="CK253" s="73">
        <f t="shared" ref="CK253" si="2305">COUNTIF($M$253,CJ253)*$D$42</f>
        <v>0</v>
      </c>
      <c r="CL253" s="64"/>
      <c r="CM253" s="74" t="s">
        <v>2524</v>
      </c>
      <c r="CN253" s="73">
        <f t="shared" ref="CN253" si="2306">COUNTIF($M$253,CM253)*$D$42</f>
        <v>0</v>
      </c>
      <c r="CO253" s="64"/>
      <c r="CP253" s="74" t="s">
        <v>2066</v>
      </c>
      <c r="CQ253" s="73">
        <f t="shared" ref="CQ253" si="2307">COUNTIF($M$253,CP253)*$D$42</f>
        <v>0</v>
      </c>
      <c r="CR253" s="64"/>
      <c r="CS253" s="74" t="s">
        <v>2759</v>
      </c>
      <c r="CT253" s="73">
        <f t="shared" ref="CT253" si="2308">COUNTIF($M$253,CS253)*$D$42</f>
        <v>0</v>
      </c>
      <c r="CU253" s="64"/>
      <c r="CV253" s="74" t="s">
        <v>2033</v>
      </c>
      <c r="CW253" s="73">
        <f t="shared" ref="CW253" si="2309">COUNTIF($M$253,CV253)*$D$42</f>
        <v>0</v>
      </c>
      <c r="CX253" s="64"/>
      <c r="CY253" s="74" t="s">
        <v>2524</v>
      </c>
      <c r="CZ253" s="73">
        <f t="shared" ref="CZ253" si="2310">COUNTIF($M$253,CY253)*$D$42</f>
        <v>0</v>
      </c>
      <c r="DA253" s="64"/>
      <c r="DB253" s="74" t="s">
        <v>2066</v>
      </c>
      <c r="DC253" s="73">
        <f t="shared" ref="DC253" si="2311">COUNTIF($M$253,DB253)*$D$42</f>
        <v>0</v>
      </c>
      <c r="DD253" s="64"/>
      <c r="DE253" s="74" t="s">
        <v>2323</v>
      </c>
      <c r="DF253" s="73">
        <f t="shared" ref="DF253" si="2312">COUNTIF($M$253,DE253)*$D$42</f>
        <v>0</v>
      </c>
      <c r="DG253" s="64"/>
      <c r="DH253" s="74" t="s">
        <v>2619</v>
      </c>
      <c r="DI253" s="73">
        <f t="shared" ref="DI253" si="2313">COUNTIF($M$253,DH253)*$D$42</f>
        <v>0</v>
      </c>
      <c r="DJ253" s="64"/>
      <c r="DK253" s="74" t="s">
        <v>2066</v>
      </c>
      <c r="DL253" s="73">
        <f t="shared" ref="DL253" si="2314">COUNTIF($M$253,DK253)*$D$42</f>
        <v>0</v>
      </c>
      <c r="DM253" s="64"/>
      <c r="DN253" s="795" t="s">
        <v>2033</v>
      </c>
      <c r="DO253" s="73">
        <f t="shared" ref="DO253" si="2315">COUNTIF($M$253,DN253)*$D$42</f>
        <v>0</v>
      </c>
      <c r="DP253" s="64"/>
      <c r="DQ253" s="795" t="s">
        <v>2033</v>
      </c>
      <c r="DR253" s="73">
        <f t="shared" ref="DR253" si="2316">COUNTIF($M$253,DQ253)*$D$42</f>
        <v>0</v>
      </c>
      <c r="DS253" s="64"/>
      <c r="DT253" s="74" t="s">
        <v>2066</v>
      </c>
      <c r="DU253" s="73">
        <f t="shared" ref="DU253" si="2317">COUNTIF($M$253,DT253)*$D$42</f>
        <v>0</v>
      </c>
      <c r="DV253" s="64"/>
      <c r="DW253" s="74" t="s">
        <v>2033</v>
      </c>
      <c r="DX253" s="73">
        <f t="shared" ref="DX253" si="2318">COUNTIF($M$253,DW253)*$D$42</f>
        <v>0</v>
      </c>
      <c r="DY253" s="64"/>
      <c r="DZ253" s="74" t="s">
        <v>2066</v>
      </c>
      <c r="EA253" s="73">
        <f t="shared" ref="EA253" si="2319">COUNTIF($M$253,DZ253)*$D$42</f>
        <v>0</v>
      </c>
      <c r="EB253" s="64"/>
      <c r="EC253" s="74" t="s">
        <v>2065</v>
      </c>
      <c r="ED253" s="73">
        <f t="shared" ref="ED253" si="2320">COUNTIF($M$253,EC253)*$D$42</f>
        <v>0</v>
      </c>
      <c r="EE253" s="64"/>
      <c r="EF253" s="74" t="s">
        <v>2034</v>
      </c>
      <c r="EG253" s="73">
        <f t="shared" ref="EG253" si="2321">COUNTIF($M$253,EF253)*$D$42</f>
        <v>0</v>
      </c>
      <c r="EH253" s="64"/>
      <c r="EI253" s="74" t="s">
        <v>2033</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1996</v>
      </c>
      <c r="T254" s="73">
        <f>COUNTIF($M$254,S254)*$D$43</f>
        <v>0</v>
      </c>
      <c r="U254" s="64"/>
      <c r="V254" s="74" t="s">
        <v>2034</v>
      </c>
      <c r="W254" s="73">
        <f t="shared" ref="W254" si="2332">COUNTIF($M$254,V254)*$D$43</f>
        <v>0</v>
      </c>
      <c r="X254" s="64"/>
      <c r="Y254" s="74" t="s">
        <v>2033</v>
      </c>
      <c r="Z254" s="73">
        <f t="shared" ref="Z254" si="2333">COUNTIF($M$254,Y254)*$D$43</f>
        <v>0</v>
      </c>
      <c r="AA254" s="64"/>
      <c r="AB254" s="74" t="s">
        <v>2034</v>
      </c>
      <c r="AC254" s="73">
        <f t="shared" ref="AC254" si="2334">COUNTIF($M$254,AB254)*$D$43</f>
        <v>0</v>
      </c>
      <c r="AD254" s="64"/>
      <c r="AE254" s="74" t="s">
        <v>2034</v>
      </c>
      <c r="AF254" s="73">
        <f t="shared" ref="AF254" si="2335">COUNTIF($M$254,AE254)*$D$43</f>
        <v>0</v>
      </c>
      <c r="AG254" s="64"/>
      <c r="AH254" s="74" t="s">
        <v>2228</v>
      </c>
      <c r="AI254" s="73">
        <f t="shared" ref="AI254" si="2336">COUNTIF($M$254,AH254)*$D$43</f>
        <v>0</v>
      </c>
      <c r="AJ254" s="64"/>
      <c r="AK254" s="74" t="s">
        <v>2066</v>
      </c>
      <c r="AL254" s="73">
        <f t="shared" ref="AL254" si="2337">COUNTIF($M$254,AK254)*$D$43</f>
        <v>0</v>
      </c>
      <c r="AM254" s="64"/>
      <c r="AN254" s="74" t="s">
        <v>2524</v>
      </c>
      <c r="AO254" s="73">
        <f t="shared" ref="AO254" si="2338">COUNTIF($M$254,AN254)*$D$43</f>
        <v>0</v>
      </c>
      <c r="AP254" s="64"/>
      <c r="AQ254" s="74" t="s">
        <v>2228</v>
      </c>
      <c r="AR254" s="73">
        <f t="shared" ref="AR254" si="2339">COUNTIF($M$254,AQ254)*$D$43</f>
        <v>0</v>
      </c>
      <c r="AS254" s="64"/>
      <c r="AT254" s="74" t="s">
        <v>2034</v>
      </c>
      <c r="AU254" s="73">
        <f t="shared" ref="AU254" si="2340">COUNTIF($M$254,AT254)*$D$43</f>
        <v>0</v>
      </c>
      <c r="AV254" s="64"/>
      <c r="AW254" s="74" t="s">
        <v>2065</v>
      </c>
      <c r="AX254" s="73">
        <f t="shared" ref="AX254" si="2341">COUNTIF($M$254,AW254)*$D$43</f>
        <v>0</v>
      </c>
      <c r="AY254" s="64"/>
      <c r="AZ254" s="74" t="s">
        <v>2033</v>
      </c>
      <c r="BA254" s="73">
        <f t="shared" ref="BA254" si="2342">COUNTIF($M$254,AZ254)*$D$43</f>
        <v>0</v>
      </c>
      <c r="BB254" s="64"/>
      <c r="BC254" s="74" t="s">
        <v>2065</v>
      </c>
      <c r="BD254" s="73">
        <f t="shared" ref="BD254" si="2343">COUNTIF($M$254,BC254)*$D$43</f>
        <v>0</v>
      </c>
      <c r="BE254" s="64"/>
      <c r="BF254" s="74" t="s">
        <v>2034</v>
      </c>
      <c r="BG254" s="73">
        <f t="shared" ref="BG254" si="2344">COUNTIF($M$254,BF254)*$D$43</f>
        <v>0</v>
      </c>
      <c r="BH254" s="64"/>
      <c r="BI254" s="74" t="s">
        <v>2524</v>
      </c>
      <c r="BJ254" s="73">
        <f t="shared" ref="BJ254" si="2345">COUNTIF($M$254,BI254)*$D$43</f>
        <v>0</v>
      </c>
      <c r="BK254" s="64"/>
      <c r="BL254" s="74" t="s">
        <v>2227</v>
      </c>
      <c r="BM254" s="73">
        <f t="shared" ref="BM254" si="2346">COUNTIF($M$254,BL254)*$D$43</f>
        <v>0</v>
      </c>
      <c r="BN254" s="64"/>
      <c r="BO254" s="74" t="s">
        <v>2034</v>
      </c>
      <c r="BP254" s="73">
        <f t="shared" ref="BP254" si="2347">COUNTIF($M$254,BO254)*$D$43</f>
        <v>0</v>
      </c>
      <c r="BQ254" s="64"/>
      <c r="BR254" s="74" t="s">
        <v>2066</v>
      </c>
      <c r="BS254" s="73">
        <f t="shared" ref="BS254" si="2348">COUNTIF($M$254,BR254)*$D$43</f>
        <v>0</v>
      </c>
      <c r="BT254" s="64"/>
      <c r="BU254" s="74" t="s">
        <v>2421</v>
      </c>
      <c r="BV254" s="73">
        <f t="shared" ref="BV254" si="2349">COUNTIF($M$254,BU254)*$D$43</f>
        <v>0</v>
      </c>
      <c r="BW254" s="64"/>
      <c r="BX254" s="74" t="s">
        <v>2033</v>
      </c>
      <c r="BY254" s="73">
        <f t="shared" ref="BY254" si="2350">COUNTIF($M$254,BX254)*$D$43</f>
        <v>0</v>
      </c>
      <c r="BZ254" s="64"/>
      <c r="CA254" s="74" t="s">
        <v>2759</v>
      </c>
      <c r="CB254" s="73">
        <f t="shared" ref="CB254" si="2351">COUNTIF($M$254,CA254)*$D$43</f>
        <v>0</v>
      </c>
      <c r="CC254" s="64"/>
      <c r="CD254" s="74" t="s">
        <v>2759</v>
      </c>
      <c r="CE254" s="73">
        <f t="shared" ref="CE254" si="2352">COUNTIF($M$254,CD254)*$D$43</f>
        <v>0</v>
      </c>
      <c r="CF254" s="64"/>
      <c r="CG254" s="74" t="s">
        <v>2759</v>
      </c>
      <c r="CH254" s="73">
        <f t="shared" ref="CH254" si="2353">COUNTIF($M$254,CG254)*$D$43</f>
        <v>0</v>
      </c>
      <c r="CI254" s="64"/>
      <c r="CJ254" s="74" t="s">
        <v>2034</v>
      </c>
      <c r="CK254" s="73">
        <f t="shared" ref="CK254" si="2354">COUNTIF($M$254,CJ254)*$D$43</f>
        <v>0</v>
      </c>
      <c r="CL254" s="64"/>
      <c r="CM254" s="74" t="s">
        <v>2033</v>
      </c>
      <c r="CN254" s="73">
        <f t="shared" ref="CN254" si="2355">COUNTIF($M$254,CM254)*$D$43</f>
        <v>0</v>
      </c>
      <c r="CO254" s="64"/>
      <c r="CP254" s="74" t="s">
        <v>2228</v>
      </c>
      <c r="CQ254" s="73">
        <f t="shared" ref="CQ254" si="2356">COUNTIF($M$254,CP254)*$D$43</f>
        <v>0</v>
      </c>
      <c r="CR254" s="64"/>
      <c r="CS254" s="74" t="s">
        <v>2227</v>
      </c>
      <c r="CT254" s="73">
        <f t="shared" ref="CT254" si="2357">COUNTIF($M$254,CS254)*$D$43</f>
        <v>0</v>
      </c>
      <c r="CU254" s="64"/>
      <c r="CV254" s="74" t="s">
        <v>2034</v>
      </c>
      <c r="CW254" s="73">
        <f t="shared" ref="CW254" si="2358">COUNTIF($M$254,CV254)*$D$43</f>
        <v>0</v>
      </c>
      <c r="CX254" s="64"/>
      <c r="CY254" s="74" t="s">
        <v>2228</v>
      </c>
      <c r="CZ254" s="73">
        <f t="shared" ref="CZ254" si="2359">COUNTIF($M$254,CY254)*$D$43</f>
        <v>0</v>
      </c>
      <c r="DA254" s="64"/>
      <c r="DB254" s="74" t="s">
        <v>2034</v>
      </c>
      <c r="DC254" s="73">
        <f t="shared" ref="DC254" si="2360">COUNTIF($M$254,DB254)*$D$43</f>
        <v>0</v>
      </c>
      <c r="DD254" s="64"/>
      <c r="DE254" s="74" t="s">
        <v>2228</v>
      </c>
      <c r="DF254" s="73">
        <f t="shared" ref="DF254" si="2361">COUNTIF($M$254,DE254)*$D$43</f>
        <v>0</v>
      </c>
      <c r="DG254" s="64"/>
      <c r="DH254" s="74" t="s">
        <v>2620</v>
      </c>
      <c r="DI254" s="73">
        <f t="shared" ref="DI254" si="2362">COUNTIF($M$254,DH254)*$D$43</f>
        <v>0</v>
      </c>
      <c r="DJ254" s="64"/>
      <c r="DK254" s="74" t="s">
        <v>2033</v>
      </c>
      <c r="DL254" s="73">
        <f t="shared" ref="DL254" si="2363">COUNTIF($M$254,DK254)*$D$43</f>
        <v>0</v>
      </c>
      <c r="DM254" s="64"/>
      <c r="DN254" s="795" t="s">
        <v>2760</v>
      </c>
      <c r="DO254" s="73">
        <f t="shared" ref="DO254" si="2364">COUNTIF($M$254,DN254)*$D$43</f>
        <v>0</v>
      </c>
      <c r="DP254" s="64"/>
      <c r="DQ254" s="795" t="s">
        <v>2034</v>
      </c>
      <c r="DR254" s="73">
        <f t="shared" ref="DR254" si="2365">COUNTIF($M$254,DQ254)*$D$43</f>
        <v>0</v>
      </c>
      <c r="DS254" s="64"/>
      <c r="DT254" s="74" t="s">
        <v>2322</v>
      </c>
      <c r="DU254" s="73">
        <f t="shared" ref="DU254" si="2366">COUNTIF($M$254,DT254)*$D$43</f>
        <v>0</v>
      </c>
      <c r="DV254" s="64"/>
      <c r="DW254" s="74" t="s">
        <v>2524</v>
      </c>
      <c r="DX254" s="73">
        <f t="shared" ref="DX254" si="2367">COUNTIF($M$254,DW254)*$D$43</f>
        <v>0</v>
      </c>
      <c r="DY254" s="64"/>
      <c r="DZ254" s="74" t="s">
        <v>2227</v>
      </c>
      <c r="EA254" s="73">
        <f t="shared" ref="EA254" si="2368">COUNTIF($M$254,DZ254)*$D$43</f>
        <v>0</v>
      </c>
      <c r="EB254" s="64"/>
      <c r="EC254" s="74" t="s">
        <v>2322</v>
      </c>
      <c r="ED254" s="73">
        <f t="shared" ref="ED254" si="2369">COUNTIF($M$254,EC254)*$D$43</f>
        <v>0</v>
      </c>
      <c r="EE254" s="64"/>
      <c r="EF254" s="74" t="s">
        <v>1996</v>
      </c>
      <c r="EG254" s="73">
        <f t="shared" ref="EG254" si="2370">COUNTIF($M$254,EF254)*$D$43</f>
        <v>0</v>
      </c>
      <c r="EH254" s="64"/>
      <c r="EI254" s="74" t="s">
        <v>2034</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2759</v>
      </c>
      <c r="T255" s="73">
        <f>COUNTIF($M$255,S255)*$D$44</f>
        <v>0</v>
      </c>
      <c r="U255" s="64"/>
      <c r="V255" s="74" t="s">
        <v>2759</v>
      </c>
      <c r="W255" s="73">
        <f t="shared" ref="W255" si="2381">COUNTIF($M$255,V255)*$D$44</f>
        <v>0</v>
      </c>
      <c r="X255" s="64"/>
      <c r="Y255" s="74" t="s">
        <v>2066</v>
      </c>
      <c r="Z255" s="73">
        <f t="shared" ref="Z255" si="2382">COUNTIF($M$255,Y255)*$D$44</f>
        <v>0</v>
      </c>
      <c r="AA255" s="64"/>
      <c r="AB255" s="74" t="s">
        <v>2089</v>
      </c>
      <c r="AC255" s="73">
        <f t="shared" ref="AC255" si="2383">COUNTIF($M$255,AB255)*$D$44</f>
        <v>0</v>
      </c>
      <c r="AD255" s="64"/>
      <c r="AE255" s="74" t="s">
        <v>2524</v>
      </c>
      <c r="AF255" s="73">
        <f t="shared" ref="AF255" si="2384">COUNTIF($M$255,AE255)*$D$44</f>
        <v>0</v>
      </c>
      <c r="AG255" s="64"/>
      <c r="AH255" s="74" t="s">
        <v>2034</v>
      </c>
      <c r="AI255" s="73">
        <f t="shared" ref="AI255" si="2385">COUNTIF($M$255,AH255)*$D$44</f>
        <v>0</v>
      </c>
      <c r="AJ255" s="64"/>
      <c r="AK255" s="74" t="s">
        <v>2065</v>
      </c>
      <c r="AL255" s="73">
        <f t="shared" ref="AL255" si="2386">COUNTIF($M$255,AK255)*$D$44</f>
        <v>0</v>
      </c>
      <c r="AM255" s="64"/>
      <c r="AN255" s="74" t="s">
        <v>2119</v>
      </c>
      <c r="AO255" s="73">
        <f t="shared" ref="AO255" si="2387">COUNTIF($M$255,AN255)*$D$44</f>
        <v>0</v>
      </c>
      <c r="AP255" s="64"/>
      <c r="AQ255" s="74" t="s">
        <v>2066</v>
      </c>
      <c r="AR255" s="73">
        <f t="shared" ref="AR255" si="2388">COUNTIF($M$255,AQ255)*$D$44</f>
        <v>0</v>
      </c>
      <c r="AS255" s="64"/>
      <c r="AT255" s="74" t="s">
        <v>2066</v>
      </c>
      <c r="AU255" s="73">
        <f t="shared" ref="AU255" si="2389">COUNTIF($M$255,AT255)*$D$44</f>
        <v>0</v>
      </c>
      <c r="AV255" s="64"/>
      <c r="AW255" s="74" t="s">
        <v>2066</v>
      </c>
      <c r="AX255" s="73">
        <f t="shared" ref="AX255" si="2390">COUNTIF($M$255,AW255)*$D$44</f>
        <v>0</v>
      </c>
      <c r="AY255" s="64"/>
      <c r="AZ255" s="74" t="s">
        <v>2762</v>
      </c>
      <c r="BA255" s="73">
        <f t="shared" ref="BA255" si="2391">COUNTIF($M$255,AZ255)*$D$44</f>
        <v>0</v>
      </c>
      <c r="BB255" s="64"/>
      <c r="BC255" s="74" t="s">
        <v>2033</v>
      </c>
      <c r="BD255" s="73">
        <f t="shared" ref="BD255" si="2392">COUNTIF($M$255,BC255)*$D$44</f>
        <v>0</v>
      </c>
      <c r="BE255" s="64"/>
      <c r="BF255" s="74" t="s">
        <v>2759</v>
      </c>
      <c r="BG255" s="73">
        <f t="shared" ref="BG255" si="2393">COUNTIF($M$255,BF255)*$D$44</f>
        <v>0</v>
      </c>
      <c r="BH255" s="64"/>
      <c r="BI255" s="74" t="s">
        <v>2066</v>
      </c>
      <c r="BJ255" s="73">
        <f t="shared" ref="BJ255" si="2394">COUNTIF($M$255,BI255)*$D$44</f>
        <v>0</v>
      </c>
      <c r="BK255" s="64"/>
      <c r="BL255" s="74" t="s">
        <v>2759</v>
      </c>
      <c r="BM255" s="73">
        <f t="shared" ref="BM255" si="2395">COUNTIF($M$255,BL255)*$D$44</f>
        <v>0</v>
      </c>
      <c r="BN255" s="64"/>
      <c r="BO255" s="74" t="s">
        <v>2066</v>
      </c>
      <c r="BP255" s="73">
        <f t="shared" ref="BP255" si="2396">COUNTIF($M$255,BO255)*$D$44</f>
        <v>0</v>
      </c>
      <c r="BQ255" s="64"/>
      <c r="BR255" s="74" t="s">
        <v>2762</v>
      </c>
      <c r="BS255" s="73">
        <f t="shared" ref="BS255" si="2397">COUNTIF($M$255,BR255)*$D$44</f>
        <v>0</v>
      </c>
      <c r="BT255" s="64"/>
      <c r="BU255" s="74" t="s">
        <v>2759</v>
      </c>
      <c r="BV255" s="73">
        <f t="shared" ref="BV255" si="2398">COUNTIF($M$255,BU255)*$D$44</f>
        <v>0</v>
      </c>
      <c r="BW255" s="64"/>
      <c r="BX255" s="74" t="s">
        <v>2460</v>
      </c>
      <c r="BY255" s="73">
        <f t="shared" ref="BY255" si="2399">COUNTIF($M$255,BX255)*$D$44</f>
        <v>0</v>
      </c>
      <c r="BZ255" s="64"/>
      <c r="CA255" s="74" t="s">
        <v>2421</v>
      </c>
      <c r="CB255" s="73">
        <f t="shared" ref="CB255" si="2400">COUNTIF($M$255,CA255)*$D$44</f>
        <v>0</v>
      </c>
      <c r="CC255" s="64"/>
      <c r="CD255" s="74" t="s">
        <v>2460</v>
      </c>
      <c r="CE255" s="73">
        <f t="shared" ref="CE255" si="2401">COUNTIF($M$255,CD255)*$D$44</f>
        <v>0</v>
      </c>
      <c r="CF255" s="64"/>
      <c r="CG255" s="74" t="s">
        <v>2524</v>
      </c>
      <c r="CH255" s="73">
        <f t="shared" ref="CH255" si="2402">COUNTIF($M$255,CG255)*$D$44</f>
        <v>0</v>
      </c>
      <c r="CI255" s="64"/>
      <c r="CJ255" s="74" t="s">
        <v>2065</v>
      </c>
      <c r="CK255" s="73">
        <f t="shared" ref="CK255" si="2403">COUNTIF($M$255,CJ255)*$D$44</f>
        <v>0</v>
      </c>
      <c r="CL255" s="64"/>
      <c r="CM255" s="74" t="s">
        <v>2523</v>
      </c>
      <c r="CN255" s="73">
        <f t="shared" ref="CN255" si="2404">COUNTIF($M$255,CM255)*$D$44</f>
        <v>0</v>
      </c>
      <c r="CO255" s="64"/>
      <c r="CP255" s="74" t="s">
        <v>2034</v>
      </c>
      <c r="CQ255" s="73">
        <f t="shared" ref="CQ255" si="2405">COUNTIF($M$255,CP255)*$D$44</f>
        <v>0</v>
      </c>
      <c r="CR255" s="64"/>
      <c r="CS255" s="74" t="s">
        <v>2033</v>
      </c>
      <c r="CT255" s="73">
        <f t="shared" ref="CT255" si="2406">COUNTIF($M$255,CS255)*$D$44</f>
        <v>0</v>
      </c>
      <c r="CU255" s="64"/>
      <c r="CV255" s="74" t="s">
        <v>2227</v>
      </c>
      <c r="CW255" s="73">
        <f t="shared" ref="CW255" si="2407">COUNTIF($M$255,CV255)*$D$44</f>
        <v>0</v>
      </c>
      <c r="CX255" s="64"/>
      <c r="CY255" s="74" t="s">
        <v>2034</v>
      </c>
      <c r="CZ255" s="73">
        <f t="shared" ref="CZ255" si="2408">COUNTIF($M$255,CY255)*$D$44</f>
        <v>0</v>
      </c>
      <c r="DA255" s="64"/>
      <c r="DB255" s="74" t="s">
        <v>2588</v>
      </c>
      <c r="DC255" s="73">
        <f t="shared" ref="DC255" si="2409">COUNTIF($M$255,DB255)*$D$44</f>
        <v>0</v>
      </c>
      <c r="DD255" s="64"/>
      <c r="DE255" s="74" t="s">
        <v>2460</v>
      </c>
      <c r="DF255" s="73">
        <f t="shared" ref="DF255" si="2410">COUNTIF($M$255,DE255)*$D$44</f>
        <v>0</v>
      </c>
      <c r="DG255" s="64"/>
      <c r="DH255" s="74" t="s">
        <v>2034</v>
      </c>
      <c r="DI255" s="73">
        <f t="shared" ref="DI255" si="2411">COUNTIF($M$255,DH255)*$D$44</f>
        <v>0</v>
      </c>
      <c r="DJ255" s="64"/>
      <c r="DK255" s="74" t="s">
        <v>2065</v>
      </c>
      <c r="DL255" s="73">
        <f t="shared" ref="DL255" si="2412">COUNTIF($M$255,DK255)*$D$44</f>
        <v>0</v>
      </c>
      <c r="DM255" s="64"/>
      <c r="DN255" s="795" t="s">
        <v>2762</v>
      </c>
      <c r="DO255" s="73">
        <f t="shared" ref="DO255" si="2413">COUNTIF($M$255,DN255)*$D$44</f>
        <v>0</v>
      </c>
      <c r="DP255" s="64"/>
      <c r="DQ255" s="795" t="s">
        <v>2065</v>
      </c>
      <c r="DR255" s="73">
        <f t="shared" ref="DR255" si="2414">COUNTIF($M$255,DQ255)*$D$44</f>
        <v>0</v>
      </c>
      <c r="DS255" s="64"/>
      <c r="DT255" s="74" t="s">
        <v>2697</v>
      </c>
      <c r="DU255" s="73">
        <f t="shared" ref="DU255" si="2415">COUNTIF($M$255,DT255)*$D$44</f>
        <v>0</v>
      </c>
      <c r="DV255" s="64"/>
      <c r="DW255" s="74" t="s">
        <v>2034</v>
      </c>
      <c r="DX255" s="73">
        <f t="shared" ref="DX255" si="2416">COUNTIF($M$255,DW255)*$D$44</f>
        <v>0</v>
      </c>
      <c r="DY255" s="64"/>
      <c r="DZ255" s="74" t="s">
        <v>2726</v>
      </c>
      <c r="EA255" s="73">
        <f t="shared" ref="EA255" si="2417">COUNTIF($M$255,DZ255)*$D$44</f>
        <v>0</v>
      </c>
      <c r="EB255" s="64"/>
      <c r="EC255" s="74" t="s">
        <v>2033</v>
      </c>
      <c r="ED255" s="73">
        <f t="shared" ref="ED255" si="2418">COUNTIF($M$255,EC255)*$D$44</f>
        <v>0</v>
      </c>
      <c r="EE255" s="64"/>
      <c r="EF255" s="74" t="s">
        <v>2065</v>
      </c>
      <c r="EG255" s="73">
        <f t="shared" ref="EG255" si="2419">COUNTIF($M$255,EF255)*$D$44</f>
        <v>0</v>
      </c>
      <c r="EH255" s="64"/>
      <c r="EI255" s="74" t="s">
        <v>2066</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2034</v>
      </c>
      <c r="T256" s="73">
        <f>COUNTIF($M$256,S256)*$D$45</f>
        <v>0</v>
      </c>
      <c r="U256" s="64"/>
      <c r="V256" s="74" t="s">
        <v>2759</v>
      </c>
      <c r="W256" s="73">
        <f t="shared" ref="W256" si="2430">COUNTIF($M$256,V256)*$D$45</f>
        <v>0</v>
      </c>
      <c r="X256" s="64"/>
      <c r="Y256" s="74" t="s">
        <v>2065</v>
      </c>
      <c r="Z256" s="73">
        <f t="shared" ref="Z256" si="2431">COUNTIF($M$256,Y256)*$D$45</f>
        <v>0</v>
      </c>
      <c r="AA256" s="64"/>
      <c r="AB256" s="74" t="s">
        <v>2033</v>
      </c>
      <c r="AC256" s="73">
        <f t="shared" ref="AC256" si="2432">COUNTIF($M$256,AB256)*$D$45</f>
        <v>0</v>
      </c>
      <c r="AD256" s="64"/>
      <c r="AE256" s="74" t="s">
        <v>2033</v>
      </c>
      <c r="AF256" s="73">
        <f t="shared" ref="AF256" si="2433">COUNTIF($M$256,AE256)*$D$45</f>
        <v>0</v>
      </c>
      <c r="AG256" s="64"/>
      <c r="AH256" s="74" t="s">
        <v>2035</v>
      </c>
      <c r="AI256" s="73">
        <f t="shared" ref="AI256" si="2434">COUNTIF($M$256,AH256)*$D$45</f>
        <v>0</v>
      </c>
      <c r="AJ256" s="64"/>
      <c r="AK256" s="74" t="s">
        <v>2173</v>
      </c>
      <c r="AL256" s="73">
        <f t="shared" ref="AL256" si="2435">COUNTIF($M$256,AK256)*$D$45</f>
        <v>0</v>
      </c>
      <c r="AM256" s="64"/>
      <c r="AN256" s="74" t="s">
        <v>2760</v>
      </c>
      <c r="AO256" s="73">
        <f t="shared" ref="AO256" si="2436">COUNTIF($M$256,AN256)*$D$45</f>
        <v>0</v>
      </c>
      <c r="AP256" s="64"/>
      <c r="AQ256" s="74" t="s">
        <v>2759</v>
      </c>
      <c r="AR256" s="73">
        <f t="shared" ref="AR256" si="2437">COUNTIF($M$256,AQ256)*$D$45</f>
        <v>0</v>
      </c>
      <c r="AS256" s="64"/>
      <c r="AT256" s="74" t="s">
        <v>2065</v>
      </c>
      <c r="AU256" s="73">
        <f t="shared" ref="AU256" si="2438">COUNTIF($M$256,AT256)*$D$45</f>
        <v>0</v>
      </c>
      <c r="AV256" s="64"/>
      <c r="AW256" s="74" t="s">
        <v>2065</v>
      </c>
      <c r="AX256" s="73">
        <f t="shared" ref="AX256" si="2439">COUNTIF($M$256,AW256)*$D$45</f>
        <v>0</v>
      </c>
      <c r="AY256" s="64"/>
      <c r="AZ256" s="74" t="s">
        <v>2035</v>
      </c>
      <c r="BA256" s="73">
        <f t="shared" ref="BA256" si="2440">COUNTIF($M$256,AZ256)*$D$45</f>
        <v>0</v>
      </c>
      <c r="BB256" s="64"/>
      <c r="BC256" s="74" t="s">
        <v>2759</v>
      </c>
      <c r="BD256" s="73">
        <f t="shared" ref="BD256" si="2441">COUNTIF($M$256,BC256)*$D$45</f>
        <v>0</v>
      </c>
      <c r="BE256" s="64"/>
      <c r="BF256" s="74" t="s">
        <v>2759</v>
      </c>
      <c r="BG256" s="73">
        <f t="shared" ref="BG256" si="2442">COUNTIF($M$256,BF256)*$D$45</f>
        <v>0</v>
      </c>
      <c r="BH256" s="64"/>
      <c r="BI256" s="74" t="s">
        <v>2759</v>
      </c>
      <c r="BJ256" s="73">
        <f t="shared" ref="BJ256" si="2443">COUNTIF($M$256,BI256)*$D$45</f>
        <v>0</v>
      </c>
      <c r="BK256" s="64"/>
      <c r="BL256" s="74" t="s">
        <v>2759</v>
      </c>
      <c r="BM256" s="73">
        <f t="shared" ref="BM256" si="2444">COUNTIF($M$256,BL256)*$D$45</f>
        <v>0</v>
      </c>
      <c r="BN256" s="64"/>
      <c r="BO256" s="74" t="s">
        <v>2090</v>
      </c>
      <c r="BP256" s="73">
        <f t="shared" ref="BP256" si="2445">COUNTIF($M$256,BO256)*$D$45</f>
        <v>0</v>
      </c>
      <c r="BQ256" s="64"/>
      <c r="BR256" s="74" t="s">
        <v>2759</v>
      </c>
      <c r="BS256" s="73">
        <f t="shared" ref="BS256" si="2446">COUNTIF($M$256,BR256)*$D$45</f>
        <v>0</v>
      </c>
      <c r="BT256" s="64"/>
      <c r="BU256" s="74" t="s">
        <v>2759</v>
      </c>
      <c r="BV256" s="73">
        <f t="shared" ref="BV256" si="2447">COUNTIF($M$256,BU256)*$D$45</f>
        <v>0</v>
      </c>
      <c r="BW256" s="64"/>
      <c r="BX256" s="74" t="s">
        <v>2759</v>
      </c>
      <c r="BY256" s="73">
        <f t="shared" ref="BY256" si="2448">COUNTIF($M$256,BX256)*$D$45</f>
        <v>0</v>
      </c>
      <c r="BZ256" s="64"/>
      <c r="CA256" s="74" t="s">
        <v>2460</v>
      </c>
      <c r="CB256" s="73">
        <f t="shared" ref="CB256" si="2449">COUNTIF($M$256,CA256)*$D$45</f>
        <v>0</v>
      </c>
      <c r="CC256" s="64"/>
      <c r="CD256" s="74" t="s">
        <v>2065</v>
      </c>
      <c r="CE256" s="73">
        <f t="shared" ref="CE256" si="2450">COUNTIF($M$256,CD256)*$D$45</f>
        <v>0</v>
      </c>
      <c r="CF256" s="64"/>
      <c r="CG256" s="74" t="s">
        <v>2759</v>
      </c>
      <c r="CH256" s="73">
        <f t="shared" ref="CH256" si="2451">COUNTIF($M$256,CG256)*$D$45</f>
        <v>0</v>
      </c>
      <c r="CI256" s="64"/>
      <c r="CJ256" s="74" t="s">
        <v>2759</v>
      </c>
      <c r="CK256" s="73">
        <f t="shared" ref="CK256" si="2452">COUNTIF($M$256,CJ256)*$D$45</f>
        <v>0</v>
      </c>
      <c r="CL256" s="64"/>
      <c r="CM256" s="74" t="s">
        <v>2759</v>
      </c>
      <c r="CN256" s="73">
        <f t="shared" ref="CN256" si="2453">COUNTIF($M$256,CM256)*$D$45</f>
        <v>0</v>
      </c>
      <c r="CO256" s="64"/>
      <c r="CP256" s="74" t="s">
        <v>2035</v>
      </c>
      <c r="CQ256" s="73">
        <f t="shared" ref="CQ256" si="2454">COUNTIF($M$256,CP256)*$D$45</f>
        <v>0</v>
      </c>
      <c r="CR256" s="64"/>
      <c r="CS256" s="74" t="s">
        <v>2759</v>
      </c>
      <c r="CT256" s="73">
        <f t="shared" ref="CT256" si="2455">COUNTIF($M$256,CS256)*$D$45</f>
        <v>0</v>
      </c>
      <c r="CU256" s="64"/>
      <c r="CV256" s="74" t="s">
        <v>2759</v>
      </c>
      <c r="CW256" s="73">
        <f t="shared" ref="CW256" si="2456">COUNTIF($M$256,CV256)*$D$45</f>
        <v>0</v>
      </c>
      <c r="CX256" s="64"/>
      <c r="CY256" s="74" t="s">
        <v>2034</v>
      </c>
      <c r="CZ256" s="73">
        <f t="shared" ref="CZ256" si="2457">COUNTIF($M$256,CY256)*$D$45</f>
        <v>0</v>
      </c>
      <c r="DA256" s="64"/>
      <c r="DB256" s="74" t="s">
        <v>2759</v>
      </c>
      <c r="DC256" s="73">
        <f t="shared" ref="DC256" si="2458">COUNTIF($M$256,DB256)*$D$45</f>
        <v>0</v>
      </c>
      <c r="DD256" s="64"/>
      <c r="DE256" s="74" t="s">
        <v>2588</v>
      </c>
      <c r="DF256" s="73">
        <f t="shared" ref="DF256" si="2459">COUNTIF($M$256,DE256)*$D$45</f>
        <v>0</v>
      </c>
      <c r="DG256" s="64"/>
      <c r="DH256" s="74" t="s">
        <v>2065</v>
      </c>
      <c r="DI256" s="73">
        <f t="shared" ref="DI256" si="2460">COUNTIF($M$256,DH256)*$D$45</f>
        <v>0</v>
      </c>
      <c r="DJ256" s="64"/>
      <c r="DK256" s="74" t="s">
        <v>2228</v>
      </c>
      <c r="DL256" s="73">
        <f t="shared" ref="DL256" si="2461">COUNTIF($M$256,DK256)*$D$45</f>
        <v>0</v>
      </c>
      <c r="DM256" s="64"/>
      <c r="DN256" s="795" t="s">
        <v>2035</v>
      </c>
      <c r="DO256" s="73">
        <f t="shared" ref="DO256" si="2462">COUNTIF($M$256,DN256)*$D$45</f>
        <v>0</v>
      </c>
      <c r="DP256" s="64"/>
      <c r="DQ256" s="795" t="s">
        <v>2762</v>
      </c>
      <c r="DR256" s="73">
        <f t="shared" ref="DR256" si="2463">COUNTIF($M$256,DQ256)*$D$45</f>
        <v>0</v>
      </c>
      <c r="DS256" s="64"/>
      <c r="DT256" s="74" t="s">
        <v>2759</v>
      </c>
      <c r="DU256" s="73">
        <f t="shared" ref="DU256" si="2464">COUNTIF($M$256,DT256)*$D$45</f>
        <v>0</v>
      </c>
      <c r="DV256" s="64"/>
      <c r="DW256" s="74" t="s">
        <v>2759</v>
      </c>
      <c r="DX256" s="73">
        <f t="shared" ref="DX256" si="2465">COUNTIF($M$256,DW256)*$D$45</f>
        <v>0</v>
      </c>
      <c r="DY256" s="64"/>
      <c r="DZ256" s="74" t="s">
        <v>2727</v>
      </c>
      <c r="EA256" s="73">
        <f t="shared" ref="EA256" si="2466">COUNTIF($M$256,DZ256)*$D$45</f>
        <v>0</v>
      </c>
      <c r="EB256" s="64"/>
      <c r="EC256" s="74" t="s">
        <v>2759</v>
      </c>
      <c r="ED256" s="73">
        <f t="shared" ref="ED256" si="2467">COUNTIF($M$256,EC256)*$D$45</f>
        <v>0</v>
      </c>
      <c r="EE256" s="64"/>
      <c r="EF256" s="74" t="s">
        <v>2035</v>
      </c>
      <c r="EG256" s="73">
        <f t="shared" ref="EG256" si="2468">COUNTIF($M$256,EF256)*$D$45</f>
        <v>0</v>
      </c>
      <c r="EH256" s="64"/>
      <c r="EI256" s="74" t="s">
        <v>2759</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2759</v>
      </c>
      <c r="T257" s="73">
        <f>COUNTIF($M$257,S257)*$D$46</f>
        <v>0</v>
      </c>
      <c r="U257" s="64"/>
      <c r="V257" s="74" t="s">
        <v>2760</v>
      </c>
      <c r="W257" s="73">
        <f t="shared" ref="W257" si="2479">COUNTIF($M$257,V257)*$D$46</f>
        <v>0</v>
      </c>
      <c r="X257" s="64"/>
      <c r="Y257" s="74" t="s">
        <v>2067</v>
      </c>
      <c r="Z257" s="73">
        <f t="shared" ref="Z257" si="2480">COUNTIF($M$257,Y257)*$D$46</f>
        <v>0</v>
      </c>
      <c r="AA257" s="64"/>
      <c r="AB257" s="74" t="s">
        <v>2034</v>
      </c>
      <c r="AC257" s="73">
        <f t="shared" ref="AC257" si="2481">COUNTIF($M$257,AB257)*$D$46</f>
        <v>0</v>
      </c>
      <c r="AD257" s="64"/>
      <c r="AE257" s="74" t="s">
        <v>2759</v>
      </c>
      <c r="AF257" s="73">
        <f t="shared" ref="AF257" si="2482">COUNTIF($M$257,AE257)*$D$46</f>
        <v>0</v>
      </c>
      <c r="AG257" s="64"/>
      <c r="AH257" s="74" t="s">
        <v>2228</v>
      </c>
      <c r="AI257" s="73">
        <f t="shared" ref="AI257" si="2483">COUNTIF($M$257,AH257)*$D$46</f>
        <v>0</v>
      </c>
      <c r="AJ257" s="64"/>
      <c r="AK257" s="74" t="s">
        <v>2035</v>
      </c>
      <c r="AL257" s="73">
        <f t="shared" ref="AL257" si="2484">COUNTIF($M$257,AK257)*$D$46</f>
        <v>0</v>
      </c>
      <c r="AM257" s="64"/>
      <c r="AN257" s="74" t="s">
        <v>2034</v>
      </c>
      <c r="AO257" s="73">
        <f t="shared" ref="AO257" si="2485">COUNTIF($M$257,AN257)*$D$46</f>
        <v>0</v>
      </c>
      <c r="AP257" s="64"/>
      <c r="AQ257" s="74" t="s">
        <v>2227</v>
      </c>
      <c r="AR257" s="73">
        <f t="shared" ref="AR257" si="2486">COUNTIF($M$257,AQ257)*$D$46</f>
        <v>0</v>
      </c>
      <c r="AS257" s="64"/>
      <c r="AT257" s="74" t="s">
        <v>2033</v>
      </c>
      <c r="AU257" s="73">
        <f t="shared" ref="AU257" si="2487">COUNTIF($M$257,AT257)*$D$46</f>
        <v>0</v>
      </c>
      <c r="AV257" s="64"/>
      <c r="AW257" s="74" t="s">
        <v>2033</v>
      </c>
      <c r="AX257" s="73">
        <f t="shared" ref="AX257" si="2488">COUNTIF($M$257,AW257)*$D$46</f>
        <v>0</v>
      </c>
      <c r="AY257" s="64"/>
      <c r="AZ257" s="74" t="s">
        <v>2173</v>
      </c>
      <c r="BA257" s="73">
        <f t="shared" ref="BA257" si="2489">COUNTIF($M$257,AZ257)*$D$46</f>
        <v>0</v>
      </c>
      <c r="BB257" s="64"/>
      <c r="BC257" s="74" t="s">
        <v>2322</v>
      </c>
      <c r="BD257" s="73">
        <f t="shared" ref="BD257" si="2490">COUNTIF($M$257,BC257)*$D$46</f>
        <v>0</v>
      </c>
      <c r="BE257" s="64"/>
      <c r="BF257" s="74" t="s">
        <v>2460</v>
      </c>
      <c r="BG257" s="73">
        <f t="shared" ref="BG257" si="2491">COUNTIF($M$257,BF257)*$D$46</f>
        <v>0</v>
      </c>
      <c r="BH257" s="64"/>
      <c r="BI257" s="74" t="s">
        <v>2361</v>
      </c>
      <c r="BJ257" s="73">
        <f t="shared" ref="BJ257" si="2492">COUNTIF($M$257,BI257)*$D$46</f>
        <v>0</v>
      </c>
      <c r="BK257" s="64"/>
      <c r="BL257" s="74" t="s">
        <v>2227</v>
      </c>
      <c r="BM257" s="73">
        <f t="shared" ref="BM257" si="2493">COUNTIF($M$257,BL257)*$D$46</f>
        <v>0</v>
      </c>
      <c r="BN257" s="64"/>
      <c r="BO257" s="74" t="s">
        <v>2760</v>
      </c>
      <c r="BP257" s="73">
        <f t="shared" ref="BP257" si="2494">COUNTIF($M$257,BO257)*$D$46</f>
        <v>0</v>
      </c>
      <c r="BQ257" s="64"/>
      <c r="BR257" s="74" t="s">
        <v>2173</v>
      </c>
      <c r="BS257" s="73">
        <f t="shared" ref="BS257" si="2495">COUNTIF($M$257,BR257)*$D$46</f>
        <v>0</v>
      </c>
      <c r="BT257" s="64"/>
      <c r="BU257" s="74" t="s">
        <v>2035</v>
      </c>
      <c r="BV257" s="73">
        <f t="shared" ref="BV257" si="2496">COUNTIF($M$257,BU257)*$D$46</f>
        <v>0</v>
      </c>
      <c r="BW257" s="64"/>
      <c r="BX257" s="74" t="s">
        <v>2033</v>
      </c>
      <c r="BY257" s="73">
        <f t="shared" ref="BY257" si="2497">COUNTIF($M$257,BX257)*$D$46</f>
        <v>0</v>
      </c>
      <c r="BZ257" s="64"/>
      <c r="CA257" s="74" t="s">
        <v>2759</v>
      </c>
      <c r="CB257" s="73">
        <f t="shared" ref="CB257" si="2498">COUNTIF($M$257,CA257)*$D$46</f>
        <v>0</v>
      </c>
      <c r="CC257" s="64"/>
      <c r="CD257" s="74" t="s">
        <v>2589</v>
      </c>
      <c r="CE257" s="73">
        <f t="shared" ref="CE257" si="2499">COUNTIF($M$257,CD257)*$D$46</f>
        <v>0</v>
      </c>
      <c r="CF257" s="64"/>
      <c r="CG257" s="74" t="s">
        <v>2119</v>
      </c>
      <c r="CH257" s="73">
        <f t="shared" ref="CH257" si="2500">COUNTIF($M$257,CG257)*$D$46</f>
        <v>0</v>
      </c>
      <c r="CI257" s="64"/>
      <c r="CJ257" s="74" t="s">
        <v>2760</v>
      </c>
      <c r="CK257" s="73">
        <f t="shared" ref="CK257" si="2501">COUNTIF($M$257,CJ257)*$D$46</f>
        <v>0</v>
      </c>
      <c r="CL257" s="64"/>
      <c r="CM257" s="74" t="s">
        <v>2524</v>
      </c>
      <c r="CN257" s="73">
        <f t="shared" ref="CN257" si="2502">COUNTIF($M$257,CM257)*$D$46</f>
        <v>0</v>
      </c>
      <c r="CO257" s="64"/>
      <c r="CP257" s="74" t="s">
        <v>2760</v>
      </c>
      <c r="CQ257" s="73">
        <f t="shared" ref="CQ257" si="2503">COUNTIF($M$257,CP257)*$D$46</f>
        <v>0</v>
      </c>
      <c r="CR257" s="64"/>
      <c r="CS257" s="74" t="s">
        <v>2227</v>
      </c>
      <c r="CT257" s="73">
        <f t="shared" ref="CT257" si="2504">COUNTIF($M$257,CS257)*$D$46</f>
        <v>0</v>
      </c>
      <c r="CU257" s="64"/>
      <c r="CV257" s="74" t="s">
        <v>2173</v>
      </c>
      <c r="CW257" s="73">
        <f t="shared" ref="CW257" si="2505">COUNTIF($M$257,CV257)*$D$46</f>
        <v>0</v>
      </c>
      <c r="CX257" s="64"/>
      <c r="CY257" s="74" t="s">
        <v>2228</v>
      </c>
      <c r="CZ257" s="73">
        <f t="shared" ref="CZ257" si="2506">COUNTIF($M$257,CY257)*$D$46</f>
        <v>0</v>
      </c>
      <c r="DA257" s="64"/>
      <c r="DB257" s="74" t="s">
        <v>2460</v>
      </c>
      <c r="DC257" s="73">
        <f t="shared" ref="DC257" si="2507">COUNTIF($M$257,DB257)*$D$46</f>
        <v>0</v>
      </c>
      <c r="DD257" s="64"/>
      <c r="DE257" s="74" t="s">
        <v>2607</v>
      </c>
      <c r="DF257" s="73">
        <f t="shared" ref="DF257" si="2508">COUNTIF($M$257,DE257)*$D$46</f>
        <v>0</v>
      </c>
      <c r="DG257" s="64"/>
      <c r="DH257" s="74" t="s">
        <v>2619</v>
      </c>
      <c r="DI257" s="73">
        <f t="shared" ref="DI257" si="2509">COUNTIF($M$257,DH257)*$D$46</f>
        <v>0</v>
      </c>
      <c r="DJ257" s="64"/>
      <c r="DK257" s="74" t="s">
        <v>2173</v>
      </c>
      <c r="DL257" s="73">
        <f t="shared" ref="DL257" si="2510">COUNTIF($M$257,DK257)*$D$46</f>
        <v>0</v>
      </c>
      <c r="DM257" s="64"/>
      <c r="DN257" s="795" t="s">
        <v>2760</v>
      </c>
      <c r="DO257" s="73">
        <f t="shared" ref="DO257" si="2511">COUNTIF($M$257,DN257)*$D$46</f>
        <v>0</v>
      </c>
      <c r="DP257" s="64"/>
      <c r="DQ257" s="795" t="s">
        <v>2065</v>
      </c>
      <c r="DR257" s="73">
        <f t="shared" ref="DR257" si="2512">COUNTIF($M$257,DQ257)*$D$46</f>
        <v>0</v>
      </c>
      <c r="DS257" s="64"/>
      <c r="DT257" s="74" t="s">
        <v>2697</v>
      </c>
      <c r="DU257" s="73">
        <f t="shared" ref="DU257" si="2513">COUNTIF($M$257,DT257)*$D$46</f>
        <v>0</v>
      </c>
      <c r="DV257" s="64"/>
      <c r="DW257" s="74" t="s">
        <v>2033</v>
      </c>
      <c r="DX257" s="73">
        <f t="shared" ref="DX257" si="2514">COUNTIF($M$257,DW257)*$D$46</f>
        <v>0</v>
      </c>
      <c r="DY257" s="64"/>
      <c r="DZ257" s="74" t="s">
        <v>2460</v>
      </c>
      <c r="EA257" s="73">
        <f t="shared" ref="EA257" si="2515">COUNTIF($M$257,DZ257)*$D$46</f>
        <v>0</v>
      </c>
      <c r="EB257" s="64"/>
      <c r="EC257" s="74" t="s">
        <v>2173</v>
      </c>
      <c r="ED257" s="73">
        <f t="shared" ref="ED257" si="2516">COUNTIF($M$257,EC257)*$D$46</f>
        <v>0</v>
      </c>
      <c r="EE257" s="64"/>
      <c r="EF257" s="74" t="s">
        <v>2034</v>
      </c>
      <c r="EG257" s="73">
        <f t="shared" ref="EG257" si="2517">COUNTIF($M$257,EF257)*$D$46</f>
        <v>0</v>
      </c>
      <c r="EH257" s="64"/>
      <c r="EI257" s="74" t="s">
        <v>2033</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1997</v>
      </c>
      <c r="T258" s="81">
        <f>COUNTIF($M$258,S258)*$D$47</f>
        <v>0</v>
      </c>
      <c r="U258" s="64"/>
      <c r="V258" s="80" t="s">
        <v>2035</v>
      </c>
      <c r="W258" s="81">
        <f t="shared" ref="W258" si="2528">COUNTIF($M$258,V258)*$D$47</f>
        <v>0</v>
      </c>
      <c r="X258" s="64"/>
      <c r="Y258" s="80" t="s">
        <v>2035</v>
      </c>
      <c r="Z258" s="81">
        <f t="shared" ref="Z258" si="2529">COUNTIF($M$258,Y258)*$D$47</f>
        <v>0</v>
      </c>
      <c r="AA258" s="64"/>
      <c r="AB258" s="80" t="s">
        <v>2759</v>
      </c>
      <c r="AC258" s="81">
        <f t="shared" ref="AC258" si="2530">COUNTIF($M$258,AB258)*$D$47</f>
        <v>0</v>
      </c>
      <c r="AD258" s="64"/>
      <c r="AE258" s="80" t="s">
        <v>2119</v>
      </c>
      <c r="AF258" s="81">
        <f t="shared" ref="AF258" si="2531">COUNTIF($M$258,AE258)*$D$47</f>
        <v>0</v>
      </c>
      <c r="AG258" s="64"/>
      <c r="AH258" s="80" t="s">
        <v>2759</v>
      </c>
      <c r="AI258" s="81">
        <f t="shared" ref="AI258" si="2532">COUNTIF($M$258,AH258)*$D$47</f>
        <v>0</v>
      </c>
      <c r="AJ258" s="64"/>
      <c r="AK258" s="80" t="s">
        <v>2759</v>
      </c>
      <c r="AL258" s="81">
        <f t="shared" ref="AL258" si="2533">COUNTIF($M$258,AK258)*$D$47</f>
        <v>0</v>
      </c>
      <c r="AM258" s="64"/>
      <c r="AN258" s="80" t="s">
        <v>2761</v>
      </c>
      <c r="AO258" s="81">
        <f t="shared" ref="AO258" si="2534">COUNTIF($M$258,AN258)*$D$47</f>
        <v>0</v>
      </c>
      <c r="AP258" s="64"/>
      <c r="AQ258" s="80" t="s">
        <v>2035</v>
      </c>
      <c r="AR258" s="81">
        <f t="shared" ref="AR258" si="2535">COUNTIF($M$258,AQ258)*$D$47</f>
        <v>0</v>
      </c>
      <c r="AS258" s="64"/>
      <c r="AT258" s="80" t="s">
        <v>2250</v>
      </c>
      <c r="AU258" s="81">
        <f t="shared" ref="AU258" si="2536">COUNTIF($M$258,AT258)*$D$47</f>
        <v>0</v>
      </c>
      <c r="AV258" s="64"/>
      <c r="AW258" s="80" t="s">
        <v>2173</v>
      </c>
      <c r="AX258" s="81">
        <f t="shared" ref="AX258" si="2537">COUNTIF($M$258,AW258)*$D$47</f>
        <v>0</v>
      </c>
      <c r="AY258" s="64"/>
      <c r="AZ258" s="80" t="s">
        <v>2759</v>
      </c>
      <c r="BA258" s="81">
        <f t="shared" ref="BA258" si="2538">COUNTIF($M$258,AZ258)*$D$47</f>
        <v>0</v>
      </c>
      <c r="BB258" s="64"/>
      <c r="BC258" s="80" t="s">
        <v>2323</v>
      </c>
      <c r="BD258" s="81">
        <f t="shared" ref="BD258" si="2539">COUNTIF($M$258,BC258)*$D$47</f>
        <v>0</v>
      </c>
      <c r="BE258" s="64"/>
      <c r="BF258" s="80" t="s">
        <v>2035</v>
      </c>
      <c r="BG258" s="81">
        <f t="shared" ref="BG258" si="2540">COUNTIF($M$258,BF258)*$D$47</f>
        <v>0</v>
      </c>
      <c r="BH258" s="64"/>
      <c r="BI258" s="80" t="s">
        <v>2035</v>
      </c>
      <c r="BJ258" s="81">
        <f t="shared" ref="BJ258" si="2541">COUNTIF($M$258,BI258)*$D$47</f>
        <v>0</v>
      </c>
      <c r="BK258" s="64"/>
      <c r="BL258" s="80" t="s">
        <v>2033</v>
      </c>
      <c r="BM258" s="81">
        <f t="shared" ref="BM258" si="2542">COUNTIF($M$258,BL258)*$D$47</f>
        <v>0</v>
      </c>
      <c r="BN258" s="64"/>
      <c r="BO258" s="80" t="s">
        <v>2033</v>
      </c>
      <c r="BP258" s="81">
        <f t="shared" ref="BP258" si="2543">COUNTIF($M$258,BO258)*$D$47</f>
        <v>0</v>
      </c>
      <c r="BQ258" s="64"/>
      <c r="BR258" s="80" t="s">
        <v>2033</v>
      </c>
      <c r="BS258" s="81">
        <f t="shared" ref="BS258" si="2544">COUNTIF($M$258,BR258)*$D$47</f>
        <v>0</v>
      </c>
      <c r="BT258" s="64"/>
      <c r="BU258" s="80" t="s">
        <v>2173</v>
      </c>
      <c r="BV258" s="81">
        <f t="shared" ref="BV258" si="2545">COUNTIF($M$258,BU258)*$D$47</f>
        <v>0</v>
      </c>
      <c r="BW258" s="64"/>
      <c r="BX258" s="80" t="s">
        <v>2034</v>
      </c>
      <c r="BY258" s="81">
        <f t="shared" ref="BY258" si="2546">COUNTIF($M$258,BX258)*$D$47</f>
        <v>0</v>
      </c>
      <c r="BZ258" s="64"/>
      <c r="CA258" s="80" t="s">
        <v>2461</v>
      </c>
      <c r="CB258" s="81">
        <f t="shared" ref="CB258" si="2547">COUNTIF($M$258,CA258)*$D$47</f>
        <v>0</v>
      </c>
      <c r="CC258" s="64"/>
      <c r="CD258" s="80" t="s">
        <v>2461</v>
      </c>
      <c r="CE258" s="81">
        <f t="shared" ref="CE258" si="2548">COUNTIF($M$258,CD258)*$D$47</f>
        <v>0</v>
      </c>
      <c r="CF258" s="64"/>
      <c r="CG258" s="80" t="s">
        <v>2033</v>
      </c>
      <c r="CH258" s="81">
        <f t="shared" ref="CH258" si="2549">COUNTIF($M$258,CG258)*$D$47</f>
        <v>0</v>
      </c>
      <c r="CI258" s="64"/>
      <c r="CJ258" s="80" t="s">
        <v>2461</v>
      </c>
      <c r="CK258" s="81">
        <f t="shared" ref="CK258" si="2550">COUNTIF($M$258,CJ258)*$D$47</f>
        <v>0</v>
      </c>
      <c r="CL258" s="64"/>
      <c r="CM258" s="80" t="s">
        <v>2173</v>
      </c>
      <c r="CN258" s="81">
        <f t="shared" ref="CN258" si="2551">COUNTIF($M$258,CM258)*$D$47</f>
        <v>0</v>
      </c>
      <c r="CO258" s="64"/>
      <c r="CP258" s="80" t="s">
        <v>2759</v>
      </c>
      <c r="CQ258" s="81">
        <f t="shared" ref="CQ258" si="2552">COUNTIF($M$258,CP258)*$D$47</f>
        <v>0</v>
      </c>
      <c r="CR258" s="64"/>
      <c r="CS258" s="80" t="s">
        <v>2033</v>
      </c>
      <c r="CT258" s="81">
        <f t="shared" ref="CT258" si="2553">COUNTIF($M$258,CS258)*$D$47</f>
        <v>0</v>
      </c>
      <c r="CU258" s="64"/>
      <c r="CV258" s="80" t="s">
        <v>2228</v>
      </c>
      <c r="CW258" s="81">
        <f t="shared" ref="CW258" si="2554">COUNTIF($M$258,CV258)*$D$47</f>
        <v>0</v>
      </c>
      <c r="CX258" s="64"/>
      <c r="CY258" s="80" t="s">
        <v>2759</v>
      </c>
      <c r="CZ258" s="81">
        <f t="shared" ref="CZ258" si="2555">COUNTIF($M$258,CY258)*$D$47</f>
        <v>0</v>
      </c>
      <c r="DA258" s="64"/>
      <c r="DB258" s="80" t="s">
        <v>2589</v>
      </c>
      <c r="DC258" s="81">
        <f t="shared" ref="DC258" si="2556">COUNTIF($M$258,DB258)*$D$47</f>
        <v>0</v>
      </c>
      <c r="DD258" s="64"/>
      <c r="DE258" s="80" t="s">
        <v>2460</v>
      </c>
      <c r="DF258" s="81">
        <f t="shared" ref="DF258" si="2557">COUNTIF($M$258,DE258)*$D$47</f>
        <v>0</v>
      </c>
      <c r="DG258" s="64"/>
      <c r="DH258" s="80" t="s">
        <v>2759</v>
      </c>
      <c r="DI258" s="81">
        <f t="shared" ref="DI258" si="2558">COUNTIF($M$258,DH258)*$D$47</f>
        <v>0</v>
      </c>
      <c r="DJ258" s="64"/>
      <c r="DK258" s="80" t="s">
        <v>2119</v>
      </c>
      <c r="DL258" s="81">
        <f t="shared" ref="DL258" si="2559">COUNTIF($M$258,DK258)*$D$47</f>
        <v>0</v>
      </c>
      <c r="DM258" s="64"/>
      <c r="DN258" s="795" t="s">
        <v>2759</v>
      </c>
      <c r="DO258" s="81">
        <f t="shared" ref="DO258" si="2560">COUNTIF($M$258,DN258)*$D$47</f>
        <v>0</v>
      </c>
      <c r="DP258" s="64"/>
      <c r="DQ258" s="795" t="s">
        <v>2034</v>
      </c>
      <c r="DR258" s="81">
        <f t="shared" ref="DR258" si="2561">COUNTIF($M$258,DQ258)*$D$47</f>
        <v>0</v>
      </c>
      <c r="DS258" s="64"/>
      <c r="DT258" s="80" t="s">
        <v>1997</v>
      </c>
      <c r="DU258" s="81">
        <f t="shared" ref="DU258" si="2562">COUNTIF($M$258,DT258)*$D$47</f>
        <v>0</v>
      </c>
      <c r="DV258" s="64"/>
      <c r="DW258" s="80" t="s">
        <v>2524</v>
      </c>
      <c r="DX258" s="81">
        <f t="shared" ref="DX258" si="2563">COUNTIF($M$258,DW258)*$D$47</f>
        <v>0</v>
      </c>
      <c r="DY258" s="64"/>
      <c r="DZ258" s="80" t="s">
        <v>2762</v>
      </c>
      <c r="EA258" s="81">
        <f t="shared" ref="EA258" si="2564">COUNTIF($M$258,DZ258)*$D$47</f>
        <v>0</v>
      </c>
      <c r="EB258" s="64"/>
      <c r="EC258" s="80" t="s">
        <v>2322</v>
      </c>
      <c r="ED258" s="81">
        <f t="shared" ref="ED258" si="2565">COUNTIF($M$258,EC258)*$D$47</f>
        <v>0</v>
      </c>
      <c r="EE258" s="64"/>
      <c r="EF258" s="80" t="s">
        <v>2752</v>
      </c>
      <c r="EG258" s="81">
        <f t="shared" ref="EG258" si="2566">COUNTIF($M$258,EF258)*$D$47</f>
        <v>0</v>
      </c>
      <c r="EH258" s="64"/>
      <c r="EI258" s="80" t="s">
        <v>2173</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 ca="1">SUM(T250:T258)</f>
        <v>0</v>
      </c>
      <c r="U259" s="65"/>
      <c r="V259" s="71"/>
      <c r="W259" s="71">
        <f t="shared" ref="W259" ca="1" si="2577">SUM(W250:W258)</f>
        <v>0</v>
      </c>
      <c r="X259" s="65"/>
      <c r="Y259" s="71"/>
      <c r="Z259" s="71">
        <f t="shared" ref="Z259" ca="1" si="2578">SUM(Z250:Z258)</f>
        <v>0</v>
      </c>
      <c r="AA259" s="65"/>
      <c r="AB259" s="71"/>
      <c r="AC259" s="71">
        <f t="shared" ref="AC259" ca="1" si="2579">SUM(AC250:AC258)</f>
        <v>0</v>
      </c>
      <c r="AD259" s="65"/>
      <c r="AE259" s="71"/>
      <c r="AF259" s="71">
        <f t="shared" ref="AF259" ca="1" si="2580">SUM(AF250:AF258)</f>
        <v>0</v>
      </c>
      <c r="AG259" s="65"/>
      <c r="AH259" s="71"/>
      <c r="AI259" s="71">
        <f t="shared" ref="AI259" ca="1" si="2581">SUM(AI250:AI258)</f>
        <v>0</v>
      </c>
      <c r="AJ259" s="65"/>
      <c r="AK259" s="71"/>
      <c r="AL259" s="71">
        <f t="shared" ref="AL259" ca="1" si="2582">SUM(AL250:AL258)</f>
        <v>0</v>
      </c>
      <c r="AM259" s="65"/>
      <c r="AN259" s="71"/>
      <c r="AO259" s="71">
        <f t="shared" ref="AO259" ca="1" si="2583">SUM(AO250:AO258)</f>
        <v>10</v>
      </c>
      <c r="AP259" s="65"/>
      <c r="AQ259" s="71"/>
      <c r="AR259" s="71">
        <f t="shared" ref="AR259" ca="1" si="2584">SUM(AR250:AR258)</f>
        <v>0</v>
      </c>
      <c r="AS259" s="65"/>
      <c r="AT259" s="71"/>
      <c r="AU259" s="71">
        <f t="shared" ref="AU259" ca="1" si="2585">SUM(AU250:AU258)</f>
        <v>0</v>
      </c>
      <c r="AV259" s="65"/>
      <c r="AW259" s="71"/>
      <c r="AX259" s="71">
        <f t="shared" ref="AX259" ca="1" si="2586">SUM(AX250:AX258)</f>
        <v>0</v>
      </c>
      <c r="AY259" s="65"/>
      <c r="AZ259" s="71"/>
      <c r="BA259" s="71">
        <f t="shared" ref="BA259" ca="1" si="2587">SUM(BA250:BA258)</f>
        <v>0</v>
      </c>
      <c r="BB259" s="65"/>
      <c r="BC259" s="71"/>
      <c r="BD259" s="71">
        <f t="shared" ref="BD259" ca="1" si="2588">SUM(BD250:BD258)</f>
        <v>0</v>
      </c>
      <c r="BE259" s="65"/>
      <c r="BF259" s="71"/>
      <c r="BG259" s="71">
        <f t="shared" ref="BG259" ca="1" si="2589">SUM(BG250:BG258)</f>
        <v>0</v>
      </c>
      <c r="BH259" s="65"/>
      <c r="BI259" s="71"/>
      <c r="BJ259" s="71">
        <f t="shared" ref="BJ259" ca="1" si="2590">SUM(BJ250:BJ258)</f>
        <v>0</v>
      </c>
      <c r="BK259" s="65"/>
      <c r="BL259" s="71"/>
      <c r="BM259" s="71">
        <f t="shared" ref="BM259" ca="1" si="2591">SUM(BM250:BM258)</f>
        <v>0</v>
      </c>
      <c r="BN259" s="65"/>
      <c r="BO259" s="71"/>
      <c r="BP259" s="71">
        <f t="shared" ref="BP259" ca="1" si="2592">SUM(BP250:BP258)</f>
        <v>0</v>
      </c>
      <c r="BQ259" s="65"/>
      <c r="BR259" s="71"/>
      <c r="BS259" s="71">
        <f t="shared" ref="BS259" ca="1" si="2593">SUM(BS250:BS258)</f>
        <v>0</v>
      </c>
      <c r="BT259" s="65"/>
      <c r="BU259" s="71"/>
      <c r="BV259" s="71">
        <f t="shared" ref="BV259" ca="1" si="2594">SUM(BV250:BV258)</f>
        <v>0</v>
      </c>
      <c r="BW259" s="65"/>
      <c r="BX259" s="71"/>
      <c r="BY259" s="71">
        <f t="shared" ref="BY259" ca="1" si="2595">SUM(BY250:BY258)</f>
        <v>0</v>
      </c>
      <c r="BZ259" s="65"/>
      <c r="CA259" s="71"/>
      <c r="CB259" s="71">
        <f t="shared" ref="CB259" ca="1" si="2596">SUM(CB250:CB258)</f>
        <v>10</v>
      </c>
      <c r="CC259" s="65"/>
      <c r="CD259" s="71"/>
      <c r="CE259" s="71">
        <f t="shared" ref="CE259" ca="1" si="2597">SUM(CE250:CE258)</f>
        <v>0</v>
      </c>
      <c r="CF259" s="65"/>
      <c r="CG259" s="71"/>
      <c r="CH259" s="71">
        <f t="shared" ref="CH259" ca="1" si="2598">SUM(CH250:CH258)</f>
        <v>0</v>
      </c>
      <c r="CI259" s="65"/>
      <c r="CJ259" s="71"/>
      <c r="CK259" s="71">
        <f t="shared" ref="CK259" ca="1" si="2599">SUM(CK250:CK258)</f>
        <v>0</v>
      </c>
      <c r="CL259" s="65"/>
      <c r="CM259" s="71"/>
      <c r="CN259" s="71">
        <f t="shared" ref="CN259" ca="1" si="2600">SUM(CN250:CN258)</f>
        <v>0</v>
      </c>
      <c r="CO259" s="65"/>
      <c r="CP259" s="71"/>
      <c r="CQ259" s="71">
        <f t="shared" ref="CQ259" ca="1" si="2601">SUM(CQ250:CQ258)</f>
        <v>0</v>
      </c>
      <c r="CR259" s="65"/>
      <c r="CS259" s="71"/>
      <c r="CT259" s="71">
        <f t="shared" ref="CT259" ca="1" si="2602">SUM(CT250:CT258)</f>
        <v>0</v>
      </c>
      <c r="CU259" s="65"/>
      <c r="CV259" s="71"/>
      <c r="CW259" s="71">
        <f t="shared" ref="CW259" ca="1" si="2603">SUM(CW250:CW258)</f>
        <v>0</v>
      </c>
      <c r="CX259" s="65"/>
      <c r="CY259" s="71"/>
      <c r="CZ259" s="71">
        <f t="shared" ref="CZ259" ca="1" si="2604">SUM(CZ250:CZ258)</f>
        <v>0</v>
      </c>
      <c r="DA259" s="65"/>
      <c r="DB259" s="71"/>
      <c r="DC259" s="71">
        <f t="shared" ref="DC259" ca="1" si="2605">SUM(DC250:DC258)</f>
        <v>0</v>
      </c>
      <c r="DD259" s="65"/>
      <c r="DE259" s="71"/>
      <c r="DF259" s="71">
        <f t="shared" ref="DF259" ca="1" si="2606">SUM(DF250:DF258)</f>
        <v>0</v>
      </c>
      <c r="DG259" s="65"/>
      <c r="DH259" s="71"/>
      <c r="DI259" s="71">
        <f t="shared" ref="DI259" ca="1" si="2607">SUM(DI250:DI258)</f>
        <v>0</v>
      </c>
      <c r="DJ259" s="65"/>
      <c r="DK259" s="71"/>
      <c r="DL259" s="71">
        <f t="shared" ref="DL259" ca="1" si="2608">SUM(DL250:DL258)</f>
        <v>0</v>
      </c>
      <c r="DM259" s="65"/>
      <c r="DN259" s="71"/>
      <c r="DO259" s="71">
        <f t="shared" ref="DO259" ca="1" si="2609">SUM(DO250:DO258)</f>
        <v>0</v>
      </c>
      <c r="DP259" s="65"/>
      <c r="DQ259" s="71"/>
      <c r="DR259" s="71">
        <f t="shared" ref="DR259" ca="1" si="2610">SUM(DR250:DR258)</f>
        <v>10</v>
      </c>
      <c r="DS259" s="65"/>
      <c r="DT259" s="71"/>
      <c r="DU259" s="71">
        <f t="shared" ref="DU259" ca="1" si="2611">SUM(DU250:DU258)</f>
        <v>0</v>
      </c>
      <c r="DV259" s="65"/>
      <c r="DW259" s="71"/>
      <c r="DX259" s="71">
        <f t="shared" ref="DX259" ca="1" si="2612">SUM(DX250:DX258)</f>
        <v>0</v>
      </c>
      <c r="DY259" s="65"/>
      <c r="DZ259" s="71"/>
      <c r="EA259" s="71">
        <f t="shared" ref="EA259" ca="1" si="2613">SUM(EA250:EA258)</f>
        <v>0</v>
      </c>
      <c r="EB259" s="65"/>
      <c r="EC259" s="71"/>
      <c r="ED259" s="71">
        <f t="shared" ref="ED259" ca="1" si="2614">SUM(ED250:ED258)</f>
        <v>0</v>
      </c>
      <c r="EE259" s="65"/>
      <c r="EF259" s="71"/>
      <c r="EG259" s="71">
        <f t="shared" ref="EG259" ca="1" si="2615">SUM(EG250:EG258)</f>
        <v>0</v>
      </c>
      <c r="EH259" s="65"/>
      <c r="EI259" s="71"/>
      <c r="EJ259" s="71">
        <f t="shared" ref="EJ259" ca="1" si="2616">SUM(EJ250:EJ258)</f>
        <v>0</v>
      </c>
      <c r="EK259" s="65"/>
      <c r="EL259" s="71"/>
      <c r="EM259" s="71">
        <f t="shared" ref="EM259" ca="1" si="2617">SUM(EM250:EM258)</f>
        <v>0</v>
      </c>
      <c r="EN259" s="65"/>
      <c r="EO259" s="71"/>
      <c r="EP259" s="71">
        <f t="shared" ref="EP259" ca="1" si="2618">SUM(EP250:EP258)</f>
        <v>0</v>
      </c>
      <c r="EQ259" s="65"/>
      <c r="ER259" s="71"/>
      <c r="ES259" s="71">
        <f t="shared" ref="ES259" ca="1" si="2619">SUM(ES250:ES258)</f>
        <v>0</v>
      </c>
      <c r="ET259" s="65"/>
      <c r="EU259" s="71"/>
      <c r="EV259" s="71">
        <f t="shared" ref="EV259" ca="1" si="2620">SUM(EV250:EV258)</f>
        <v>0</v>
      </c>
      <c r="EW259" s="65"/>
      <c r="EX259" s="71"/>
      <c r="EY259" s="71">
        <f t="shared" ref="EY259" ca="1" si="2621">SUM(EY250:EY258)</f>
        <v>0</v>
      </c>
      <c r="EZ259" s="65"/>
      <c r="FA259" s="71"/>
      <c r="FB259" s="71">
        <f t="shared" ref="FB259" ca="1" si="2622">SUM(FB250:FB258)</f>
        <v>0</v>
      </c>
      <c r="FC259" s="65"/>
      <c r="FD259" s="71"/>
      <c r="FE259" s="71">
        <f t="shared" ref="FE259" ca="1" si="2623">SUM(FE250:FE258)</f>
        <v>0</v>
      </c>
      <c r="FF259" s="65"/>
      <c r="FG259" s="71"/>
      <c r="FH259" s="71">
        <f t="shared" ref="FH259" ca="1" si="2624">SUM(FH250:FH258)</f>
        <v>0</v>
      </c>
      <c r="FI259" s="65"/>
      <c r="FJ259" s="71"/>
      <c r="FK259" s="71">
        <f t="shared" ref="FK259" ca="1"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2"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388</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2</v>
      </c>
      <c r="K5" s="92" cm="1">
        <f t="array" aca="1" ref="K5" ca="1">IFERROR(INDEX(Rango_Admin_Clas_Total,K$2,MATCH($A5,Rango_Admin_Clas_Primera,0)+1),"-")</f>
        <v>30</v>
      </c>
      <c r="L5" s="92" cm="1">
        <f t="array" aca="1" ref="L5" ca="1">IFERROR(INDEX(Rango_Admin_Clas_Total,L$2,MATCH($A5,Rango_Admin_Clas_Primera,0)+1),"-")</f>
        <v>3</v>
      </c>
      <c r="M5" s="92" cm="1">
        <f t="array" aca="1" ref="M5" ca="1">IFERROR(INDEX(Rango_Admin_Clas_Total,M$2,MATCH($A5,Rango_Admin_Clas_Primera,0)+1),"-")</f>
        <v>20</v>
      </c>
      <c r="N5" s="92" cm="1">
        <f t="array" aca="1" ref="N5" ca="1">IFERROR(INDEX(Rango_Admin_Clas_Total,N$2,MATCH($A5,Rango_Admin_Clas_Primera,0)+1),"-")</f>
        <v>4</v>
      </c>
      <c r="O5" s="92" cm="1">
        <f t="array" aca="1" ref="O5" ca="1">IFERROR(INDEX(Rango_Admin_Clas_Total,O$2,MATCH($A5,Rango_Admin_Clas_Primera,0)+1),"-")</f>
        <v>12</v>
      </c>
      <c r="P5" s="92" cm="1">
        <f t="array" aca="1" ref="P5" ca="1">IFERROR(INDEX(Rango_Admin_Clas_Total,P$2,MATCH($A5,Rango_Admin_Clas_Primera,0)+1),"-")</f>
        <v>14</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378</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30</v>
      </c>
      <c r="L6" s="92" cm="1">
        <f t="array" aca="1" ref="L6" ca="1">IFERROR(INDEX(Rango_Admin_Clas_Total,L$2,MATCH($A6,Rango_Admin_Clas_Primera,0)+1),"-")</f>
        <v>5</v>
      </c>
      <c r="M6" s="92" cm="1">
        <f t="array" aca="1" ref="M6" ca="1">IFERROR(INDEX(Rango_Admin_Clas_Total,M$2,MATCH($A6,Rango_Admin_Clas_Primera,0)+1),"-")</f>
        <v>20</v>
      </c>
      <c r="N6" s="92" cm="1">
        <f t="array" aca="1" ref="N6" ca="1">IFERROR(INDEX(Rango_Admin_Clas_Total,N$2,MATCH($A6,Rango_Admin_Clas_Primera,0)+1),"-")</f>
        <v>3</v>
      </c>
      <c r="O6" s="92" cm="1">
        <f t="array" aca="1" ref="O6" ca="1">IFERROR(INDEX(Rango_Admin_Clas_Total,O$2,MATCH($A6,Rango_Admin_Clas_Primera,0)+1),"-")</f>
        <v>12</v>
      </c>
      <c r="P6" s="92" cm="1">
        <f t="array" aca="1" ref="P6" ca="1">IFERROR(INDEX(Rango_Admin_Clas_Total,P$2,MATCH($A6,Rango_Admin_Clas_Primera,0)+1),"-")</f>
        <v>14</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359</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30</v>
      </c>
      <c r="L7" s="92" cm="1">
        <f t="array" aca="1" ref="L7" ca="1">IFERROR(INDEX(Rango_Admin_Clas_Total,L$2,MATCH($A7,Rango_Admin_Clas_Primera,0)+1),"-")</f>
        <v>2</v>
      </c>
      <c r="M7" s="92" cm="1">
        <f t="array" aca="1" ref="M7" ca="1">IFERROR(INDEX(Rango_Admin_Clas_Total,M$2,MATCH($A7,Rango_Admin_Clas_Primera,0)+1),"-")</f>
        <v>15</v>
      </c>
      <c r="N7" s="92" cm="1">
        <f t="array" aca="1" ref="N7" ca="1">IFERROR(INDEX(Rango_Admin_Clas_Total,N$2,MATCH($A7,Rango_Admin_Clas_Primera,0)+1),"-")</f>
        <v>1</v>
      </c>
      <c r="O7" s="92" cm="1">
        <f t="array" aca="1" ref="O7" ca="1">IFERROR(INDEX(Rango_Admin_Clas_Total,O$2,MATCH($A7,Rango_Admin_Clas_Primera,0)+1),"-")</f>
        <v>6</v>
      </c>
      <c r="P7" s="92" cm="1">
        <f t="array" aca="1" ref="P7" ca="1">IFERROR(INDEX(Rango_Admin_Clas_Total,P$2,MATCH($A7,Rango_Admin_Clas_Primera,0)+1),"-")</f>
        <v>14</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Kurtischamp</v>
      </c>
      <c r="D8" s="91">
        <f ca="1">IFERROR(HLOOKUP(A8,Rango_Admin_Clas,4,FALSE),"-")</f>
        <v>353</v>
      </c>
      <c r="E8" s="92" cm="1">
        <f t="array" aca="1" ref="E8" ca="1">IFERROR(INDEX(Rango_Admin_Clas_Total,E$2,MATCH($A8,Rango_Admin_Clas_Primera,0)+1),"-")</f>
        <v>74</v>
      </c>
      <c r="F8" s="92" cm="1">
        <f t="array" aca="1" ref="F8" ca="1">IFERROR(INDEX(Rango_Admin_Clas_Total,F$2,MATCH($A8,Rango_Admin_Clas_Primera,0)+1),"-")</f>
        <v>72</v>
      </c>
      <c r="G8" s="92" cm="1">
        <f t="array" aca="1" ref="G8" ca="1">IFERROR(INDEX(Rango_Admin_Clas_Total,G$2,MATCH($A8,Rango_Admin_Clas_Primera,0)+1),"-")</f>
        <v>78</v>
      </c>
      <c r="H8" s="92" cm="1">
        <f t="array" aca="1" ref="H8" ca="1">IFERROR(INDEX(Rango_Admin_Clas_Total,H$2,MATCH($A8,Rango_Admin_Clas_Primera,0)+1),"-")</f>
        <v>4</v>
      </c>
      <c r="I8" s="92" cm="1">
        <f t="array" aca="1" ref="I8" ca="1">IFERROR(INDEX(Rango_Admin_Clas_Total,I$2,MATCH($A8,Rango_Admin_Clas_Primera,0)+1),"-")</f>
        <v>48</v>
      </c>
      <c r="J8" s="92" cm="1">
        <f t="array" aca="1" ref="J8" ca="1">IFERROR(INDEX(Rango_Admin_Clas_Total,J$2,MATCH($A8,Rango_Admin_Clas_Primera,0)+1),"-")</f>
        <v>3</v>
      </c>
      <c r="K8" s="92" cm="1">
        <f t="array" aca="1" ref="K8" ca="1">IFERROR(INDEX(Rango_Admin_Clas_Total,K$2,MATCH($A8,Rango_Admin_Clas_Primera,0)+1),"-")</f>
        <v>30</v>
      </c>
      <c r="L8" s="92" cm="1">
        <f t="array" aca="1" ref="L8" ca="1">IFERROR(INDEX(Rango_Admin_Clas_Total,L$2,MATCH($A8,Rango_Admin_Clas_Primera,0)+1),"-")</f>
        <v>8</v>
      </c>
      <c r="M8" s="92" cm="1">
        <f t="array" aca="1" ref="M8" ca="1">IFERROR(INDEX(Rango_Admin_Clas_Total,M$2,MATCH($A8,Rango_Admin_Clas_Primera,0)+1),"-")</f>
        <v>15</v>
      </c>
      <c r="N8" s="92" cm="1">
        <f t="array" aca="1" ref="N8" ca="1">IFERROR(INDEX(Rango_Admin_Clas_Total,N$2,MATCH($A8,Rango_Admin_Clas_Primera,0)+1),"-")</f>
        <v>1</v>
      </c>
      <c r="O8" s="92" cm="1">
        <f t="array" aca="1" ref="O8" ca="1">IFERROR(INDEX(Rango_Admin_Clas_Total,O$2,MATCH($A8,Rango_Admin_Clas_Primera,0)+1),"-")</f>
        <v>6</v>
      </c>
      <c r="P8" s="92" cm="1">
        <f t="array" aca="1" ref="P8" ca="1">IFERROR(INDEX(Rango_Admin_Clas_Total,P$2,MATCH($A8,Rango_Admin_Clas_Primera,0)+1),"-")</f>
        <v>14</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IGNACIO LAFUENTE</v>
      </c>
      <c r="D9" s="91">
        <f ca="1">IFERROR(HLOOKUP(A9,Rango_Admin_Clas,4,FALSE),"-")</f>
        <v>353</v>
      </c>
      <c r="E9" s="92" cm="1">
        <f t="array" aca="1" ref="E9" ca="1">IFERROR(INDEX(Rango_Admin_Clas_Total,E$2,MATCH($A9,Rango_Admin_Clas_Primera,0)+1),"-")</f>
        <v>86</v>
      </c>
      <c r="F9" s="92" cm="1">
        <f t="array" aca="1" ref="F9" ca="1">IFERROR(INDEX(Rango_Admin_Clas_Total,F$2,MATCH($A9,Rango_Admin_Clas_Primera,0)+1),"-")</f>
        <v>66</v>
      </c>
      <c r="G9" s="92" cm="1">
        <f t="array" aca="1" ref="G9" ca="1">IFERROR(INDEX(Rango_Admin_Clas_Total,G$2,MATCH($A9,Rango_Admin_Clas_Primera,0)+1),"-")</f>
        <v>81</v>
      </c>
      <c r="H9" s="92" cm="1">
        <f t="array" aca="1" ref="H9" ca="1">IFERROR(INDEX(Rango_Admin_Clas_Total,H$2,MATCH($A9,Rango_Admin_Clas_Primera,0)+1),"-")</f>
        <v>8</v>
      </c>
      <c r="I9" s="92" cm="1">
        <f t="array" aca="1" ref="I9" ca="1">IFERROR(INDEX(Rango_Admin_Clas_Total,I$2,MATCH($A9,Rango_Admin_Clas_Primera,0)+1),"-")</f>
        <v>44</v>
      </c>
      <c r="J9" s="92" cm="1">
        <f t="array" aca="1" ref="J9" ca="1">IFERROR(INDEX(Rango_Admin_Clas_Total,J$2,MATCH($A9,Rango_Admin_Clas_Primera,0)+1),"-")</f>
        <v>4</v>
      </c>
      <c r="K9" s="92" cm="1">
        <f t="array" aca="1" ref="K9" ca="1">IFERROR(INDEX(Rango_Admin_Clas_Total,K$2,MATCH($A9,Rango_Admin_Clas_Primera,0)+1),"-")</f>
        <v>25</v>
      </c>
      <c r="L9" s="92" cm="1">
        <f t="array" aca="1" ref="L9" ca="1">IFERROR(INDEX(Rango_Admin_Clas_Total,L$2,MATCH($A9,Rango_Admin_Clas_Primera,0)+1),"-")</f>
        <v>4</v>
      </c>
      <c r="M9" s="92" cm="1">
        <f t="array" aca="1" ref="M9" ca="1">IFERROR(INDEX(Rango_Admin_Clas_Total,M$2,MATCH($A9,Rango_Admin_Clas_Primera,0)+1),"-")</f>
        <v>15</v>
      </c>
      <c r="N9" s="92" cm="1">
        <f t="array" aca="1" ref="N9" ca="1">IFERROR(INDEX(Rango_Admin_Clas_Total,N$2,MATCH($A9,Rango_Admin_Clas_Primera,0)+1),"-")</f>
        <v>1</v>
      </c>
      <c r="O9" s="92" cm="1">
        <f t="array" aca="1" ref="O9" ca="1">IFERROR(INDEX(Rango_Admin_Clas_Total,O$2,MATCH($A9,Rango_Admin_Clas_Primera,0)+1),"-")</f>
        <v>12</v>
      </c>
      <c r="P9" s="92" cm="1">
        <f t="array" aca="1" ref="P9" ca="1">IFERROR(INDEX(Rango_Admin_Clas_Total,P$2,MATCH($A9,Rango_Admin_Clas_Primera,0)+1),"-")</f>
        <v>7</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JCU</v>
      </c>
      <c r="D10" s="91">
        <f ca="1">IFERROR(HLOOKUP(A10,Rango_Admin_Clas,4,FALSE),"-")</f>
        <v>349</v>
      </c>
      <c r="E10" s="92" cm="1">
        <f t="array" aca="1" ref="E10" ca="1">IFERROR(INDEX(Rango_Admin_Clas_Total,E$2,MATCH($A10,Rango_Admin_Clas_Primera,0)+1),"-")</f>
        <v>75</v>
      </c>
      <c r="F10" s="92" cm="1">
        <f t="array" aca="1" ref="F10" ca="1">IFERROR(INDEX(Rango_Admin_Clas_Total,F$2,MATCH($A10,Rango_Admin_Clas_Primera,0)+1),"-")</f>
        <v>66</v>
      </c>
      <c r="G10" s="92" cm="1">
        <f t="array" aca="1" ref="G10" ca="1">IFERROR(INDEX(Rango_Admin_Clas_Total,G$2,MATCH($A10,Rango_Admin_Clas_Primera,0)+1),"-")</f>
        <v>72</v>
      </c>
      <c r="H10" s="92" cm="1">
        <f t="array" aca="1" ref="H10" ca="1">IFERROR(INDEX(Rango_Admin_Clas_Total,H$2,MATCH($A10,Rango_Admin_Clas_Primera,0)+1),"-")</f>
        <v>5</v>
      </c>
      <c r="I10" s="92" cm="1">
        <f t="array" aca="1" ref="I10" ca="1">IFERROR(INDEX(Rango_Admin_Clas_Total,I$2,MATCH($A10,Rango_Admin_Clas_Primera,0)+1),"-")</f>
        <v>52</v>
      </c>
      <c r="J10" s="92" cm="1">
        <f t="array" aca="1" ref="J10" ca="1">IFERROR(INDEX(Rango_Admin_Clas_Total,J$2,MATCH($A10,Rango_Admin_Clas_Primera,0)+1),"-")</f>
        <v>2</v>
      </c>
      <c r="K10" s="92" cm="1">
        <f t="array" aca="1" ref="K10" ca="1">IFERROR(INDEX(Rango_Admin_Clas_Total,K$2,MATCH($A10,Rango_Admin_Clas_Primera,0)+1),"-")</f>
        <v>25</v>
      </c>
      <c r="L10" s="92" cm="1">
        <f t="array" aca="1" ref="L10" ca="1">IFERROR(INDEX(Rango_Admin_Clas_Total,L$2,MATCH($A10,Rango_Admin_Clas_Primera,0)+1),"-")</f>
        <v>1</v>
      </c>
      <c r="M10" s="92" cm="1">
        <f t="array" aca="1" ref="M10" ca="1">IFERROR(INDEX(Rango_Admin_Clas_Total,M$2,MATCH($A10,Rango_Admin_Clas_Primera,0)+1),"-")</f>
        <v>20</v>
      </c>
      <c r="N10" s="92" cm="1">
        <f t="array" aca="1" ref="N10" ca="1">IFERROR(INDEX(Rango_Admin_Clas_Total,N$2,MATCH($A10,Rango_Admin_Clas_Primera,0)+1),"-")</f>
        <v>5</v>
      </c>
      <c r="O10" s="92" cm="1">
        <f t="array" aca="1" ref="O10" ca="1">IFERROR(INDEX(Rango_Admin_Clas_Total,O$2,MATCH($A10,Rango_Admin_Clas_Primera,0)+1),"-")</f>
        <v>12</v>
      </c>
      <c r="P10" s="92" cm="1">
        <f t="array" aca="1" ref="P10" ca="1">IFERROR(INDEX(Rango_Admin_Clas_Total,P$2,MATCH($A10,Rango_Admin_Clas_Primera,0)+1),"-")</f>
        <v>14</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KIRICOCHO</v>
      </c>
      <c r="D11" s="91">
        <f ca="1">IFERROR(HLOOKUP(A11,Rango_Admin_Clas,4,FALSE),"-")</f>
        <v>338</v>
      </c>
      <c r="E11" s="92" cm="1">
        <f t="array" aca="1" ref="E11" ca="1">IFERROR(INDEX(Rango_Admin_Clas_Total,E$2,MATCH($A11,Rango_Admin_Clas_Primera,0)+1),"-")</f>
        <v>80</v>
      </c>
      <c r="F11" s="92" cm="1">
        <f t="array" aca="1" ref="F11" ca="1">IFERROR(INDEX(Rango_Admin_Clas_Total,F$2,MATCH($A11,Rango_Admin_Clas_Primera,0)+1),"-")</f>
        <v>62</v>
      </c>
      <c r="G11" s="92" cm="1">
        <f t="array" aca="1" ref="G11" ca="1">IFERROR(INDEX(Rango_Admin_Clas_Total,G$2,MATCH($A11,Rango_Admin_Clas_Primera,0)+1),"-")</f>
        <v>78</v>
      </c>
      <c r="H11" s="92" cm="1">
        <f t="array" aca="1" ref="H11" ca="1">IFERROR(INDEX(Rango_Admin_Clas_Total,H$2,MATCH($A11,Rango_Admin_Clas_Primera,0)+1),"-")</f>
        <v>7</v>
      </c>
      <c r="I11" s="92" cm="1">
        <f t="array" aca="1" ref="I11" ca="1">IFERROR(INDEX(Rango_Admin_Clas_Total,I$2,MATCH($A11,Rango_Admin_Clas_Primera,0)+1),"-")</f>
        <v>52</v>
      </c>
      <c r="J11" s="92" cm="1">
        <f t="array" aca="1" ref="J11" ca="1">IFERROR(INDEX(Rango_Admin_Clas_Total,J$2,MATCH($A11,Rango_Admin_Clas_Primera,0)+1),"-")</f>
        <v>3</v>
      </c>
      <c r="K11" s="92" cm="1">
        <f t="array" aca="1" ref="K11" ca="1">IFERROR(INDEX(Rango_Admin_Clas_Total,K$2,MATCH($A11,Rango_Admin_Clas_Primera,0)+1),"-")</f>
        <v>30</v>
      </c>
      <c r="L11" s="92" cm="1">
        <f t="array" aca="1" ref="L11" ca="1">IFERROR(INDEX(Rango_Admin_Clas_Total,L$2,MATCH($A11,Rango_Admin_Clas_Primera,0)+1),"-")</f>
        <v>3</v>
      </c>
      <c r="M11" s="92" cm="1">
        <f t="array" aca="1" ref="M11" ca="1">IFERROR(INDEX(Rango_Admin_Clas_Total,M$2,MATCH($A11,Rango_Admin_Clas_Primera,0)+1),"-")</f>
        <v>10</v>
      </c>
      <c r="N11" s="92" cm="1">
        <f t="array" aca="1" ref="N11" ca="1">IFERROR(INDEX(Rango_Admin_Clas_Total,N$2,MATCH($A11,Rango_Admin_Clas_Primera,0)+1),"-")</f>
        <v>0</v>
      </c>
      <c r="O11" s="92" cm="1">
        <f t="array" aca="1" ref="O11" ca="1">IFERROR(INDEX(Rango_Admin_Clas_Total,O$2,MATCH($A11,Rango_Admin_Clas_Primera,0)+1),"-")</f>
        <v>6</v>
      </c>
      <c r="P11" s="92" cm="1">
        <f t="array" aca="1" ref="P11" ca="1">IFERROR(INDEX(Rango_Admin_Clas_Total,P$2,MATCH($A11,Rango_Admin_Clas_Primera,0)+1),"-")</f>
        <v>7</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Alexander Schulte</v>
      </c>
      <c r="D12" s="91">
        <f ca="1">IFERROR(HLOOKUP(A12,Rango_Admin_Clas,4,FALSE),"-")</f>
        <v>334</v>
      </c>
      <c r="E12" s="92" cm="1">
        <f t="array" aca="1" ref="E12" ca="1">IFERROR(INDEX(Rango_Admin_Clas_Total,E$2,MATCH($A12,Rango_Admin_Clas_Primera,0)+1),"-")</f>
        <v>78</v>
      </c>
      <c r="F12" s="92" cm="1">
        <f t="array" aca="1" ref="F12" ca="1">IFERROR(INDEX(Rango_Admin_Clas_Total,F$2,MATCH($A12,Rango_Admin_Clas_Primera,0)+1),"-")</f>
        <v>62</v>
      </c>
      <c r="G12" s="92" cm="1">
        <f t="array" aca="1" ref="G12" ca="1">IFERROR(INDEX(Rango_Admin_Clas_Total,G$2,MATCH($A12,Rango_Admin_Clas_Primera,0)+1),"-")</f>
        <v>78</v>
      </c>
      <c r="H12" s="92" cm="1">
        <f t="array" aca="1" ref="H12" ca="1">IFERROR(INDEX(Rango_Admin_Clas_Total,H$2,MATCH($A12,Rango_Admin_Clas_Primera,0)+1),"-")</f>
        <v>5</v>
      </c>
      <c r="I12" s="92" cm="1">
        <f t="array" aca="1" ref="I12" ca="1">IFERROR(INDEX(Rango_Admin_Clas_Total,I$2,MATCH($A12,Rango_Admin_Clas_Primera,0)+1),"-")</f>
        <v>48</v>
      </c>
      <c r="J12" s="92" cm="1">
        <f t="array" aca="1" ref="J12" ca="1">IFERROR(INDEX(Rango_Admin_Clas_Total,J$2,MATCH($A12,Rango_Admin_Clas_Primera,0)+1),"-")</f>
        <v>2</v>
      </c>
      <c r="K12" s="92" cm="1">
        <f t="array" aca="1" ref="K12" ca="1">IFERROR(INDEX(Rango_Admin_Clas_Total,K$2,MATCH($A12,Rango_Admin_Clas_Primera,0)+1),"-")</f>
        <v>25</v>
      </c>
      <c r="L12" s="92" cm="1">
        <f t="array" aca="1" ref="L12" ca="1">IFERROR(INDEX(Rango_Admin_Clas_Total,L$2,MATCH($A12,Rango_Admin_Clas_Primera,0)+1),"-")</f>
        <v>1</v>
      </c>
      <c r="M12" s="92" cm="1">
        <f t="array" aca="1" ref="M12" ca="1">IFERROR(INDEX(Rango_Admin_Clas_Total,M$2,MATCH($A12,Rango_Admin_Clas_Primera,0)+1),"-")</f>
        <v>15</v>
      </c>
      <c r="N12" s="92" cm="1">
        <f t="array" aca="1" ref="N12" ca="1">IFERROR(INDEX(Rango_Admin_Clas_Total,N$2,MATCH($A12,Rango_Admin_Clas_Primera,0)+1),"-")</f>
        <v>1</v>
      </c>
      <c r="O12" s="92" cm="1">
        <f t="array" aca="1" ref="O12" ca="1">IFERROR(INDEX(Rango_Admin_Clas_Total,O$2,MATCH($A12,Rango_Admin_Clas_Primera,0)+1),"-")</f>
        <v>12</v>
      </c>
      <c r="P12" s="92" cm="1">
        <f t="array" aca="1" ref="P12" ca="1">IFERROR(INDEX(Rango_Admin_Clas_Total,P$2,MATCH($A12,Rango_Admin_Clas_Primera,0)+1),"-")</f>
        <v>7</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Lucas Oriol</v>
      </c>
      <c r="D13" s="91">
        <f ca="1">IFERROR(HLOOKUP(A13,Rango_Admin_Clas,4,FALSE),"-")</f>
        <v>330</v>
      </c>
      <c r="E13" s="92" cm="1">
        <f t="array" aca="1" ref="E13" ca="1">IFERROR(INDEX(Rango_Admin_Clas_Total,E$2,MATCH($A13,Rango_Admin_Clas_Primera,0)+1),"-")</f>
        <v>83</v>
      </c>
      <c r="F13" s="92" cm="1">
        <f t="array" aca="1" ref="F13" ca="1">IFERROR(INDEX(Rango_Admin_Clas_Total,F$2,MATCH($A13,Rango_Admin_Clas_Primera,0)+1),"-")</f>
        <v>56</v>
      </c>
      <c r="G13" s="92" cm="1">
        <f t="array" aca="1" ref="G13" ca="1">IFERROR(INDEX(Rango_Admin_Clas_Total,G$2,MATCH($A13,Rango_Admin_Clas_Primera,0)+1),"-")</f>
        <v>72</v>
      </c>
      <c r="H13" s="92" cm="1">
        <f t="array" aca="1" ref="H13" ca="1">IFERROR(INDEX(Rango_Admin_Clas_Total,H$2,MATCH($A13,Rango_Admin_Clas_Primera,0)+1),"-")</f>
        <v>9</v>
      </c>
      <c r="I13" s="92" cm="1">
        <f t="array" aca="1" ref="I13" ca="1">IFERROR(INDEX(Rango_Admin_Clas_Total,I$2,MATCH($A13,Rango_Admin_Clas_Primera,0)+1),"-")</f>
        <v>44</v>
      </c>
      <c r="J13" s="92" cm="1">
        <f t="array" aca="1" ref="J13" ca="1">IFERROR(INDEX(Rango_Admin_Clas_Total,J$2,MATCH($A13,Rango_Admin_Clas_Primera,0)+1),"-")</f>
        <v>3</v>
      </c>
      <c r="K13" s="92" cm="1">
        <f t="array" aca="1" ref="K13" ca="1">IFERROR(INDEX(Rango_Admin_Clas_Total,K$2,MATCH($A13,Rango_Admin_Clas_Primera,0)+1),"-")</f>
        <v>25</v>
      </c>
      <c r="L13" s="92" cm="1">
        <f t="array" aca="1" ref="L13" ca="1">IFERROR(INDEX(Rango_Admin_Clas_Total,L$2,MATCH($A13,Rango_Admin_Clas_Primera,0)+1),"-")</f>
        <v>4</v>
      </c>
      <c r="M13" s="92" cm="1">
        <f t="array" aca="1" ref="M13" ca="1">IFERROR(INDEX(Rango_Admin_Clas_Total,M$2,MATCH($A13,Rango_Admin_Clas_Primera,0)+1),"-")</f>
        <v>15</v>
      </c>
      <c r="N13" s="92" cm="1">
        <f t="array" aca="1" ref="N13" ca="1">IFERROR(INDEX(Rango_Admin_Clas_Total,N$2,MATCH($A13,Rango_Admin_Clas_Primera,0)+1),"-")</f>
        <v>0</v>
      </c>
      <c r="O13" s="92" cm="1">
        <f t="array" aca="1" ref="O13" ca="1">IFERROR(INDEX(Rango_Admin_Clas_Total,O$2,MATCH($A13,Rango_Admin_Clas_Primera,0)+1),"-")</f>
        <v>12</v>
      </c>
      <c r="P13" s="92" cm="1">
        <f t="array" aca="1" ref="P13" ca="1">IFERROR(INDEX(Rango_Admin_Clas_Total,P$2,MATCH($A13,Rango_Admin_Clas_Primera,0)+1),"-")</f>
        <v>7</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William Hartley</v>
      </c>
      <c r="D14" s="91">
        <f ca="1">IFERROR(HLOOKUP(A14,Rango_Admin_Clas,4,FALSE),"-")</f>
        <v>329</v>
      </c>
      <c r="E14" s="92" cm="1">
        <f t="array" aca="1" ref="E14" ca="1">IFERROR(INDEX(Rango_Admin_Clas_Total,E$2,MATCH($A14,Rango_Admin_Clas_Primera,0)+1),"-")</f>
        <v>74</v>
      </c>
      <c r="F14" s="92" cm="1">
        <f t="array" aca="1" ref="F14" ca="1">IFERROR(INDEX(Rango_Admin_Clas_Total,F$2,MATCH($A14,Rango_Admin_Clas_Primera,0)+1),"-")</f>
        <v>60</v>
      </c>
      <c r="G14" s="92" cm="1">
        <f t="array" aca="1" ref="G14" ca="1">IFERROR(INDEX(Rango_Admin_Clas_Total,G$2,MATCH($A14,Rango_Admin_Clas_Primera,0)+1),"-")</f>
        <v>84</v>
      </c>
      <c r="H14" s="92" cm="1">
        <f t="array" aca="1" ref="H14" ca="1">IFERROR(INDEX(Rango_Admin_Clas_Total,H$2,MATCH($A14,Rango_Admin_Clas_Primera,0)+1),"-")</f>
        <v>1</v>
      </c>
      <c r="I14" s="92" cm="1">
        <f t="array" aca="1" ref="I14" ca="1">IFERROR(INDEX(Rango_Admin_Clas_Total,I$2,MATCH($A14,Rango_Admin_Clas_Primera,0)+1),"-")</f>
        <v>56</v>
      </c>
      <c r="J14" s="92" cm="1">
        <f t="array" aca="1" ref="J14" ca="1">IFERROR(INDEX(Rango_Admin_Clas_Total,J$2,MATCH($A14,Rango_Admin_Clas_Primera,0)+1),"-")</f>
        <v>3</v>
      </c>
      <c r="K14" s="92" cm="1">
        <f t="array" aca="1" ref="K14" ca="1">IFERROR(INDEX(Rango_Admin_Clas_Total,K$2,MATCH($A14,Rango_Admin_Clas_Primera,0)+1),"-")</f>
        <v>25</v>
      </c>
      <c r="L14" s="92" cm="1">
        <f t="array" aca="1" ref="L14" ca="1">IFERROR(INDEX(Rango_Admin_Clas_Total,L$2,MATCH($A14,Rango_Admin_Clas_Primera,0)+1),"-")</f>
        <v>2</v>
      </c>
      <c r="M14" s="92" cm="1">
        <f t="array" aca="1" ref="M14" ca="1">IFERROR(INDEX(Rango_Admin_Clas_Total,M$2,MATCH($A14,Rango_Admin_Clas_Primera,0)+1),"-")</f>
        <v>10</v>
      </c>
      <c r="N14" s="92" cm="1">
        <f t="array" aca="1" ref="N14" ca="1">IFERROR(INDEX(Rango_Admin_Clas_Total,N$2,MATCH($A14,Rango_Admin_Clas_Primera,0)+1),"-")</f>
        <v>1</v>
      </c>
      <c r="O14" s="92" cm="1">
        <f t="array" aca="1" ref="O14" ca="1">IFERROR(INDEX(Rango_Admin_Clas_Total,O$2,MATCH($A14,Rango_Admin_Clas_Primera,0)+1),"-")</f>
        <v>6</v>
      </c>
      <c r="P14" s="92" cm="1">
        <f t="array" aca="1" ref="P14" ca="1">IFERROR(INDEX(Rango_Admin_Clas_Total,P$2,MATCH($A14,Rango_Admin_Clas_Primera,0)+1),"-")</f>
        <v>7</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Pastor</v>
      </c>
      <c r="D15" s="91">
        <f ca="1">IFERROR(HLOOKUP(A15,Rango_Admin_Clas,4,FALSE),"-")</f>
        <v>321</v>
      </c>
      <c r="E15" s="92" cm="1">
        <f t="array" aca="1" ref="E15" ca="1">IFERROR(INDEX(Rango_Admin_Clas_Total,E$2,MATCH($A15,Rango_Admin_Clas_Primera,0)+1),"-")</f>
        <v>70</v>
      </c>
      <c r="F15" s="92" cm="1">
        <f t="array" aca="1" ref="F15" ca="1">IFERROR(INDEX(Rango_Admin_Clas_Total,F$2,MATCH($A15,Rango_Admin_Clas_Primera,0)+1),"-")</f>
        <v>64</v>
      </c>
      <c r="G15" s="92" cm="1">
        <f t="array" aca="1" ref="G15" ca="1">IFERROR(INDEX(Rango_Admin_Clas_Total,G$2,MATCH($A15,Rango_Admin_Clas_Primera,0)+1),"-")</f>
        <v>75</v>
      </c>
      <c r="H15" s="92" cm="1">
        <f t="array" aca="1" ref="H15" ca="1">IFERROR(INDEX(Rango_Admin_Clas_Total,H$2,MATCH($A15,Rango_Admin_Clas_Primera,0)+1),"-")</f>
        <v>2</v>
      </c>
      <c r="I15" s="92" cm="1">
        <f t="array" aca="1" ref="I15" ca="1">IFERROR(INDEX(Rango_Admin_Clas_Total,I$2,MATCH($A15,Rango_Admin_Clas_Primera,0)+1),"-")</f>
        <v>56</v>
      </c>
      <c r="J15" s="92" cm="1">
        <f t="array" aca="1" ref="J15" ca="1">IFERROR(INDEX(Rango_Admin_Clas_Total,J$2,MATCH($A15,Rango_Admin_Clas_Primera,0)+1),"-")</f>
        <v>7</v>
      </c>
      <c r="K15" s="92" cm="1">
        <f t="array" aca="1" ref="K15" ca="1">IFERROR(INDEX(Rango_Admin_Clas_Total,K$2,MATCH($A15,Rango_Admin_Clas_Primera,0)+1),"-")</f>
        <v>30</v>
      </c>
      <c r="L15" s="92" cm="1">
        <f t="array" aca="1" ref="L15" ca="1">IFERROR(INDEX(Rango_Admin_Clas_Total,L$2,MATCH($A15,Rango_Admin_Clas_Primera,0)+1),"-")</f>
        <v>2</v>
      </c>
      <c r="M15" s="92" cm="1">
        <f t="array" aca="1" ref="M15" ca="1">IFERROR(INDEX(Rango_Admin_Clas_Total,M$2,MATCH($A15,Rango_Admin_Clas_Primera,0)+1),"-")</f>
        <v>15</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MURO 204</v>
      </c>
      <c r="D16" s="91">
        <f ca="1">IFERROR(HLOOKUP(A16,Rango_Admin_Clas,4,FALSE),"-")</f>
        <v>320</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6</v>
      </c>
      <c r="I16" s="92" cm="1">
        <f t="array" aca="1" ref="I16" ca="1">IFERROR(INDEX(Rango_Admin_Clas_Total,I$2,MATCH($A16,Rango_Admin_Clas_Primera,0)+1),"-")</f>
        <v>48</v>
      </c>
      <c r="J16" s="92" cm="1">
        <f t="array" aca="1" ref="J16" ca="1">IFERROR(INDEX(Rango_Admin_Clas_Total,J$2,MATCH($A16,Rango_Admin_Clas_Primera,0)+1),"-")</f>
        <v>2</v>
      </c>
      <c r="K16" s="92" cm="1">
        <f t="array" aca="1" ref="K16" ca="1">IFERROR(INDEX(Rango_Admin_Clas_Total,K$2,MATCH($A16,Rango_Admin_Clas_Primera,0)+1),"-")</f>
        <v>25</v>
      </c>
      <c r="L16" s="92" cm="1">
        <f t="array" aca="1" ref="L16" ca="1">IFERROR(INDEX(Rango_Admin_Clas_Total,L$2,MATCH($A16,Rango_Admin_Clas_Primera,0)+1),"-")</f>
        <v>2</v>
      </c>
      <c r="M16" s="92" cm="1">
        <f t="array" aca="1" ref="M16" ca="1">IFERROR(INDEX(Rango_Admin_Clas_Total,M$2,MATCH($A16,Rango_Admin_Clas_Primera,0)+1),"-")</f>
        <v>10</v>
      </c>
      <c r="N16" s="92" cm="1">
        <f t="array" aca="1" ref="N16" ca="1">IFERROR(INDEX(Rango_Admin_Clas_Total,N$2,MATCH($A16,Rango_Admin_Clas_Primera,0)+1),"-")</f>
        <v>0</v>
      </c>
      <c r="O16" s="92" cm="1">
        <f t="array" aca="1" ref="O16" ca="1">IFERROR(INDEX(Rango_Admin_Clas_Total,O$2,MATCH($A16,Rango_Admin_Clas_Primera,0)+1),"-")</f>
        <v>6</v>
      </c>
      <c r="P16" s="92" cm="1">
        <f t="array" aca="1" ref="P16" ca="1">IFERROR(INDEX(Rango_Admin_Clas_Total,P$2,MATCH($A16,Rango_Admin_Clas_Primera,0)+1),"-")</f>
        <v>7</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Miguel San Martín</v>
      </c>
      <c r="D17" s="91">
        <f ca="1">IFERROR(HLOOKUP(A17,Rango_Admin_Clas,4,FALSE),"-")</f>
        <v>319</v>
      </c>
      <c r="E17" s="92" cm="1">
        <f t="array" aca="1" ref="E17" ca="1">IFERROR(INDEX(Rango_Admin_Clas_Total,E$2,MATCH($A17,Rango_Admin_Clas_Primera,0)+1),"-")</f>
        <v>74</v>
      </c>
      <c r="F17" s="92" cm="1">
        <f t="array" aca="1" ref="F17" ca="1">IFERROR(INDEX(Rango_Admin_Clas_Total,F$2,MATCH($A17,Rango_Admin_Clas_Primera,0)+1),"-")</f>
        <v>58</v>
      </c>
      <c r="G17" s="92" cm="1">
        <f t="array" aca="1" ref="G17" ca="1">IFERROR(INDEX(Rango_Admin_Clas_Total,G$2,MATCH($A17,Rango_Admin_Clas_Primera,0)+1),"-")</f>
        <v>81</v>
      </c>
      <c r="H17" s="92" cm="1">
        <f t="array" aca="1" ref="H17" ca="1">IFERROR(INDEX(Rango_Admin_Clas_Total,H$2,MATCH($A17,Rango_Admin_Clas_Primera,0)+1),"-")</f>
        <v>7</v>
      </c>
      <c r="I17" s="92" cm="1">
        <f t="array" aca="1" ref="I17" ca="1">IFERROR(INDEX(Rango_Admin_Clas_Total,I$2,MATCH($A17,Rango_Admin_Clas_Primera,0)+1),"-")</f>
        <v>48</v>
      </c>
      <c r="J17" s="92" cm="1">
        <f t="array" aca="1" ref="J17" ca="1">IFERROR(INDEX(Rango_Admin_Clas_Total,J$2,MATCH($A17,Rango_Admin_Clas_Primera,0)+1),"-")</f>
        <v>2</v>
      </c>
      <c r="K17" s="92" cm="1">
        <f t="array" aca="1" ref="K17" ca="1">IFERROR(INDEX(Rango_Admin_Clas_Total,K$2,MATCH($A17,Rango_Admin_Clas_Primera,0)+1),"-")</f>
        <v>30</v>
      </c>
      <c r="L17" s="92" cm="1">
        <f t="array" aca="1" ref="L17" ca="1">IFERROR(INDEX(Rango_Admin_Clas_Total,L$2,MATCH($A17,Rango_Admin_Clas_Primera,0)+1),"-")</f>
        <v>4</v>
      </c>
      <c r="M17" s="92" cm="1">
        <f t="array" aca="1" ref="M17" ca="1">IFERROR(INDEX(Rango_Admin_Clas_Total,M$2,MATCH($A17,Rango_Admin_Clas_Primera,0)+1),"-")</f>
        <v>15</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Antonio del Ojo</v>
      </c>
      <c r="D18" s="91">
        <f ca="1">IFERROR(HLOOKUP(A18,Rango_Admin_Clas,4,FALSE),"-")</f>
        <v>318</v>
      </c>
      <c r="E18" s="92" cm="1">
        <f t="array" aca="1" ref="E18" ca="1">IFERROR(INDEX(Rango_Admin_Clas_Total,E$2,MATCH($A18,Rango_Admin_Clas_Primera,0)+1),"-")</f>
        <v>81</v>
      </c>
      <c r="F18" s="92" cm="1">
        <f t="array" aca="1" ref="F18" ca="1">IFERROR(INDEX(Rango_Admin_Clas_Total,F$2,MATCH($A18,Rango_Admin_Clas_Primera,0)+1),"-")</f>
        <v>50</v>
      </c>
      <c r="G18" s="92" cm="1">
        <f t="array" aca="1" ref="G18" ca="1">IFERROR(INDEX(Rango_Admin_Clas_Total,G$2,MATCH($A18,Rango_Admin_Clas_Primera,0)+1),"-")</f>
        <v>75</v>
      </c>
      <c r="H18" s="92" cm="1">
        <f t="array" aca="1" ref="H18" ca="1">IFERROR(INDEX(Rango_Admin_Clas_Total,H$2,MATCH($A18,Rango_Admin_Clas_Primera,0)+1),"-")</f>
        <v>5</v>
      </c>
      <c r="I18" s="92" cm="1">
        <f t="array" aca="1" ref="I18" ca="1">IFERROR(INDEX(Rango_Admin_Clas_Total,I$2,MATCH($A18,Rango_Admin_Clas_Primera,0)+1),"-")</f>
        <v>44</v>
      </c>
      <c r="J18" s="92" cm="1">
        <f t="array" aca="1" ref="J18" ca="1">IFERROR(INDEX(Rango_Admin_Clas_Total,J$2,MATCH($A18,Rango_Admin_Clas_Primera,0)+1),"-")</f>
        <v>2</v>
      </c>
      <c r="K18" s="92" cm="1">
        <f t="array" aca="1" ref="K18" ca="1">IFERROR(INDEX(Rango_Admin_Clas_Total,K$2,MATCH($A18,Rango_Admin_Clas_Primera,0)+1),"-")</f>
        <v>25</v>
      </c>
      <c r="L18" s="92" cm="1">
        <f t="array" aca="1" ref="L18" ca="1">IFERROR(INDEX(Rango_Admin_Clas_Total,L$2,MATCH($A18,Rango_Admin_Clas_Primera,0)+1),"-")</f>
        <v>1</v>
      </c>
      <c r="M18" s="92" cm="1">
        <f t="array" aca="1" ref="M18" ca="1">IFERROR(INDEX(Rango_Admin_Clas_Total,M$2,MATCH($A18,Rango_Admin_Clas_Primera,0)+1),"-")</f>
        <v>15</v>
      </c>
      <c r="N18" s="92" cm="1">
        <f t="array" aca="1" ref="N18" ca="1">IFERROR(INDEX(Rango_Admin_Clas_Total,N$2,MATCH($A18,Rango_Admin_Clas_Primera,0)+1),"-")</f>
        <v>1</v>
      </c>
      <c r="O18" s="92" cm="1">
        <f t="array" aca="1" ref="O18" ca="1">IFERROR(INDEX(Rango_Admin_Clas_Total,O$2,MATCH($A18,Rango_Admin_Clas_Primera,0)+1),"-")</f>
        <v>12</v>
      </c>
      <c r="P18" s="92" cm="1">
        <f t="array" aca="1" ref="P18" ca="1">IFERROR(INDEX(Rango_Admin_Clas_Total,P$2,MATCH($A18,Rango_Admin_Clas_Primera,0)+1),"-")</f>
        <v>7</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Alejandro Lafuente</v>
      </c>
      <c r="D19" s="91">
        <f ca="1">IFERROR(HLOOKUP(A19,Rango_Admin_Clas,4,FALSE),"-")</f>
        <v>317</v>
      </c>
      <c r="E19" s="92" cm="1">
        <f t="array" aca="1" ref="E19" ca="1">IFERROR(INDEX(Rango_Admin_Clas_Total,E$2,MATCH($A19,Rango_Admin_Clas_Primera,0)+1),"-")</f>
        <v>75</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3</v>
      </c>
      <c r="I19" s="92" cm="1">
        <f t="array" aca="1" ref="I19" ca="1">IFERROR(INDEX(Rango_Admin_Clas_Total,I$2,MATCH($A19,Rango_Admin_Clas_Primera,0)+1),"-")</f>
        <v>44</v>
      </c>
      <c r="J19" s="92" cm="1">
        <f t="array" aca="1" ref="J19" ca="1">IFERROR(INDEX(Rango_Admin_Clas_Total,J$2,MATCH($A19,Rango_Admin_Clas_Primera,0)+1),"-")</f>
        <v>3</v>
      </c>
      <c r="K19" s="92" cm="1">
        <f t="array" aca="1" ref="K19" ca="1">IFERROR(INDEX(Rango_Admin_Clas_Total,K$2,MATCH($A19,Rango_Admin_Clas_Primera,0)+1),"-")</f>
        <v>25</v>
      </c>
      <c r="L19" s="92" cm="1">
        <f t="array" aca="1" ref="L19" ca="1">IFERROR(INDEX(Rango_Admin_Clas_Total,L$2,MATCH($A19,Rango_Admin_Clas_Primera,0)+1),"-")</f>
        <v>1</v>
      </c>
      <c r="M19" s="92" cm="1">
        <f t="array" aca="1" ref="M19" ca="1">IFERROR(INDEX(Rango_Admin_Clas_Total,M$2,MATCH($A19,Rango_Admin_Clas_Primera,0)+1),"-")</f>
        <v>10</v>
      </c>
      <c r="N19" s="92" cm="1">
        <f t="array" aca="1" ref="N19" ca="1">IFERROR(INDEX(Rango_Admin_Clas_Total,N$2,MATCH($A19,Rango_Admin_Clas_Primera,0)+1),"-")</f>
        <v>1</v>
      </c>
      <c r="O19" s="92" cm="1">
        <f t="array" aca="1" ref="O19" ca="1">IFERROR(INDEX(Rango_Admin_Clas_Total,O$2,MATCH($A19,Rango_Admin_Clas_Primera,0)+1),"-")</f>
        <v>6</v>
      </c>
      <c r="P19" s="92" cm="1">
        <f t="array" aca="1" ref="P19" ca="1">IFERROR(INDEX(Rango_Admin_Clas_Total,P$2,MATCH($A19,Rango_Admin_Clas_Primera,0)+1),"-")</f>
        <v>7</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Jaime Lafuente</v>
      </c>
      <c r="D20" s="91">
        <f ca="1">IFERROR(HLOOKUP(A20,Rango_Admin_Clas,4,FALSE),"-")</f>
        <v>316</v>
      </c>
      <c r="E20" s="92" cm="1">
        <f t="array" aca="1" ref="E20" ca="1">IFERROR(INDEX(Rango_Admin_Clas_Total,E$2,MATCH($A20,Rango_Admin_Clas_Primera,0)+1),"-")</f>
        <v>87</v>
      </c>
      <c r="F20" s="92" cm="1">
        <f t="array" aca="1" ref="F20" ca="1">IFERROR(INDEX(Rango_Admin_Clas_Total,F$2,MATCH($A20,Rango_Admin_Clas_Primera,0)+1),"-")</f>
        <v>62</v>
      </c>
      <c r="G20" s="92" cm="1">
        <f t="array" aca="1" ref="G20" ca="1">IFERROR(INDEX(Rango_Admin_Clas_Total,G$2,MATCH($A20,Rango_Admin_Clas_Primera,0)+1),"-")</f>
        <v>75</v>
      </c>
      <c r="H20" s="92" cm="1">
        <f t="array" aca="1" ref="H20" ca="1">IFERROR(INDEX(Rango_Admin_Clas_Total,H$2,MATCH($A20,Rango_Admin_Clas_Primera,0)+1),"-")</f>
        <v>3</v>
      </c>
      <c r="I20" s="92" cm="1">
        <f t="array" aca="1" ref="I20" ca="1">IFERROR(INDEX(Rango_Admin_Clas_Total,I$2,MATCH($A20,Rango_Admin_Clas_Primera,0)+1),"-")</f>
        <v>48</v>
      </c>
      <c r="J20" s="92" cm="1">
        <f t="array" aca="1" ref="J20" ca="1">IFERROR(INDEX(Rango_Admin_Clas_Total,J$2,MATCH($A20,Rango_Admin_Clas_Primera,0)+1),"-")</f>
        <v>1</v>
      </c>
      <c r="K20" s="92" cm="1">
        <f t="array" aca="1" ref="K20" ca="1">IFERROR(INDEX(Rango_Admin_Clas_Total,K$2,MATCH($A20,Rango_Admin_Clas_Primera,0)+1),"-")</f>
        <v>20</v>
      </c>
      <c r="L20" s="92" cm="1">
        <f t="array" aca="1" ref="L20" ca="1">IFERROR(INDEX(Rango_Admin_Clas_Total,L$2,MATCH($A20,Rango_Admin_Clas_Primera,0)+1),"-")</f>
        <v>0</v>
      </c>
      <c r="M20" s="92" cm="1">
        <f t="array" aca="1" ref="M20" ca="1">IFERROR(INDEX(Rango_Admin_Clas_Total,M$2,MATCH($A20,Rango_Admin_Clas_Primera,0)+1),"-")</f>
        <v>20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Pablo C</v>
      </c>
      <c r="D21" s="91">
        <f ca="1">IFERROR(HLOOKUP(A21,Rango_Admin_Clas,4,FALSE),"-")</f>
        <v>315</v>
      </c>
      <c r="E21" s="92" cm="1">
        <f t="array" aca="1" ref="E21" ca="1">IFERROR(INDEX(Rango_Admin_Clas_Total,E$2,MATCH($A21,Rango_Admin_Clas_Primera,0)+1),"-")</f>
        <v>67</v>
      </c>
      <c r="F21" s="92" cm="1">
        <f t="array" aca="1" ref="F21" ca="1">IFERROR(INDEX(Rango_Admin_Clas_Total,F$2,MATCH($A21,Rango_Admin_Clas_Primera,0)+1),"-")</f>
        <v>56</v>
      </c>
      <c r="G21" s="92" cm="1">
        <f t="array" aca="1" ref="G21" ca="1">IFERROR(INDEX(Rango_Admin_Clas_Total,G$2,MATCH($A21,Rango_Admin_Clas_Primera,0)+1),"-")</f>
        <v>81</v>
      </c>
      <c r="H21" s="92" cm="1">
        <f t="array" aca="1" ref="H21" ca="1">IFERROR(INDEX(Rango_Admin_Clas_Total,H$2,MATCH($A21,Rango_Admin_Clas_Primera,0)+1),"-")</f>
        <v>1</v>
      </c>
      <c r="I21" s="92" cm="1">
        <f t="array" aca="1" ref="I21" ca="1">IFERROR(INDEX(Rango_Admin_Clas_Total,I$2,MATCH($A21,Rango_Admin_Clas_Primera,0)+1),"-")</f>
        <v>40</v>
      </c>
      <c r="J21" s="92" cm="1">
        <f t="array" aca="1" ref="J21" ca="1">IFERROR(INDEX(Rango_Admin_Clas_Total,J$2,MATCH($A21,Rango_Admin_Clas_Primera,0)+1),"-")</f>
        <v>0</v>
      </c>
      <c r="K21" s="92" cm="1">
        <f t="array" aca="1" ref="K21" ca="1">IFERROR(INDEX(Rango_Admin_Clas_Total,K$2,MATCH($A21,Rango_Admin_Clas_Primera,0)+1),"-")</f>
        <v>20</v>
      </c>
      <c r="L21" s="92" cm="1">
        <f t="array" aca="1" ref="L21" ca="1">IFERROR(INDEX(Rango_Admin_Clas_Total,L$2,MATCH($A21,Rango_Admin_Clas_Primera,0)+1),"-")</f>
        <v>1</v>
      </c>
      <c r="M21" s="92" cm="1">
        <f t="array" aca="1" ref="M21" ca="1">IFERROR(INDEX(Rango_Admin_Clas_Total,M$2,MATCH($A21,Rango_Admin_Clas_Primera,0)+1),"-")</f>
        <v>15</v>
      </c>
      <c r="N21" s="92" cm="1">
        <f t="array" aca="1" ref="N21" ca="1">IFERROR(INDEX(Rango_Admin_Clas_Total,N$2,MATCH($A21,Rango_Admin_Clas_Primera,0)+1),"-")</f>
        <v>4</v>
      </c>
      <c r="O21" s="92" cm="1">
        <f t="array" aca="1" ref="O21" ca="1">IFERROR(INDEX(Rango_Admin_Clas_Total,O$2,MATCH($A21,Rango_Admin_Clas_Primera,0)+1),"-")</f>
        <v>6</v>
      </c>
      <c r="P21" s="92" cm="1">
        <f t="array" aca="1" ref="P21" ca="1">IFERROR(INDEX(Rango_Admin_Clas_Total,P$2,MATCH($A21,Rango_Admin_Clas_Primera,0)+1),"-")</f>
        <v>14</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10</v>
      </c>
      <c r="T21" s="297"/>
      <c r="U21" s="297"/>
    </row>
    <row r="22" spans="1:21">
      <c r="A22" s="19">
        <f t="shared" si="0"/>
        <v>18</v>
      </c>
      <c r="B22" s="22">
        <f ca="1">IFERROR(HLOOKUP(A22,Rango_Admin_Clas,3,FALSE),"-")</f>
        <v>18</v>
      </c>
      <c r="C22" s="18" t="str">
        <f ca="1">IFERROR(HLOOKUP(A22,Rango_Admin_Clas,5,FALSE),"-")</f>
        <v>Jaime García de la Riva</v>
      </c>
      <c r="D22" s="91">
        <f ca="1">IFERROR(HLOOKUP(A22,Rango_Admin_Clas,4,FALSE),"-")</f>
        <v>314</v>
      </c>
      <c r="E22" s="92" cm="1">
        <f t="array" aca="1" ref="E22" ca="1">IFERROR(INDEX(Rango_Admin_Clas_Total,E$2,MATCH($A22,Rango_Admin_Clas_Primera,0)+1),"-")</f>
        <v>71</v>
      </c>
      <c r="F22" s="92" cm="1">
        <f t="array" aca="1" ref="F22" ca="1">IFERROR(INDEX(Rango_Admin_Clas_Total,F$2,MATCH($A22,Rango_Admin_Clas_Primera,0)+1),"-")</f>
        <v>50</v>
      </c>
      <c r="G22" s="92" cm="1">
        <f t="array" aca="1" ref="G22" ca="1">IFERROR(INDEX(Rango_Admin_Clas_Total,G$2,MATCH($A22,Rango_Admin_Clas_Primera,0)+1),"-")</f>
        <v>75</v>
      </c>
      <c r="H22" s="92" cm="1">
        <f t="array" aca="1" ref="H22" ca="1">IFERROR(INDEX(Rango_Admin_Clas_Total,H$2,MATCH($A22,Rango_Admin_Clas_Primera,0)+1),"-")</f>
        <v>2</v>
      </c>
      <c r="I22" s="92" cm="1">
        <f t="array" aca="1" ref="I22" ca="1">IFERROR(INDEX(Rango_Admin_Clas_Total,I$2,MATCH($A22,Rango_Admin_Clas_Primera,0)+1),"-")</f>
        <v>52</v>
      </c>
      <c r="J22" s="92" cm="1">
        <f t="array" aca="1" ref="J22" ca="1">IFERROR(INDEX(Rango_Admin_Clas_Total,J$2,MATCH($A22,Rango_Admin_Clas_Primera,0)+1),"-")</f>
        <v>1</v>
      </c>
      <c r="K22" s="92" cm="1">
        <f t="array" aca="1" ref="K22" ca="1">IFERROR(INDEX(Rango_Admin_Clas_Total,K$2,MATCH($A22,Rango_Admin_Clas_Primera,0)+1),"-")</f>
        <v>25</v>
      </c>
      <c r="L22" s="92" cm="1">
        <f t="array" aca="1" ref="L22" ca="1">IFERROR(INDEX(Rango_Admin_Clas_Total,L$2,MATCH($A22,Rango_Admin_Clas_Primera,0)+1),"-")</f>
        <v>2</v>
      </c>
      <c r="M22" s="92" cm="1">
        <f t="array" aca="1" ref="M22" ca="1">IFERROR(INDEX(Rango_Admin_Clas_Total,M$2,MATCH($A22,Rango_Admin_Clas_Primera,0)+1),"-")</f>
        <v>15</v>
      </c>
      <c r="N22" s="92" cm="1">
        <f t="array" aca="1" ref="N22" ca="1">IFERROR(INDEX(Rango_Admin_Clas_Total,N$2,MATCH($A22,Rango_Admin_Clas_Primera,0)+1),"-")</f>
        <v>1</v>
      </c>
      <c r="O22" s="92" cm="1">
        <f t="array" aca="1" ref="O22" ca="1">IFERROR(INDEX(Rango_Admin_Clas_Total,O$2,MATCH($A22,Rango_Admin_Clas_Primera,0)+1),"-")</f>
        <v>6</v>
      </c>
      <c r="P22" s="92" cm="1">
        <f t="array" aca="1" ref="P22" ca="1">IFERROR(INDEX(Rango_Admin_Clas_Total,P$2,MATCH($A22,Rango_Admin_Clas_Primera,0)+1),"-")</f>
        <v>14</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Luis B</v>
      </c>
      <c r="D23" s="91">
        <f ca="1">IFERROR(HLOOKUP(A23,Rango_Admin_Clas,4,FALSE),"-")</f>
        <v>312</v>
      </c>
      <c r="E23" s="92" cm="1">
        <f t="array" aca="1" ref="E23" ca="1">IFERROR(INDEX(Rango_Admin_Clas_Total,E$2,MATCH($A23,Rango_Admin_Clas_Primera,0)+1),"-")</f>
        <v>58</v>
      </c>
      <c r="F23" s="92" cm="1">
        <f t="array" aca="1" ref="F23" ca="1">IFERROR(INDEX(Rango_Admin_Clas_Total,F$2,MATCH($A23,Rango_Admin_Clas_Primera,0)+1),"-")</f>
        <v>64</v>
      </c>
      <c r="G23" s="92" cm="1">
        <f t="array" aca="1" ref="G23" ca="1">IFERROR(INDEX(Rango_Admin_Clas_Total,G$2,MATCH($A23,Rango_Admin_Clas_Primera,0)+1),"-")</f>
        <v>81</v>
      </c>
      <c r="H23" s="92" cm="1">
        <f t="array" aca="1" ref="H23" ca="1">IFERROR(INDEX(Rango_Admin_Clas_Total,H$2,MATCH($A23,Rango_Admin_Clas_Primera,0)+1),"-")</f>
        <v>9</v>
      </c>
      <c r="I23" s="92" cm="1">
        <f t="array" aca="1" ref="I23" ca="1">IFERROR(INDEX(Rango_Admin_Clas_Total,I$2,MATCH($A23,Rango_Admin_Clas_Primera,0)+1),"-")</f>
        <v>40</v>
      </c>
      <c r="J23" s="92" cm="1">
        <f t="array" aca="1" ref="J23" ca="1">IFERROR(INDEX(Rango_Admin_Clas_Total,J$2,MATCH($A23,Rango_Admin_Clas_Primera,0)+1),"-")</f>
        <v>0</v>
      </c>
      <c r="K23" s="92" cm="1">
        <f t="array" aca="1" ref="K23" ca="1">IFERROR(INDEX(Rango_Admin_Clas_Total,K$2,MATCH($A23,Rango_Admin_Clas_Primera,0)+1),"-")</f>
        <v>25</v>
      </c>
      <c r="L23" s="92" cm="1">
        <f t="array" aca="1" ref="L23" ca="1">IFERROR(INDEX(Rango_Admin_Clas_Total,L$2,MATCH($A23,Rango_Admin_Clas_Primera,0)+1),"-")</f>
        <v>0</v>
      </c>
      <c r="M23" s="92" cm="1">
        <f t="array" aca="1" ref="M23" ca="1">IFERROR(INDEX(Rango_Admin_Clas_Total,M$2,MATCH($A23,Rango_Admin_Clas_Primera,0)+1),"-")</f>
        <v>15</v>
      </c>
      <c r="N23" s="92" cm="1">
        <f t="array" aca="1" ref="N23" ca="1">IFERROR(INDEX(Rango_Admin_Clas_Total,N$2,MATCH($A23,Rango_Admin_Clas_Primera,0)+1),"-")</f>
        <v>1</v>
      </c>
      <c r="O23" s="92" cm="1">
        <f t="array" aca="1" ref="O23" ca="1">IFERROR(INDEX(Rango_Admin_Clas_Total,O$2,MATCH($A23,Rango_Admin_Clas_Primera,0)+1),"-")</f>
        <v>12</v>
      </c>
      <c r="P23" s="92" cm="1">
        <f t="array" aca="1" ref="P23" ca="1">IFERROR(INDEX(Rango_Admin_Clas_Total,P$2,MATCH($A23,Rango_Admin_Clas_Primera,0)+1),"-")</f>
        <v>7</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19</v>
      </c>
      <c r="C24" s="18" t="str">
        <f ca="1">IFERROR(HLOOKUP(A24,Rango_Admin_Clas,5,FALSE),"-")</f>
        <v>Joserra</v>
      </c>
      <c r="D24" s="91">
        <f ca="1">IFERROR(HLOOKUP(A24,Rango_Admin_Clas,4,FALSE),"-")</f>
        <v>312</v>
      </c>
      <c r="E24" s="92" cm="1">
        <f t="array" aca="1" ref="E24" ca="1">IFERROR(INDEX(Rango_Admin_Clas_Total,E$2,MATCH($A24,Rango_Admin_Clas_Primera,0)+1),"-")</f>
        <v>72</v>
      </c>
      <c r="F24" s="92" cm="1">
        <f t="array" aca="1" ref="F24" ca="1">IFERROR(INDEX(Rango_Admin_Clas_Total,F$2,MATCH($A24,Rango_Admin_Clas_Primera,0)+1),"-")</f>
        <v>62</v>
      </c>
      <c r="G24" s="92" cm="1">
        <f t="array" aca="1" ref="G24" ca="1">IFERROR(INDEX(Rango_Admin_Clas_Total,G$2,MATCH($A24,Rango_Admin_Clas_Primera,0)+1),"-")</f>
        <v>78</v>
      </c>
      <c r="H24" s="92" cm="1">
        <f t="array" aca="1" ref="H24" ca="1">IFERROR(INDEX(Rango_Admin_Clas_Total,H$2,MATCH($A24,Rango_Admin_Clas_Primera,0)+1),"-")</f>
        <v>7</v>
      </c>
      <c r="I24" s="92" cm="1">
        <f t="array" aca="1" ref="I24" ca="1">IFERROR(INDEX(Rango_Admin_Clas_Total,I$2,MATCH($A24,Rango_Admin_Clas_Primera,0)+1),"-")</f>
        <v>48</v>
      </c>
      <c r="J24" s="92" cm="1">
        <f t="array" aca="1" ref="J24" ca="1">IFERROR(INDEX(Rango_Admin_Clas_Total,J$2,MATCH($A24,Rango_Admin_Clas_Primera,0)+1),"-")</f>
        <v>1</v>
      </c>
      <c r="K24" s="92" cm="1">
        <f t="array" aca="1" ref="K24" ca="1">IFERROR(INDEX(Rango_Admin_Clas_Total,K$2,MATCH($A24,Rango_Admin_Clas_Primera,0)+1),"-")</f>
        <v>20</v>
      </c>
      <c r="L24" s="92" cm="1">
        <f t="array" aca="1" ref="L24" ca="1">IFERROR(INDEX(Rango_Admin_Clas_Total,L$2,MATCH($A24,Rango_Admin_Clas_Primera,0)+1),"-")</f>
        <v>0</v>
      </c>
      <c r="M24" s="92" cm="1">
        <f t="array" aca="1" ref="M24" ca="1">IFERROR(INDEX(Rango_Admin_Clas_Total,M$2,MATCH($A24,Rango_Admin_Clas_Primera,0)+1),"-")</f>
        <v>10</v>
      </c>
      <c r="N24" s="92" cm="1">
        <f t="array" aca="1" ref="N24" ca="1">IFERROR(INDEX(Rango_Admin_Clas_Total,N$2,MATCH($A24,Rango_Admin_Clas_Primera,0)+1),"-")</f>
        <v>1</v>
      </c>
      <c r="O24" s="92" cm="1">
        <f t="array" aca="1" ref="O24" ca="1">IFERROR(INDEX(Rango_Admin_Clas_Total,O$2,MATCH($A24,Rango_Admin_Clas_Primera,0)+1),"-")</f>
        <v>6</v>
      </c>
      <c r="P24" s="92" cm="1">
        <f t="array" aca="1" ref="P24" ca="1">IFERROR(INDEX(Rango_Admin_Clas_Total,P$2,MATCH($A24,Rango_Admin_Clas_Primera,0)+1),"-")</f>
        <v>7</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Antonio Zulueta Ramos</v>
      </c>
      <c r="D25" s="91">
        <f ca="1">IFERROR(HLOOKUP(A25,Rango_Admin_Clas,4,FALSE),"-")</f>
        <v>307</v>
      </c>
      <c r="E25" s="92" cm="1">
        <f t="array" aca="1" ref="E25" ca="1">IFERROR(INDEX(Rango_Admin_Clas_Total,E$2,MATCH($A25,Rango_Admin_Clas_Primera,0)+1),"-")</f>
        <v>72</v>
      </c>
      <c r="F25" s="92" cm="1">
        <f t="array" aca="1" ref="F25" ca="1">IFERROR(INDEX(Rango_Admin_Clas_Total,F$2,MATCH($A25,Rango_Admin_Clas_Primera,0)+1),"-")</f>
        <v>64</v>
      </c>
      <c r="G25" s="92" cm="1">
        <f t="array" aca="1" ref="G25" ca="1">IFERROR(INDEX(Rango_Admin_Clas_Total,G$2,MATCH($A25,Rango_Admin_Clas_Primera,0)+1),"-")</f>
        <v>78</v>
      </c>
      <c r="H25" s="92" cm="1">
        <f t="array" aca="1" ref="H25" ca="1">IFERROR(INDEX(Rango_Admin_Clas_Total,H$2,MATCH($A25,Rango_Admin_Clas_Primera,0)+1),"-")</f>
        <v>11</v>
      </c>
      <c r="I25" s="92" cm="1">
        <f t="array" aca="1" ref="I25" ca="1">IFERROR(INDEX(Rango_Admin_Clas_Total,I$2,MATCH($A25,Rango_Admin_Clas_Primera,0)+1),"-")</f>
        <v>40</v>
      </c>
      <c r="J25" s="92" cm="1">
        <f t="array" aca="1" ref="J25" ca="1">IFERROR(INDEX(Rango_Admin_Clas_Total,J$2,MATCH($A25,Rango_Admin_Clas_Primera,0)+1),"-")</f>
        <v>0</v>
      </c>
      <c r="K25" s="92" cm="1">
        <f t="array" aca="1" ref="K25" ca="1">IFERROR(INDEX(Rango_Admin_Clas_Total,K$2,MATCH($A25,Rango_Admin_Clas_Primera,0)+1),"-")</f>
        <v>20</v>
      </c>
      <c r="L25" s="92" cm="1">
        <f t="array" aca="1" ref="L25" ca="1">IFERROR(INDEX(Rango_Admin_Clas_Total,L$2,MATCH($A25,Rango_Admin_Clas_Primera,0)+1),"-")</f>
        <v>1</v>
      </c>
      <c r="M25" s="92" cm="1">
        <f t="array" aca="1" ref="M25" ca="1">IFERROR(INDEX(Rango_Admin_Clas_Total,M$2,MATCH($A25,Rango_Admin_Clas_Primera,0)+1),"-")</f>
        <v>5</v>
      </c>
      <c r="N25" s="92" cm="1">
        <f t="array" aca="1" ref="N25" ca="1">IFERROR(INDEX(Rango_Admin_Clas_Total,N$2,MATCH($A25,Rango_Admin_Clas_Primera,0)+1),"-")</f>
        <v>0</v>
      </c>
      <c r="O25" s="92" cm="1">
        <f t="array" aca="1" ref="O25" ca="1">IFERROR(INDEX(Rango_Admin_Clas_Total,O$2,MATCH($A25,Rango_Admin_Clas_Primera,0)+1),"-")</f>
        <v>6</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10</v>
      </c>
      <c r="T25" s="297"/>
      <c r="U25" s="297"/>
    </row>
    <row r="26" spans="1:21">
      <c r="A26" s="19">
        <f t="shared" si="0"/>
        <v>22</v>
      </c>
      <c r="B26" s="22">
        <f ca="1">IFERROR(HLOOKUP(A26,Rango_Admin_Clas,3,FALSE),"-")</f>
        <v>22</v>
      </c>
      <c r="C26" s="18" t="str">
        <f ca="1">IFERROR(HLOOKUP(A26,Rango_Admin_Clas,5,FALSE),"-")</f>
        <v>Ignacio de Lecea</v>
      </c>
      <c r="D26" s="91">
        <f ca="1">IFERROR(HLOOKUP(A26,Rango_Admin_Clas,4,FALSE),"-")</f>
        <v>305</v>
      </c>
      <c r="E26" s="92" cm="1">
        <f t="array" aca="1" ref="E26" ca="1">IFERROR(INDEX(Rango_Admin_Clas_Total,E$2,MATCH($A26,Rango_Admin_Clas_Primera,0)+1),"-")</f>
        <v>74</v>
      </c>
      <c r="F26" s="92" cm="1">
        <f t="array" aca="1" ref="F26" ca="1">IFERROR(INDEX(Rango_Admin_Clas_Total,F$2,MATCH($A26,Rango_Admin_Clas_Primera,0)+1),"-")</f>
        <v>56</v>
      </c>
      <c r="G26" s="92" cm="1">
        <f t="array" aca="1" ref="G26" ca="1">IFERROR(INDEX(Rango_Admin_Clas_Total,G$2,MATCH($A26,Rango_Admin_Clas_Primera,0)+1),"-")</f>
        <v>81</v>
      </c>
      <c r="H26" s="92" cm="1">
        <f t="array" aca="1" ref="H26" ca="1">IFERROR(INDEX(Rango_Admin_Clas_Total,H$2,MATCH($A26,Rango_Admin_Clas_Primera,0)+1),"-")</f>
        <v>1</v>
      </c>
      <c r="I26" s="92" cm="1">
        <f t="array" aca="1" ref="I26" ca="1">IFERROR(INDEX(Rango_Admin_Clas_Total,I$2,MATCH($A26,Rango_Admin_Clas_Primera,0)+1),"-")</f>
        <v>44</v>
      </c>
      <c r="J26" s="92" cm="1">
        <f t="array" aca="1" ref="J26" ca="1">IFERROR(INDEX(Rango_Admin_Clas_Total,J$2,MATCH($A26,Rango_Admin_Clas_Primera,0)+1),"-")</f>
        <v>1</v>
      </c>
      <c r="K26" s="92" cm="1">
        <f t="array" aca="1" ref="K26" ca="1">IFERROR(INDEX(Rango_Admin_Clas_Total,K$2,MATCH($A26,Rango_Admin_Clas_Primera,0)+1),"-")</f>
        <v>20</v>
      </c>
      <c r="L26" s="92" cm="1">
        <f t="array" aca="1" ref="L26" ca="1">IFERROR(INDEX(Rango_Admin_Clas_Total,L$2,MATCH($A26,Rango_Admin_Clas_Primera,0)+1),"-")</f>
        <v>1</v>
      </c>
      <c r="M26" s="92" cm="1">
        <f t="array" aca="1" ref="M26" ca="1">IFERROR(INDEX(Rango_Admin_Clas_Total,M$2,MATCH($A26,Rango_Admin_Clas_Primera,0)+1),"-")</f>
        <v>10</v>
      </c>
      <c r="N26" s="92" cm="1">
        <f t="array" aca="1" ref="N26" ca="1">IFERROR(INDEX(Rango_Admin_Clas_Total,N$2,MATCH($A26,Rango_Admin_Clas_Primera,0)+1),"-")</f>
        <v>4</v>
      </c>
      <c r="O26" s="92" cm="1">
        <f t="array" aca="1" ref="O26" ca="1">IFERROR(INDEX(Rango_Admin_Clas_Total,O$2,MATCH($A26,Rango_Admin_Clas_Primera,0)+1),"-")</f>
        <v>6</v>
      </c>
      <c r="P26" s="92" cm="1">
        <f t="array" aca="1" ref="P26" ca="1">IFERROR(INDEX(Rango_Admin_Clas_Total,P$2,MATCH($A26,Rango_Admin_Clas_Primera,0)+1),"-")</f>
        <v>7</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Nacho Novo</v>
      </c>
      <c r="D27" s="91">
        <f ca="1">IFERROR(HLOOKUP(A27,Rango_Admin_Clas,4,FALSE),"-")</f>
        <v>302</v>
      </c>
      <c r="E27" s="92" cm="1">
        <f t="array" aca="1" ref="E27" ca="1">IFERROR(INDEX(Rango_Admin_Clas_Total,E$2,MATCH($A27,Rango_Admin_Clas_Primera,0)+1),"-")</f>
        <v>65</v>
      </c>
      <c r="F27" s="92" cm="1">
        <f t="array" aca="1" ref="F27" ca="1">IFERROR(INDEX(Rango_Admin_Clas_Total,F$2,MATCH($A27,Rango_Admin_Clas_Primera,0)+1),"-")</f>
        <v>58</v>
      </c>
      <c r="G27" s="92" cm="1">
        <f t="array" aca="1" ref="G27" ca="1">IFERROR(INDEX(Rango_Admin_Clas_Total,G$2,MATCH($A27,Rango_Admin_Clas_Primera,0)+1),"-")</f>
        <v>81</v>
      </c>
      <c r="H27" s="92" cm="1">
        <f t="array" aca="1" ref="H27" ca="1">IFERROR(INDEX(Rango_Admin_Clas_Total,H$2,MATCH($A27,Rango_Admin_Clas_Primera,0)+1),"-")</f>
        <v>14</v>
      </c>
      <c r="I27" s="92" cm="1">
        <f t="array" aca="1" ref="I27" ca="1">IFERROR(INDEX(Rango_Admin_Clas_Total,I$2,MATCH($A27,Rango_Admin_Clas_Primera,0)+1),"-")</f>
        <v>40</v>
      </c>
      <c r="J27" s="92" cm="1">
        <f t="array" aca="1" ref="J27" ca="1">IFERROR(INDEX(Rango_Admin_Clas_Total,J$2,MATCH($A27,Rango_Admin_Clas_Primera,0)+1),"-")</f>
        <v>1</v>
      </c>
      <c r="K27" s="92" cm="1">
        <f t="array" aca="1" ref="K27" ca="1">IFERROR(INDEX(Rango_Admin_Clas_Total,K$2,MATCH($A27,Rango_Admin_Clas_Primera,0)+1),"-")</f>
        <v>20</v>
      </c>
      <c r="L27" s="92" cm="1">
        <f t="array" aca="1" ref="L27" ca="1">IFERROR(INDEX(Rango_Admin_Clas_Total,L$2,MATCH($A27,Rango_Admin_Clas_Primera,0)+1),"-")</f>
        <v>0</v>
      </c>
      <c r="M27" s="92" cm="1">
        <f t="array" aca="1" ref="M27" ca="1">IFERROR(INDEX(Rango_Admin_Clas_Total,M$2,MATCH($A27,Rango_Admin_Clas_Primera,0)+1),"-")</f>
        <v>10</v>
      </c>
      <c r="N27" s="92" cm="1">
        <f t="array" aca="1" ref="N27" ca="1">IFERROR(INDEX(Rango_Admin_Clas_Total,N$2,MATCH($A27,Rango_Admin_Clas_Primera,0)+1),"-")</f>
        <v>0</v>
      </c>
      <c r="O27" s="92" cm="1">
        <f t="array" aca="1" ref="O27" ca="1">IFERROR(INDEX(Rango_Admin_Clas_Total,O$2,MATCH($A27,Rango_Admin_Clas_Primera,0)+1),"-")</f>
        <v>6</v>
      </c>
      <c r="P27" s="92" cm="1">
        <f t="array" aca="1" ref="P27" ca="1">IFERROR(INDEX(Rango_Admin_Clas_Total,P$2,MATCH($A27,Rango_Admin_Clas_Primera,0)+1),"-")</f>
        <v>7</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BeliBeltrán</v>
      </c>
      <c r="D28" s="91">
        <f ca="1">IFERROR(HLOOKUP(A28,Rango_Admin_Clas,4,FALSE),"-")</f>
        <v>302</v>
      </c>
      <c r="E28" s="92" cm="1">
        <f t="array" aca="1" ref="E28" ca="1">IFERROR(INDEX(Rango_Admin_Clas_Total,E$2,MATCH($A28,Rango_Admin_Clas_Primera,0)+1),"-")</f>
        <v>58</v>
      </c>
      <c r="F28" s="92" cm="1">
        <f t="array" aca="1" ref="F28" ca="1">IFERROR(INDEX(Rango_Admin_Clas_Total,F$2,MATCH($A28,Rango_Admin_Clas_Primera,0)+1),"-")</f>
        <v>54</v>
      </c>
      <c r="G28" s="92" cm="1">
        <f t="array" aca="1" ref="G28" ca="1">IFERROR(INDEX(Rango_Admin_Clas_Total,G$2,MATCH($A28,Rango_Admin_Clas_Primera,0)+1),"-")</f>
        <v>72</v>
      </c>
      <c r="H28" s="92" cm="1">
        <f t="array" aca="1" ref="H28" ca="1">IFERROR(INDEX(Rango_Admin_Clas_Total,H$2,MATCH($A28,Rango_Admin_Clas_Primera,0)+1),"-")</f>
        <v>5</v>
      </c>
      <c r="I28" s="92" cm="1">
        <f t="array" aca="1" ref="I28" ca="1">IFERROR(INDEX(Rango_Admin_Clas_Total,I$2,MATCH($A28,Rango_Admin_Clas_Primera,0)+1),"-")</f>
        <v>48</v>
      </c>
      <c r="J28" s="92" cm="1">
        <f t="array" aca="1" ref="J28" ca="1">IFERROR(INDEX(Rango_Admin_Clas_Total,J$2,MATCH($A28,Rango_Admin_Clas_Primera,0)+1),"-")</f>
        <v>4</v>
      </c>
      <c r="K28" s="92" cm="1">
        <f t="array" aca="1" ref="K28" ca="1">IFERROR(INDEX(Rango_Admin_Clas_Total,K$2,MATCH($A28,Rango_Admin_Clas_Primera,0)+1),"-")</f>
        <v>35</v>
      </c>
      <c r="L28" s="92" cm="1">
        <f t="array" aca="1" ref="L28" ca="1">IFERROR(INDEX(Rango_Admin_Clas_Total,L$2,MATCH($A28,Rango_Admin_Clas_Primera,0)+1),"-")</f>
        <v>6</v>
      </c>
      <c r="M28" s="92" cm="1">
        <f t="array" aca="1" ref="M28" ca="1">IFERROR(INDEX(Rango_Admin_Clas_Total,M$2,MATCH($A28,Rango_Admin_Clas_Primera,0)+1),"-")</f>
        <v>20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Florentino Netanyahu</v>
      </c>
      <c r="D29" s="91">
        <f ca="1">IFERROR(HLOOKUP(A29,Rango_Admin_Clas,4,FALSE),"-")</f>
        <v>301</v>
      </c>
      <c r="E29" s="92" cm="1">
        <f t="array" aca="1" ref="E29" ca="1">IFERROR(INDEX(Rango_Admin_Clas_Total,E$2,MATCH($A29,Rango_Admin_Clas_Primera,0)+1),"-")</f>
        <v>67</v>
      </c>
      <c r="F29" s="92" cm="1">
        <f t="array" aca="1" ref="F29" ca="1">IFERROR(INDEX(Rango_Admin_Clas_Total,F$2,MATCH($A29,Rango_Admin_Clas_Primera,0)+1),"-")</f>
        <v>54</v>
      </c>
      <c r="G29" s="92" cm="1">
        <f t="array" aca="1" ref="G29" ca="1">IFERROR(INDEX(Rango_Admin_Clas_Total,G$2,MATCH($A29,Rango_Admin_Clas_Primera,0)+1),"-")</f>
        <v>75</v>
      </c>
      <c r="H29" s="92" cm="1">
        <f t="array" aca="1" ref="H29" ca="1">IFERROR(INDEX(Rango_Admin_Clas_Total,H$2,MATCH($A29,Rango_Admin_Clas_Primera,0)+1),"-")</f>
        <v>12</v>
      </c>
      <c r="I29" s="92" cm="1">
        <f t="array" aca="1" ref="I29" ca="1">IFERROR(INDEX(Rango_Admin_Clas_Total,I$2,MATCH($A29,Rango_Admin_Clas_Primera,0)+1),"-")</f>
        <v>44</v>
      </c>
      <c r="J29" s="92" cm="1">
        <f t="array" aca="1" ref="J29" ca="1">IFERROR(INDEX(Rango_Admin_Clas_Total,J$2,MATCH($A29,Rango_Admin_Clas_Primera,0)+1),"-")</f>
        <v>0</v>
      </c>
      <c r="K29" s="92" cm="1">
        <f t="array" aca="1" ref="K29" ca="1">IFERROR(INDEX(Rango_Admin_Clas_Total,K$2,MATCH($A29,Rango_Admin_Clas_Primera,0)+1),"-")</f>
        <v>20</v>
      </c>
      <c r="L29" s="92" cm="1">
        <f t="array" aca="1" ref="L29" ca="1">IFERROR(INDEX(Rango_Admin_Clas_Total,L$2,MATCH($A29,Rango_Admin_Clas_Primera,0)+1),"-")</f>
        <v>0</v>
      </c>
      <c r="M29" s="92" cm="1">
        <f t="array" aca="1" ref="M29" ca="1">IFERROR(INDEX(Rango_Admin_Clas_Total,M$2,MATCH($A29,Rango_Admin_Clas_Primera,0)+1),"-")</f>
        <v>15</v>
      </c>
      <c r="N29" s="92" cm="1">
        <f t="array" aca="1" ref="N29" ca="1">IFERROR(INDEX(Rango_Admin_Clas_Total,N$2,MATCH($A29,Rango_Admin_Clas_Primera,0)+1),"-")</f>
        <v>1</v>
      </c>
      <c r="O29" s="92" cm="1">
        <f t="array" aca="1" ref="O29" ca="1">IFERROR(INDEX(Rango_Admin_Clas_Total,O$2,MATCH($A29,Rango_Admin_Clas_Primera,0)+1),"-")</f>
        <v>6</v>
      </c>
      <c r="P29" s="92" cm="1">
        <f t="array" aca="1" ref="P29" ca="1">IFERROR(INDEX(Rango_Admin_Clas_Total,P$2,MATCH($A29,Rango_Admin_Clas_Primera,0)+1),"-")</f>
        <v>7</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Hulk Rexach</v>
      </c>
      <c r="D30" s="91">
        <f ca="1">IFERROR(HLOOKUP(A30,Rango_Admin_Clas,4,FALSE),"-")</f>
        <v>300</v>
      </c>
      <c r="E30" s="92" cm="1">
        <f t="array" aca="1" ref="E30" ca="1">IFERROR(INDEX(Rango_Admin_Clas_Total,E$2,MATCH($A30,Rango_Admin_Clas_Primera,0)+1),"-")</f>
        <v>66</v>
      </c>
      <c r="F30" s="92" cm="1">
        <f t="array" aca="1" ref="F30" ca="1">IFERROR(INDEX(Rango_Admin_Clas_Total,F$2,MATCH($A30,Rango_Admin_Clas_Primera,0)+1),"-")</f>
        <v>56</v>
      </c>
      <c r="G30" s="92" cm="1">
        <f t="array" aca="1" ref="G30" ca="1">IFERROR(INDEX(Rango_Admin_Clas_Total,G$2,MATCH($A30,Rango_Admin_Clas_Primera,0)+1),"-")</f>
        <v>78</v>
      </c>
      <c r="H30" s="92" cm="1">
        <f t="array" aca="1" ref="H30" ca="1">IFERROR(INDEX(Rango_Admin_Clas_Total,H$2,MATCH($A30,Rango_Admin_Clas_Primera,0)+1),"-")</f>
        <v>3</v>
      </c>
      <c r="I30" s="92" cm="1">
        <f t="array" aca="1" ref="I30" ca="1">IFERROR(INDEX(Rango_Admin_Clas_Total,I$2,MATCH($A30,Rango_Admin_Clas_Primera,0)+1),"-")</f>
        <v>44</v>
      </c>
      <c r="J30" s="92" cm="1">
        <f t="array" aca="1" ref="J30" ca="1">IFERROR(INDEX(Rango_Admin_Clas_Total,J$2,MATCH($A30,Rango_Admin_Clas_Primera,0)+1),"-")</f>
        <v>0</v>
      </c>
      <c r="K30" s="92" cm="1">
        <f t="array" aca="1" ref="K30" ca="1">IFERROR(INDEX(Rango_Admin_Clas_Total,K$2,MATCH($A30,Rango_Admin_Clas_Primera,0)+1),"-")</f>
        <v>25</v>
      </c>
      <c r="L30" s="92" cm="1">
        <f t="array" aca="1" ref="L30" ca="1">IFERROR(INDEX(Rango_Admin_Clas_Total,L$2,MATCH($A30,Rango_Admin_Clas_Primera,0)+1),"-")</f>
        <v>1</v>
      </c>
      <c r="M30" s="92" cm="1">
        <f t="array" aca="1" ref="M30" ca="1">IFERROR(INDEX(Rango_Admin_Clas_Total,M$2,MATCH($A30,Rango_Admin_Clas_Primera,0)+1),"-")</f>
        <v>10</v>
      </c>
      <c r="N30" s="92" cm="1">
        <f t="array" aca="1" ref="N30" ca="1">IFERROR(INDEX(Rango_Admin_Clas_Total,N$2,MATCH($A30,Rango_Admin_Clas_Primera,0)+1),"-")</f>
        <v>4</v>
      </c>
      <c r="O30" s="92" cm="1">
        <f t="array" aca="1" ref="O30" ca="1">IFERROR(INDEX(Rango_Admin_Clas_Total,O$2,MATCH($A30,Rango_Admin_Clas_Primera,0)+1),"-")</f>
        <v>6</v>
      </c>
      <c r="P30" s="92" cm="1">
        <f t="array" aca="1" ref="P30" ca="1">IFERROR(INDEX(Rango_Admin_Clas_Total,P$2,MATCH($A30,Rango_Admin_Clas_Primera,0)+1),"-")</f>
        <v>7</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AD Monchus</v>
      </c>
      <c r="D31" s="91">
        <f ca="1">IFERROR(HLOOKUP(A31,Rango_Admin_Clas,4,FALSE),"-")</f>
        <v>299</v>
      </c>
      <c r="E31" s="92" cm="1">
        <f t="array" aca="1" ref="E31" ca="1">IFERROR(INDEX(Rango_Admin_Clas_Total,E$2,MATCH($A31,Rango_Admin_Clas_Primera,0)+1),"-")</f>
        <v>67</v>
      </c>
      <c r="F31" s="92" cm="1">
        <f t="array" aca="1" ref="F31" ca="1">IFERROR(INDEX(Rango_Admin_Clas_Total,F$2,MATCH($A31,Rango_Admin_Clas_Primera,0)+1),"-")</f>
        <v>64</v>
      </c>
      <c r="G31" s="92" cm="1">
        <f t="array" aca="1" ref="G31" ca="1">IFERROR(INDEX(Rango_Admin_Clas_Total,G$2,MATCH($A31,Rango_Admin_Clas_Primera,0)+1),"-")</f>
        <v>78</v>
      </c>
      <c r="H31" s="92" cm="1">
        <f t="array" aca="1" ref="H31" ca="1">IFERROR(INDEX(Rango_Admin_Clas_Total,H$2,MATCH($A31,Rango_Admin_Clas_Primera,0)+1),"-")</f>
        <v>4</v>
      </c>
      <c r="I31" s="92" cm="1">
        <f t="array" aca="1" ref="I31" ca="1">IFERROR(INDEX(Rango_Admin_Clas_Total,I$2,MATCH($A31,Rango_Admin_Clas_Primera,0)+1),"-")</f>
        <v>48</v>
      </c>
      <c r="J31" s="92" cm="1">
        <f t="array" aca="1" ref="J31" ca="1">IFERROR(INDEX(Rango_Admin_Clas_Total,J$2,MATCH($A31,Rango_Admin_Clas_Primera,0)+1),"-")</f>
        <v>0</v>
      </c>
      <c r="K31" s="92" cm="1">
        <f t="array" aca="1" ref="K31" ca="1">IFERROR(INDEX(Rango_Admin_Clas_Total,K$2,MATCH($A31,Rango_Admin_Clas_Primera,0)+1),"-")</f>
        <v>15</v>
      </c>
      <c r="L31" s="92" cm="1">
        <f t="array" aca="1" ref="L31" ca="1">IFERROR(INDEX(Rango_Admin_Clas_Total,L$2,MATCH($A31,Rango_Admin_Clas_Primera,0)+1),"-")</f>
        <v>0</v>
      </c>
      <c r="M31" s="92" cm="1">
        <f t="array" aca="1" ref="M31" ca="1">IFERROR(INDEX(Rango_Admin_Clas_Total,M$2,MATCH($A31,Rango_Admin_Clas_Primera,0)+1),"-")</f>
        <v>10</v>
      </c>
      <c r="N31" s="92" cm="1">
        <f t="array" aca="1" ref="N31" ca="1">IFERROR(INDEX(Rango_Admin_Clas_Total,N$2,MATCH($A31,Rango_Admin_Clas_Primera,0)+1),"-")</f>
        <v>0</v>
      </c>
      <c r="O31" s="92" cm="1">
        <f t="array" aca="1" ref="O31" ca="1">IFERROR(INDEX(Rango_Admin_Clas_Total,O$2,MATCH($A31,Rango_Admin_Clas_Primera,0)+1),"-")</f>
        <v>6</v>
      </c>
      <c r="P31" s="92" cm="1">
        <f t="array" aca="1" ref="P31" ca="1">IFERROR(INDEX(Rango_Admin_Clas_Total,P$2,MATCH($A31,Rango_Admin_Clas_Primera,0)+1),"-")</f>
        <v>7</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Guillermo Murciano</v>
      </c>
      <c r="D32" s="91">
        <f ca="1">IFERROR(HLOOKUP(A32,Rango_Admin_Clas,4,FALSE),"-")</f>
        <v>296</v>
      </c>
      <c r="E32" s="92" cm="1">
        <f t="array" aca="1" ref="E32" ca="1">IFERROR(INDEX(Rango_Admin_Clas_Total,E$2,MATCH($A32,Rango_Admin_Clas_Primera,0)+1),"-")</f>
        <v>64</v>
      </c>
      <c r="F32" s="92" cm="1">
        <f t="array" aca="1" ref="F32" ca="1">IFERROR(INDEX(Rango_Admin_Clas_Total,F$2,MATCH($A32,Rango_Admin_Clas_Primera,0)+1),"-")</f>
        <v>64</v>
      </c>
      <c r="G32" s="92" cm="1">
        <f t="array" aca="1" ref="G32" ca="1">IFERROR(INDEX(Rango_Admin_Clas_Total,G$2,MATCH($A32,Rango_Admin_Clas_Primera,0)+1),"-")</f>
        <v>78</v>
      </c>
      <c r="H32" s="92" cm="1">
        <f t="array" aca="1" ref="H32" ca="1">IFERROR(INDEX(Rango_Admin_Clas_Total,H$2,MATCH($A32,Rango_Admin_Clas_Primera,0)+1),"-")</f>
        <v>6</v>
      </c>
      <c r="I32" s="92" cm="1">
        <f t="array" aca="1" ref="I32" ca="1">IFERROR(INDEX(Rango_Admin_Clas_Total,I$2,MATCH($A32,Rango_Admin_Clas_Primera,0)+1),"-")</f>
        <v>40</v>
      </c>
      <c r="J32" s="92" cm="1">
        <f t="array" aca="1" ref="J32" ca="1">IFERROR(INDEX(Rango_Admin_Clas_Total,J$2,MATCH($A32,Rango_Admin_Clas_Primera,0)+1),"-")</f>
        <v>1</v>
      </c>
      <c r="K32" s="92" cm="1">
        <f t="array" aca="1" ref="K32" ca="1">IFERROR(INDEX(Rango_Admin_Clas_Total,K$2,MATCH($A32,Rango_Admin_Clas_Primera,0)+1),"-")</f>
        <v>20</v>
      </c>
      <c r="L32" s="92" cm="1">
        <f t="array" aca="1" ref="L32" ca="1">IFERROR(INDEX(Rango_Admin_Clas_Total,L$2,MATCH($A32,Rango_Admin_Clas_Primera,0)+1),"-")</f>
        <v>0</v>
      </c>
      <c r="M32" s="92" cm="1">
        <f t="array" aca="1" ref="M32" ca="1">IFERROR(INDEX(Rango_Admin_Clas_Total,M$2,MATCH($A32,Rango_Admin_Clas_Primera,0)+1),"-")</f>
        <v>10</v>
      </c>
      <c r="N32" s="92" cm="1">
        <f t="array" aca="1" ref="N32" ca="1">IFERROR(INDEX(Rango_Admin_Clas_Total,N$2,MATCH($A32,Rango_Admin_Clas_Primera,0)+1),"-")</f>
        <v>0</v>
      </c>
      <c r="O32" s="92" cm="1">
        <f t="array" aca="1" ref="O32" ca="1">IFERROR(INDEX(Rango_Admin_Clas_Total,O$2,MATCH($A32,Rango_Admin_Clas_Primera,0)+1),"-")</f>
        <v>6</v>
      </c>
      <c r="P32" s="92" cm="1">
        <f t="array" aca="1" ref="P32" ca="1">IFERROR(INDEX(Rango_Admin_Clas_Total,P$2,MATCH($A32,Rango_Admin_Clas_Primera,0)+1),"-")</f>
        <v>7</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Admin</v>
      </c>
      <c r="D33" s="91">
        <f ca="1">IFERROR(HLOOKUP(A33,Rango_Admin_Clas,4,FALSE),"-")</f>
        <v>295</v>
      </c>
      <c r="E33" s="92" cm="1">
        <f t="array" aca="1" ref="E33" ca="1">IFERROR(INDEX(Rango_Admin_Clas_Total,E$2,MATCH($A33,Rango_Admin_Clas_Primera,0)+1),"-")</f>
        <v>63</v>
      </c>
      <c r="F33" s="92" cm="1">
        <f t="array" aca="1" ref="F33" ca="1">IFERROR(INDEX(Rango_Admin_Clas_Total,F$2,MATCH($A33,Rango_Admin_Clas_Primera,0)+1),"-")</f>
        <v>62</v>
      </c>
      <c r="G33" s="92" cm="1">
        <f t="array" aca="1" ref="G33" ca="1">IFERROR(INDEX(Rango_Admin_Clas_Total,G$2,MATCH($A33,Rango_Admin_Clas_Primera,0)+1),"-")</f>
        <v>78</v>
      </c>
      <c r="H33" s="92" cm="1">
        <f t="array" aca="1" ref="H33" ca="1">IFERROR(INDEX(Rango_Admin_Clas_Total,H$2,MATCH($A33,Rango_Admin_Clas_Primera,0)+1),"-")</f>
        <v>8</v>
      </c>
      <c r="I33" s="92" cm="1">
        <f t="array" aca="1" ref="I33" ca="1">IFERROR(INDEX(Rango_Admin_Clas_Total,I$2,MATCH($A33,Rango_Admin_Clas_Primera,0)+1),"-")</f>
        <v>44</v>
      </c>
      <c r="J33" s="92" cm="1">
        <f t="array" aca="1" ref="J33" ca="1">IFERROR(INDEX(Rango_Admin_Clas_Total,J$2,MATCH($A33,Rango_Admin_Clas_Primera,0)+1),"-")</f>
        <v>5</v>
      </c>
      <c r="K33" s="92" cm="1">
        <f t="array" aca="1" ref="K33" ca="1">IFERROR(INDEX(Rango_Admin_Clas_Total,K$2,MATCH($A33,Rango_Admin_Clas_Primera,0)+1),"-")</f>
        <v>20</v>
      </c>
      <c r="L33" s="92" cm="1">
        <f t="array" aca="1" ref="L33" ca="1">IFERROR(INDEX(Rango_Admin_Clas_Total,L$2,MATCH($A33,Rango_Admin_Clas_Primera,0)+1),"-")</f>
        <v>0</v>
      </c>
      <c r="M33" s="92" cm="1">
        <f t="array" aca="1" ref="M33" ca="1">IFERROR(INDEX(Rango_Admin_Clas_Total,M$2,MATCH($A33,Rango_Admin_Clas_Primera,0)+1),"-")</f>
        <v>15</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YTD</v>
      </c>
      <c r="D34" s="91">
        <f ca="1">IFERROR(HLOOKUP(A34,Rango_Admin_Clas,4,FALSE),"-")</f>
        <v>295</v>
      </c>
      <c r="E34" s="92" cm="1">
        <f t="array" aca="1" ref="E34" ca="1">IFERROR(INDEX(Rango_Admin_Clas_Total,E$2,MATCH($A34,Rango_Admin_Clas_Primera,0)+1),"-")</f>
        <v>65</v>
      </c>
      <c r="F34" s="92" cm="1">
        <f t="array" aca="1" ref="F34" ca="1">IFERROR(INDEX(Rango_Admin_Clas_Total,F$2,MATCH($A34,Rango_Admin_Clas_Primera,0)+1),"-")</f>
        <v>58</v>
      </c>
      <c r="G34" s="92" cm="1">
        <f t="array" aca="1" ref="G34" ca="1">IFERROR(INDEX(Rango_Admin_Clas_Total,G$2,MATCH($A34,Rango_Admin_Clas_Primera,0)+1),"-")</f>
        <v>75</v>
      </c>
      <c r="H34" s="92" cm="1">
        <f t="array" aca="1" ref="H34" ca="1">IFERROR(INDEX(Rango_Admin_Clas_Total,H$2,MATCH($A34,Rango_Admin_Clas_Primera,0)+1),"-")</f>
        <v>4</v>
      </c>
      <c r="I34" s="92" cm="1">
        <f t="array" aca="1" ref="I34" ca="1">IFERROR(INDEX(Rango_Admin_Clas_Total,I$2,MATCH($A34,Rango_Admin_Clas_Primera,0)+1),"-")</f>
        <v>44</v>
      </c>
      <c r="J34" s="92" cm="1">
        <f t="array" aca="1" ref="J34" ca="1">IFERROR(INDEX(Rango_Admin_Clas_Total,J$2,MATCH($A34,Rango_Admin_Clas_Primera,0)+1),"-")</f>
        <v>1</v>
      </c>
      <c r="K34" s="92" cm="1">
        <f t="array" aca="1" ref="K34" ca="1">IFERROR(INDEX(Rango_Admin_Clas_Total,K$2,MATCH($A34,Rango_Admin_Clas_Primera,0)+1),"-")</f>
        <v>25</v>
      </c>
      <c r="L34" s="92" cm="1">
        <f t="array" aca="1" ref="L34" ca="1">IFERROR(INDEX(Rango_Admin_Clas_Total,L$2,MATCH($A34,Rango_Admin_Clas_Primera,0)+1),"-")</f>
        <v>0</v>
      </c>
      <c r="M34" s="92" cm="1">
        <f t="array" aca="1" ref="M34" ca="1">IFERROR(INDEX(Rango_Admin_Clas_Total,M$2,MATCH($A34,Rango_Admin_Clas_Primera,0)+1),"-")</f>
        <v>10</v>
      </c>
      <c r="N34" s="92" cm="1">
        <f t="array" aca="1" ref="N34" ca="1">IFERROR(INDEX(Rango_Admin_Clas_Total,N$2,MATCH($A34,Rango_Admin_Clas_Primera,0)+1),"-")</f>
        <v>0</v>
      </c>
      <c r="O34" s="92" cm="1">
        <f t="array" aca="1" ref="O34" ca="1">IFERROR(INDEX(Rango_Admin_Clas_Total,O$2,MATCH($A34,Rango_Admin_Clas_Primera,0)+1),"-")</f>
        <v>6</v>
      </c>
      <c r="P34" s="92" cm="1">
        <f t="array" aca="1" ref="P34" ca="1">IFERROR(INDEX(Rango_Admin_Clas_Total,P$2,MATCH($A34,Rango_Admin_Clas_Primera,0)+1),"-")</f>
        <v>7</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29</v>
      </c>
      <c r="C35" s="18" t="str">
        <f ca="1">IFERROR(HLOOKUP(A35,Rango_Admin_Clas,5,FALSE),"-")</f>
        <v>Miguel Suárez-Zuloaga</v>
      </c>
      <c r="D35" s="91">
        <f ca="1">IFERROR(HLOOKUP(A35,Rango_Admin_Clas,4,FALSE),"-")</f>
        <v>295</v>
      </c>
      <c r="E35" s="92" cm="1">
        <f t="array" aca="1" ref="E35" ca="1">IFERROR(INDEX(Rango_Admin_Clas_Total,E$2,MATCH($A35,Rango_Admin_Clas_Primera,0)+1),"-")</f>
        <v>78</v>
      </c>
      <c r="F35" s="92" cm="1">
        <f t="array" aca="1" ref="F35" ca="1">IFERROR(INDEX(Rango_Admin_Clas_Total,F$2,MATCH($A35,Rango_Admin_Clas_Primera,0)+1),"-")</f>
        <v>56</v>
      </c>
      <c r="G35" s="92" cm="1">
        <f t="array" aca="1" ref="G35" ca="1">IFERROR(INDEX(Rango_Admin_Clas_Total,G$2,MATCH($A35,Rango_Admin_Clas_Primera,0)+1),"-")</f>
        <v>78</v>
      </c>
      <c r="H35" s="92" cm="1">
        <f t="array" aca="1" ref="H35" ca="1">IFERROR(INDEX(Rango_Admin_Clas_Total,H$2,MATCH($A35,Rango_Admin_Clas_Primera,0)+1),"-")</f>
        <v>9</v>
      </c>
      <c r="I35" s="92" cm="1">
        <f t="array" aca="1" ref="I35" ca="1">IFERROR(INDEX(Rango_Admin_Clas_Total,I$2,MATCH($A35,Rango_Admin_Clas_Primera,0)+1),"-")</f>
        <v>44</v>
      </c>
      <c r="J35" s="92" cm="1">
        <f t="array" aca="1" ref="J35" ca="1">IFERROR(INDEX(Rango_Admin_Clas_Total,J$2,MATCH($A35,Rango_Admin_Clas_Primera,0)+1),"-")</f>
        <v>0</v>
      </c>
      <c r="K35" s="92" cm="1">
        <f t="array" aca="1" ref="K35" ca="1">IFERROR(INDEX(Rango_Admin_Clas_Total,K$2,MATCH($A35,Rango_Admin_Clas_Primera,0)+1),"-")</f>
        <v>20</v>
      </c>
      <c r="L35" s="92" cm="1">
        <f t="array" aca="1" ref="L35" ca="1">IFERROR(INDEX(Rango_Admin_Clas_Total,L$2,MATCH($A35,Rango_Admin_Clas_Primera,0)+1),"-")</f>
        <v>0</v>
      </c>
      <c r="M35" s="92" cm="1">
        <f t="array" aca="1" ref="M35" ca="1">IFERROR(INDEX(Rango_Admin_Clas_Total,M$2,MATCH($A35,Rango_Admin_Clas_Primera,0)+1),"-")</f>
        <v>10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DIDI</v>
      </c>
      <c r="D36" s="91">
        <f ca="1">IFERROR(HLOOKUP(A36,Rango_Admin_Clas,4,FALSE),"-")</f>
        <v>291</v>
      </c>
      <c r="E36" s="92" cm="1">
        <f t="array" aca="1" ref="E36" ca="1">IFERROR(INDEX(Rango_Admin_Clas_Total,E$2,MATCH($A36,Rango_Admin_Clas_Primera,0)+1),"-")</f>
        <v>67</v>
      </c>
      <c r="F36" s="92" cm="1">
        <f t="array" aca="1" ref="F36" ca="1">IFERROR(INDEX(Rango_Admin_Clas_Total,F$2,MATCH($A36,Rango_Admin_Clas_Primera,0)+1),"-")</f>
        <v>58</v>
      </c>
      <c r="G36" s="92" cm="1">
        <f t="array" aca="1" ref="G36" ca="1">IFERROR(INDEX(Rango_Admin_Clas_Total,G$2,MATCH($A36,Rango_Admin_Clas_Primera,0)+1),"-")</f>
        <v>78</v>
      </c>
      <c r="H36" s="92" cm="1">
        <f t="array" aca="1" ref="H36" ca="1">IFERROR(INDEX(Rango_Admin_Clas_Total,H$2,MATCH($A36,Rango_Admin_Clas_Primera,0)+1),"-")</f>
        <v>6</v>
      </c>
      <c r="I36" s="92" cm="1">
        <f t="array" aca="1" ref="I36" ca="1">IFERROR(INDEX(Rango_Admin_Clas_Total,I$2,MATCH($A36,Rango_Admin_Clas_Primera,0)+1),"-")</f>
        <v>48</v>
      </c>
      <c r="J36" s="92" cm="1">
        <f t="array" aca="1" ref="J36" ca="1">IFERROR(INDEX(Rango_Admin_Clas_Total,J$2,MATCH($A36,Rango_Admin_Clas_Primera,0)+1),"-")</f>
        <v>0</v>
      </c>
      <c r="K36" s="92" cm="1">
        <f t="array" aca="1" ref="K36" ca="1">IFERROR(INDEX(Rango_Admin_Clas_Total,K$2,MATCH($A36,Rango_Admin_Clas_Primera,0)+1),"-")</f>
        <v>10</v>
      </c>
      <c r="L36" s="92" cm="1">
        <f t="array" aca="1" ref="L36" ca="1">IFERROR(INDEX(Rango_Admin_Clas_Total,L$2,MATCH($A36,Rango_Admin_Clas_Primera,0)+1),"-")</f>
        <v>0</v>
      </c>
      <c r="M36" s="92" cm="1">
        <f t="array" aca="1" ref="M36" ca="1">IFERROR(INDEX(Rango_Admin_Clas_Total,M$2,MATCH($A36,Rango_Admin_Clas_Primera,0)+1),"-")</f>
        <v>10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14</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Chente Muñoz</v>
      </c>
      <c r="D37" s="91">
        <f ca="1">IFERROR(HLOOKUP(A37,Rango_Admin_Clas,4,FALSE),"-")</f>
        <v>283</v>
      </c>
      <c r="E37" s="92" cm="1">
        <f t="array" aca="1" ref="E37" ca="1">IFERROR(INDEX(Rango_Admin_Clas_Total,E$2,MATCH($A37,Rango_Admin_Clas_Primera,0)+1),"-")</f>
        <v>60</v>
      </c>
      <c r="F37" s="92" cm="1">
        <f t="array" aca="1" ref="F37" ca="1">IFERROR(INDEX(Rango_Admin_Clas_Total,F$2,MATCH($A37,Rango_Admin_Clas_Primera,0)+1),"-")</f>
        <v>66</v>
      </c>
      <c r="G37" s="92" cm="1">
        <f t="array" aca="1" ref="G37" ca="1">IFERROR(INDEX(Rango_Admin_Clas_Total,G$2,MATCH($A37,Rango_Admin_Clas_Primera,0)+1),"-")</f>
        <v>81</v>
      </c>
      <c r="H37" s="92" cm="1">
        <f t="array" aca="1" ref="H37" ca="1">IFERROR(INDEX(Rango_Admin_Clas_Total,H$2,MATCH($A37,Rango_Admin_Clas_Primera,0)+1),"-")</f>
        <v>4</v>
      </c>
      <c r="I37" s="92" cm="1">
        <f t="array" aca="1" ref="I37" ca="1">IFERROR(INDEX(Rango_Admin_Clas_Total,I$2,MATCH($A37,Rango_Admin_Clas_Primera,0)+1),"-")</f>
        <v>36</v>
      </c>
      <c r="J37" s="92" cm="1">
        <f t="array" aca="1" ref="J37" ca="1">IFERROR(INDEX(Rango_Admin_Clas_Total,J$2,MATCH($A37,Rango_Admin_Clas_Primera,0)+1),"-")</f>
        <v>0</v>
      </c>
      <c r="K37" s="92" cm="1">
        <f t="array" aca="1" ref="K37" ca="1">IFERROR(INDEX(Rango_Admin_Clas_Total,K$2,MATCH($A37,Rango_Admin_Clas_Primera,0)+1),"-")</f>
        <v>15</v>
      </c>
      <c r="L37" s="92" cm="1">
        <f t="array" aca="1" ref="L37" ca="1">IFERROR(INDEX(Rango_Admin_Clas_Total,L$2,MATCH($A37,Rango_Admin_Clas_Primera,0)+1),"-")</f>
        <v>0</v>
      </c>
      <c r="M37" s="92" cm="1">
        <f t="array" aca="1" ref="M37" ca="1">IFERROR(INDEX(Rango_Admin_Clas_Total,M$2,MATCH($A37,Rango_Admin_Clas_Primera,0)+1),"-")</f>
        <v>15</v>
      </c>
      <c r="N37" s="92" cm="1">
        <f t="array" aca="1" ref="N37" ca="1">IFERROR(INDEX(Rango_Admin_Clas_Total,N$2,MATCH($A37,Rango_Admin_Clas_Primera,0)+1),"-")</f>
        <v>0</v>
      </c>
      <c r="O37" s="92" cm="1">
        <f t="array" aca="1" ref="O37" ca="1">IFERROR(INDEX(Rango_Admin_Clas_Total,O$2,MATCH($A37,Rango_Admin_Clas_Primera,0)+1),"-")</f>
        <v>6</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Fercho Muro Matosex</v>
      </c>
      <c r="D38" s="91">
        <f ca="1">IFERROR(HLOOKUP(A38,Rango_Admin_Clas,4,FALSE),"-")</f>
        <v>275</v>
      </c>
      <c r="E38" s="92" cm="1">
        <f t="array" aca="1" ref="E38" ca="1">IFERROR(INDEX(Rango_Admin_Clas_Total,E$2,MATCH($A38,Rango_Admin_Clas_Primera,0)+1),"-")</f>
        <v>62</v>
      </c>
      <c r="F38" s="92" cm="1">
        <f t="array" aca="1" ref="F38" ca="1">IFERROR(INDEX(Rango_Admin_Clas_Total,F$2,MATCH($A38,Rango_Admin_Clas_Primera,0)+1),"-")</f>
        <v>56</v>
      </c>
      <c r="G38" s="92" cm="1">
        <f t="array" aca="1" ref="G38" ca="1">IFERROR(INDEX(Rango_Admin_Clas_Total,G$2,MATCH($A38,Rango_Admin_Clas_Primera,0)+1),"-")</f>
        <v>84</v>
      </c>
      <c r="H38" s="92" cm="1">
        <f t="array" aca="1" ref="H38" ca="1">IFERROR(INDEX(Rango_Admin_Clas_Total,H$2,MATCH($A38,Rango_Admin_Clas_Primera,0)+1),"-")</f>
        <v>11</v>
      </c>
      <c r="I38" s="92" cm="1">
        <f t="array" aca="1" ref="I38" ca="1">IFERROR(INDEX(Rango_Admin_Clas_Total,I$2,MATCH($A38,Rango_Admin_Clas_Primera,0)+1),"-")</f>
        <v>32</v>
      </c>
      <c r="J38" s="92" cm="1">
        <f t="array" aca="1" ref="J38" ca="1">IFERROR(INDEX(Rango_Admin_Clas_Total,J$2,MATCH($A38,Rango_Admin_Clas_Primera,0)+1),"-")</f>
        <v>0</v>
      </c>
      <c r="K38" s="92" cm="1">
        <f t="array" aca="1" ref="K38" ca="1">IFERROR(INDEX(Rango_Admin_Clas_Total,K$2,MATCH($A38,Rango_Admin_Clas_Primera,0)+1),"-")</f>
        <v>20</v>
      </c>
      <c r="L38" s="92" cm="1">
        <f t="array" aca="1" ref="L38" ca="1">IFERROR(INDEX(Rango_Admin_Clas_Total,L$2,MATCH($A38,Rango_Admin_Clas_Primera,0)+1),"-")</f>
        <v>0</v>
      </c>
      <c r="M38" s="92" cm="1">
        <f t="array" aca="1" ref="M38" ca="1">IFERROR(INDEX(Rango_Admin_Clas_Total,M$2,MATCH($A38,Rango_Admin_Clas_Primera,0)+1),"-")</f>
        <v>10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Gratacós</v>
      </c>
      <c r="D39" s="91">
        <f ca="1">IFERROR(HLOOKUP(A39,Rango_Admin_Clas,4,FALSE),"-")</f>
        <v>273</v>
      </c>
      <c r="E39" s="92" cm="1">
        <f t="array" aca="1" ref="E39" ca="1">IFERROR(INDEX(Rango_Admin_Clas_Total,E$2,MATCH($A39,Rango_Admin_Clas_Primera,0)+1),"-")</f>
        <v>79</v>
      </c>
      <c r="F39" s="92" cm="1">
        <f t="array" aca="1" ref="F39" ca="1">IFERROR(INDEX(Rango_Admin_Clas_Total,F$2,MATCH($A39,Rango_Admin_Clas_Primera,0)+1),"-")</f>
        <v>48</v>
      </c>
      <c r="G39" s="92" cm="1">
        <f t="array" aca="1" ref="G39" ca="1">IFERROR(INDEX(Rango_Admin_Clas_Total,G$2,MATCH($A39,Rango_Admin_Clas_Primera,0)+1),"-")</f>
        <v>75</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0</v>
      </c>
      <c r="K39" s="92" cm="1">
        <f t="array" aca="1" ref="K39" ca="1">IFERROR(INDEX(Rango_Admin_Clas_Total,K$2,MATCH($A39,Rango_Admin_Clas_Primera,0)+1),"-")</f>
        <v>15</v>
      </c>
      <c r="L39" s="92" cm="1">
        <f t="array" aca="1" ref="L39" ca="1">IFERROR(INDEX(Rango_Admin_Clas_Total,L$2,MATCH($A39,Rango_Admin_Clas_Primera,0)+1),"-")</f>
        <v>0</v>
      </c>
      <c r="M39" s="92" cm="1">
        <f t="array" aca="1" ref="M39" ca="1">IFERROR(INDEX(Rango_Admin_Clas_Total,M$2,MATCH($A39,Rango_Admin_Clas_Primera,0)+1),"-")</f>
        <v>10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 xml:space="preserve">Martín Matoses </v>
      </c>
      <c r="D40" s="91">
        <f ca="1">IFERROR(HLOOKUP(A40,Rango_Admin_Clas,4,FALSE),"-")</f>
        <v>273</v>
      </c>
      <c r="E40" s="92" cm="1">
        <f t="array" aca="1" ref="E40" ca="1">IFERROR(INDEX(Rango_Admin_Clas_Total,E$2,MATCH($A40,Rango_Admin_Clas_Primera,0)+1),"-")</f>
        <v>68</v>
      </c>
      <c r="F40" s="92" cm="1">
        <f t="array" aca="1" ref="F40" ca="1">IFERROR(INDEX(Rango_Admin_Clas_Total,F$2,MATCH($A40,Rango_Admin_Clas_Primera,0)+1),"-")</f>
        <v>44</v>
      </c>
      <c r="G40" s="92" cm="1">
        <f t="array" aca="1" ref="G40" ca="1">IFERROR(INDEX(Rango_Admin_Clas_Total,G$2,MATCH($A40,Rango_Admin_Clas_Primera,0)+1),"-")</f>
        <v>84</v>
      </c>
      <c r="H40" s="92" cm="1">
        <f t="array" aca="1" ref="H40" ca="1">IFERROR(INDEX(Rango_Admin_Clas_Total,H$2,MATCH($A40,Rango_Admin_Clas_Primera,0)+1),"-")</f>
        <v>2</v>
      </c>
      <c r="I40" s="92" cm="1">
        <f t="array" aca="1" ref="I40" ca="1">IFERROR(INDEX(Rango_Admin_Clas_Total,I$2,MATCH($A40,Rango_Admin_Clas_Primera,0)+1),"-")</f>
        <v>44</v>
      </c>
      <c r="J40" s="92" cm="1">
        <f t="array" aca="1" ref="J40" ca="1">IFERROR(INDEX(Rango_Admin_Clas_Total,J$2,MATCH($A40,Rango_Admin_Clas_Primera,0)+1),"-")</f>
        <v>3</v>
      </c>
      <c r="K40" s="92" cm="1">
        <f t="array" aca="1" ref="K40" ca="1">IFERROR(INDEX(Rango_Admin_Clas_Total,K$2,MATCH($A40,Rango_Admin_Clas_Primera,0)+1),"-")</f>
        <v>15</v>
      </c>
      <c r="L40" s="92" cm="1">
        <f t="array" aca="1" ref="L40" ca="1">IFERROR(INDEX(Rango_Admin_Clas_Total,L$2,MATCH($A40,Rango_Admin_Clas_Primera,0)+1),"-")</f>
        <v>1</v>
      </c>
      <c r="M40" s="92" cm="1">
        <f t="array" aca="1" ref="M40" ca="1">IFERROR(INDEX(Rango_Admin_Clas_Total,M$2,MATCH($A40,Rango_Admin_Clas_Primera,0)+1),"-")</f>
        <v>5</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7</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35</v>
      </c>
      <c r="C41" s="18" t="str">
        <f ca="1">IFERROR(HLOOKUP(A41,Rango_Admin_Clas,5,FALSE),"-")</f>
        <v>Ricardo Soto</v>
      </c>
      <c r="D41" s="91">
        <f ca="1">IFERROR(HLOOKUP(A41,Rango_Admin_Clas,4,FALSE),"-")</f>
        <v>273</v>
      </c>
      <c r="E41" s="92" cm="1">
        <f t="array" aca="1" ref="E41" ca="1">IFERROR(INDEX(Rango_Admin_Clas_Total,E$2,MATCH($A41,Rango_Admin_Clas_Primera,0)+1),"-")</f>
        <v>71</v>
      </c>
      <c r="F41" s="92" cm="1">
        <f t="array" aca="1" ref="F41" ca="1">IFERROR(INDEX(Rango_Admin_Clas_Total,F$2,MATCH($A41,Rango_Admin_Clas_Primera,0)+1),"-")</f>
        <v>52</v>
      </c>
      <c r="G41" s="92" cm="1">
        <f t="array" aca="1" ref="G41" ca="1">IFERROR(INDEX(Rango_Admin_Clas_Total,G$2,MATCH($A41,Rango_Admin_Clas_Primera,0)+1),"-")</f>
        <v>78</v>
      </c>
      <c r="H41" s="92" cm="1">
        <f t="array" aca="1" ref="H41" ca="1">IFERROR(INDEX(Rango_Admin_Clas_Total,H$2,MATCH($A41,Rango_Admin_Clas_Primera,0)+1),"-")</f>
        <v>3</v>
      </c>
      <c r="I41" s="92" cm="1">
        <f t="array" aca="1" ref="I41" ca="1">IFERROR(INDEX(Rango_Admin_Clas_Total,I$2,MATCH($A41,Rango_Admin_Clas_Primera,0)+1),"-")</f>
        <v>40</v>
      </c>
      <c r="J41" s="92" cm="1">
        <f t="array" aca="1" ref="J41" ca="1">IFERROR(INDEX(Rango_Admin_Clas_Total,J$2,MATCH($A41,Rango_Admin_Clas_Primera,0)+1),"-")</f>
        <v>2</v>
      </c>
      <c r="K41" s="92" cm="1">
        <f t="array" aca="1" ref="K41" ca="1">IFERROR(INDEX(Rango_Admin_Clas_Total,K$2,MATCH($A41,Rango_Admin_Clas_Primera,0)+1),"-")</f>
        <v>10</v>
      </c>
      <c r="L41" s="92" cm="1">
        <f t="array" aca="1" ref="L41" ca="1">IFERROR(INDEX(Rango_Admin_Clas_Total,L$2,MATCH($A41,Rango_Admin_Clas_Primera,0)+1),"-")</f>
        <v>0</v>
      </c>
      <c r="M41" s="92" cm="1">
        <f t="array" aca="1" ref="M41" ca="1">IFERROR(INDEX(Rango_Admin_Clas_Total,M$2,MATCH($A41,Rango_Admin_Clas_Primera,0)+1),"-")</f>
        <v>10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7</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bau</v>
      </c>
      <c r="D42" s="91">
        <f ca="1">IFERROR(HLOOKUP(A42,Rango_Admin_Clas,4,FALSE),"-")</f>
        <v>272</v>
      </c>
      <c r="E42" s="92" cm="1">
        <f t="array" aca="1" ref="E42" ca="1">IFERROR(INDEX(Rango_Admin_Clas_Total,E$2,MATCH($A42,Rango_Admin_Clas_Primera,0)+1),"-")</f>
        <v>69</v>
      </c>
      <c r="F42" s="92" cm="1">
        <f t="array" aca="1" ref="F42" ca="1">IFERROR(INDEX(Rango_Admin_Clas_Total,F$2,MATCH($A42,Rango_Admin_Clas_Primera,0)+1),"-")</f>
        <v>50</v>
      </c>
      <c r="G42" s="92" cm="1">
        <f t="array" aca="1" ref="G42" ca="1">IFERROR(INDEX(Rango_Admin_Clas_Total,G$2,MATCH($A42,Rango_Admin_Clas_Primera,0)+1),"-")</f>
        <v>78</v>
      </c>
      <c r="H42" s="92" cm="1">
        <f t="array" aca="1" ref="H42" ca="1">IFERROR(INDEX(Rango_Admin_Clas_Total,H$2,MATCH($A42,Rango_Admin_Clas_Primera,0)+1),"-")</f>
        <v>2</v>
      </c>
      <c r="I42" s="92" cm="1">
        <f t="array" aca="1" ref="I42" ca="1">IFERROR(INDEX(Rango_Admin_Clas_Total,I$2,MATCH($A42,Rango_Admin_Clas_Primera,0)+1),"-")</f>
        <v>48</v>
      </c>
      <c r="J42" s="92" cm="1">
        <f t="array" aca="1" ref="J42" ca="1">IFERROR(INDEX(Rango_Admin_Clas_Total,J$2,MATCH($A42,Rango_Admin_Clas_Primera,0)+1),"-")</f>
        <v>0</v>
      </c>
      <c r="K42" s="92" cm="1">
        <f t="array" aca="1" ref="K42" ca="1">IFERROR(INDEX(Rango_Admin_Clas_Total,K$2,MATCH($A42,Rango_Admin_Clas_Primera,0)+1),"-")</f>
        <v>15</v>
      </c>
      <c r="L42" s="92" cm="1">
        <f t="array" aca="1" ref="L42" ca="1">IFERROR(INDEX(Rango_Admin_Clas_Total,L$2,MATCH($A42,Rango_Admin_Clas_Primera,0)+1),"-")</f>
        <v>0</v>
      </c>
      <c r="M42" s="92" cm="1">
        <f t="array" aca="1" ref="M42" ca="1">IFERROR(INDEX(Rango_Admin_Clas_Total,M$2,MATCH($A42,Rango_Admin_Clas_Primera,0)+1),"-")</f>
        <v>10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 xml:space="preserve">Ignacio Núñez </v>
      </c>
      <c r="D43" s="91">
        <f ca="1">IFERROR(HLOOKUP(A43,Rango_Admin_Clas,4,FALSE),"-")</f>
        <v>272</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11</v>
      </c>
      <c r="I43" s="92" cm="1">
        <f t="array" aca="1" ref="I43" ca="1">IFERROR(INDEX(Rango_Admin_Clas_Total,I$2,MATCH($A43,Rango_Admin_Clas_Primera,0)+1),"-")</f>
        <v>40</v>
      </c>
      <c r="J43" s="92" cm="1">
        <f t="array" aca="1" ref="J43" ca="1">IFERROR(INDEX(Rango_Admin_Clas_Total,J$2,MATCH($A43,Rango_Admin_Clas_Primera,0)+1),"-")</f>
        <v>1</v>
      </c>
      <c r="K43" s="92" cm="1">
        <f t="array" aca="1" ref="K43" ca="1">IFERROR(INDEX(Rango_Admin_Clas_Total,K$2,MATCH($A43,Rango_Admin_Clas_Primera,0)+1),"-")</f>
        <v>15</v>
      </c>
      <c r="L43" s="92" cm="1">
        <f t="array" aca="1" ref="L43" ca="1">IFERROR(INDEX(Rango_Admin_Clas_Total,L$2,MATCH($A43,Rango_Admin_Clas_Primera,0)+1),"-")</f>
        <v>0</v>
      </c>
      <c r="M43" s="92" cm="1">
        <f t="array" aca="1" ref="M43" ca="1">IFERROR(INDEX(Rango_Admin_Clas_Total,M$2,MATCH($A43,Rango_Admin_Clas_Primera,0)+1),"-")</f>
        <v>5</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7</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Vicuinho</v>
      </c>
      <c r="D44" s="91">
        <f ca="1">IFERROR(HLOOKUP(A44,Rango_Admin_Clas,4,FALSE),"-")</f>
        <v>269</v>
      </c>
      <c r="E44" s="92" cm="1">
        <f t="array" aca="1" ref="E44" ca="1">IFERROR(INDEX(Rango_Admin_Clas_Total,E$2,MATCH($A44,Rango_Admin_Clas_Primera,0)+1),"-")</f>
        <v>63</v>
      </c>
      <c r="F44" s="92" cm="1">
        <f t="array" aca="1" ref="F44" ca="1">IFERROR(INDEX(Rango_Admin_Clas_Total,F$2,MATCH($A44,Rango_Admin_Clas_Primera,0)+1),"-")</f>
        <v>66</v>
      </c>
      <c r="G44" s="92" cm="1">
        <f t="array" aca="1" ref="G44" ca="1">IFERROR(INDEX(Rango_Admin_Clas_Total,G$2,MATCH($A44,Rango_Admin_Clas_Primera,0)+1),"-")</f>
        <v>75</v>
      </c>
      <c r="H44" s="92" cm="1">
        <f t="array" aca="1" ref="H44" ca="1">IFERROR(INDEX(Rango_Admin_Clas_Total,H$2,MATCH($A44,Rango_Admin_Clas_Primera,0)+1),"-")</f>
        <v>6</v>
      </c>
      <c r="I44" s="92" cm="1">
        <f t="array" aca="1" ref="I44" ca="1">IFERROR(INDEX(Rango_Admin_Clas_Total,I$2,MATCH($A44,Rango_Admin_Clas_Primera,0)+1),"-")</f>
        <v>44</v>
      </c>
      <c r="J44" s="92" cm="1">
        <f t="array" aca="1" ref="J44" ca="1">IFERROR(INDEX(Rango_Admin_Clas_Total,J$2,MATCH($A44,Rango_Admin_Clas_Primera,0)+1),"-")</f>
        <v>0</v>
      </c>
      <c r="K44" s="92" cm="1">
        <f t="array" aca="1" ref="K44" ca="1">IFERROR(INDEX(Rango_Admin_Clas_Total,K$2,MATCH($A44,Rango_Admin_Clas_Primera,0)+1),"-")</f>
        <v>10</v>
      </c>
      <c r="L44" s="92" cm="1">
        <f t="array" aca="1" ref="L44" ca="1">IFERROR(INDEX(Rango_Admin_Clas_Total,L$2,MATCH($A44,Rango_Admin_Clas_Primera,0)+1),"-")</f>
        <v>0</v>
      </c>
      <c r="M44" s="92" cm="1">
        <f t="array" aca="1" ref="M44" ca="1">IFERROR(INDEX(Rango_Admin_Clas_Total,M$2,MATCH($A44,Rango_Admin_Clas_Primera,0)+1),"-")</f>
        <v>5</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236</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15</v>
      </c>
      <c r="L45" s="92" cm="1">
        <f t="array" aca="1" ref="L45" ca="1">IFERROR(INDEX(Rango_Admin_Clas_Total,L$2,MATCH($A45,Rango_Admin_Clas_Primera,0)+1),"-")</f>
        <v>1</v>
      </c>
      <c r="M45" s="92" cm="1">
        <f t="array" aca="1" ref="M45" ca="1">IFERROR(INDEX(Rango_Admin_Clas_Total,M$2,MATCH($A45,Rango_Admin_Clas_Primera,0)+1),"-")</f>
        <v>5</v>
      </c>
      <c r="N45" s="92" cm="1">
        <f t="array" aca="1" ref="N45" ca="1">IFERROR(INDEX(Rango_Admin_Clas_Total,N$2,MATCH($A45,Rango_Admin_Clas_Primera,0)+1),"-")</f>
        <v>0</v>
      </c>
      <c r="O45" s="92" cm="1">
        <f t="array" aca="1" ref="O45" ca="1">IFERROR(INDEX(Rango_Admin_Clas_Total,O$2,MATCH($A45,Rango_Admin_Clas_Primera,0)+1),"-")</f>
        <v>6</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10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0.99038461538461542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307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f>+IF(ISBLANK(INDEX(WORLDCUP!$AC$101:$AC$147,MATCH(AH7,WORLDCUP!$Z$101:$Z$147,0))),"",INDEX(WORLDCUP!$AC$101:$AC$147,MATCH(AH7,WORLDCUP!$Z$101:$Z$147,0)))</f>
        <v>2</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0</v>
      </c>
      <c r="BL7" s="550">
        <f ca="1">COUNTIF(ADMIN!$M$226:$M$229,BG7)-BM7-BN7-BO7</f>
        <v>1</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f>+IF(ISBLANK(INDEX(WORLDCUP!$AD$101:$AD$147,MATCH(AH8,WORLDCUP!$Z$101:$Z$147,0))),"",INDEX(WORLDCUP!$AD$101:$AD$147,MATCH(AH8,WORLDCUP!$Z$101:$Z$147,0)))</f>
        <v>0</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 ca="1">+MID(INDEX(WORLDCUP!$AA$101:$AA$147,MATCH(AL13,WORLDCUP!$Z$101:$Z$147,0)),1,3)</f>
        <v>Fra</v>
      </c>
      <c r="AN13" s="594">
        <f>+IF(ISBLANK(INDEX(WORLDCUP!$AC$101:$AC$147,MATCH(AL13,WORLDCUP!$Z$101:$Z$147,0))),"",INDEX(WORLDCUP!$AC$101:$AC$147,MATCH(AL13,WORLDCUP!$Z$101:$Z$147,0)))</f>
        <v>0</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Esp</v>
      </c>
      <c r="AN14" s="594">
        <f>+IF(ISBLANK(INDEX(WORLDCUP!$AD$101:$AD$147,MATCH(AL14,WORLDCUP!$Z$101:$Z$147,0))),"",INDEX(WORLDCUP!$AD$101:$AD$147,MATCH(AL14,WORLDCUP!$Z$101:$Z$147,0)))</f>
        <v>2</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f>+IF(ISBLANK(INDEX(WORLDCUP!$AC$101:$AC$147,MATCH(AH19,WORLDCUP!$Z$101:$Z$147,0))),"",INDEX(WORLDCUP!$AC$101:$AC$147,MATCH(AH19,WORLDCUP!$Z$101:$Z$147,0)))</f>
        <v>2</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f>+IF(ISBLANK(INDEX(WORLDCUP!$AD$101:$AD$147,MATCH(AH20,WORLDCUP!$Z$101:$Z$147,0))),"",INDEX(WORLDCUP!$AD$101:$AD$147,MATCH(AH20,WORLDCUP!$Z$101:$Z$147,0)))</f>
        <v>1</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1</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Espa</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 ca="1">+WORLDCUP!AA152</f>
        <v>Inglaterra</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Arge</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1</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1</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f>+IF(ISBLANK(INDEX(WORLDCUP!$AC$101:$AC$147,MATCH(AH31,WORLDCUP!$Z$101:$Z$147,0))),"",INDEX(WORLDCUP!$AC$101:$AC$147,MATCH(AH31,WORLDCUP!$Z$101:$Z$147,0)))</f>
        <v>1</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Fran</v>
      </c>
      <c r="AR31" s="634">
        <f>+IF(ISBLANK(INDEX(WORLDCUP!$AC$101:$AC$147,MATCH(AP31,WORLDCUP!$Z$101:$Z$147,0))),"",INDEX(WORLDCUP!$AC$101:$AC$147,MATCH(AP31,WORLDCUP!$Z$101:$Z$147,0)))</f>
        <v>4</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f>+IF(ISBLANK(INDEX(WORLDCUP!$AD$101:$AD$147,MATCH(AH32,WORLDCUP!$Z$101:$Z$147,0))),"",INDEX(WORLDCUP!$AD$101:$AD$147,MATCH(AH32,WORLDCUP!$Z$101:$Z$147,0)))</f>
        <v>2</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Ingl</v>
      </c>
      <c r="AR32" s="634">
        <f>+IF(ISBLANK(INDEX(WORLDCUP!$AD$101:$AD$147,MATCH(AP32,WORLDCUP!$Z$101:$Z$147,0))),"",INDEX(WORLDCUP!$AD$101:$AD$147,MATCH(AP32,WORLDCUP!$Z$101:$Z$147,0)))</f>
        <v>6</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Ing</v>
      </c>
      <c r="AN37" s="594">
        <f>+IF(ISBLANK(INDEX(WORLDCUP!$AC$101:$AC$147,MATCH(AL37,WORLDCUP!$Z$101:$Z$147,0))),"",INDEX(WORLDCUP!$AC$101:$AC$147,MATCH(AL37,WORLDCUP!$Z$101:$Z$147,0)))</f>
        <v>1</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Arge</v>
      </c>
      <c r="AN38" s="594">
        <f>+IF(ISBLANK(INDEX(WORLDCUP!$AD$101:$AD$147,MATCH(AL38,WORLDCUP!$Z$101:$Z$147,0))),"",INDEX(WORLDCUP!$AD$101:$AD$147,MATCH(AL38,WORLDCUP!$Z$101:$Z$147,0)))</f>
        <v>2</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 ca="1">+MID(INDEX(WORLDCUP!$AA$101:$AA$147,MATCH(AH43,WORLDCUP!$Z$101:$Z$147,0)),1,3)</f>
        <v>Arg</v>
      </c>
      <c r="AJ43" s="569">
        <f>+IF(ISBLANK(INDEX(WORLDCUP!$AC$101:$AC$147,MATCH(AH43,WORLDCUP!$Z$101:$Z$147,0))),"",INDEX(WORLDCUP!$AC$101:$AC$147,MATCH(AH43,WORLDCUP!$Z$101:$Z$147,0)))</f>
        <v>3</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f>+IF(ISBLANK(INDEX(WORLDCUP!$AD$101:$AD$147,MATCH(AH44,WORLDCUP!$Z$101:$Z$147,0))),"",INDEX(WORLDCUP!$AD$101:$AD$147,MATCH(AH44,WORLDCUP!$Z$101:$Z$147,0)))</f>
        <v>1</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( 1 )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( 0 )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2026-07-19T07:17:06Z</dcterms:modified>
  <cp:category/>
</cp:coreProperties>
</file>