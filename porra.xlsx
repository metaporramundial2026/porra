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13" documentId="13_ncr:1_{AF5F34E1-3CEA-4E5C-856E-DF27FFEF07FE}" xr6:coauthVersionLast="47" xr6:coauthVersionMax="47" xr10:uidLastSave="{56C756DE-D018-4752-9D31-542E8E218805}"/>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M57" i="46" s="1"/>
  <c r="N56" i="46"/>
  <c r="N55" i="46"/>
  <c r="N54" i="46"/>
  <c r="O54" i="46"/>
  <c r="P54" i="46"/>
  <c r="N53" i="46"/>
  <c r="M53" i="46" s="1"/>
  <c r="N51" i="46"/>
  <c r="N50" i="46"/>
  <c r="N49" i="46"/>
  <c r="N48" i="46"/>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E223" i="46"/>
  <c r="M26" i="46"/>
  <c r="M50" i="46"/>
  <c r="M47" i="46"/>
  <c r="M62" i="46"/>
  <c r="M14" i="46"/>
  <c r="M17" i="46"/>
  <c r="D107" i="36"/>
  <c r="M84" i="34" s="1"/>
  <c r="S267" i="46"/>
  <c r="M48" i="46" l="1"/>
  <c r="M41" i="46"/>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CE58" i="46" s="1"/>
  <c r="Q59" i="46"/>
  <c r="Q66" i="46"/>
  <c r="P206" i="46"/>
  <c r="H210" i="46"/>
  <c r="H179" i="46"/>
  <c r="H252" i="46"/>
  <c r="Q22" i="6"/>
  <c r="H247" i="46"/>
  <c r="AL5" i="3"/>
  <c r="AL69" i="3" s="1"/>
  <c r="AY69" i="3" s="1"/>
  <c r="Q53" i="46"/>
  <c r="Q75" i="46"/>
  <c r="CN75" i="46" s="1"/>
  <c r="Q223" i="46"/>
  <c r="S7" i="51"/>
  <c r="H257" i="46"/>
  <c r="H216" i="46"/>
  <c r="H200" i="46"/>
  <c r="H187" i="46"/>
  <c r="H215" i="46"/>
  <c r="Q56" i="46"/>
  <c r="AU56" i="46" s="1"/>
  <c r="K182" i="46"/>
  <c r="Q9" i="46"/>
  <c r="Q36" i="46"/>
  <c r="BP36" i="46" s="1"/>
  <c r="Q40" i="46"/>
  <c r="Q44" i="46"/>
  <c r="T44" i="46" s="1"/>
  <c r="Q30" i="46"/>
  <c r="P203" i="46"/>
  <c r="Q203" i="46"/>
  <c r="Q207" i="46"/>
  <c r="Q65" i="46"/>
  <c r="Q232" i="46"/>
  <c r="Q33" i="46"/>
  <c r="AO33" i="46" s="1"/>
  <c r="Q37" i="46"/>
  <c r="Q41" i="46"/>
  <c r="AR41" i="46" s="1"/>
  <c r="Q49" i="46"/>
  <c r="AU49" i="46" s="1"/>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41" i="46"/>
  <c r="W65"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AU62" i="46"/>
  <c r="BS62" i="46"/>
  <c r="AL63" i="46"/>
  <c r="BJ63" i="46"/>
  <c r="CH63" i="46"/>
  <c r="BA47" i="46"/>
  <c r="BG52" i="46"/>
  <c r="AR53" i="46"/>
  <c r="AC58" i="46"/>
  <c r="BS58" i="46"/>
  <c r="Z62" i="46"/>
  <c r="AX62" i="46"/>
  <c r="BV62" i="46"/>
  <c r="AO63" i="46"/>
  <c r="BM63" i="46"/>
  <c r="CK63" i="46"/>
  <c r="AI41" i="46"/>
  <c r="BY52" i="46"/>
  <c r="AU53" i="46"/>
  <c r="AR56" i="46"/>
  <c r="BV58" i="46"/>
  <c r="AC62" i="46"/>
  <c r="BA62" i="46"/>
  <c r="BY62" i="46"/>
  <c r="AR63" i="46"/>
  <c r="BP63" i="46"/>
  <c r="CN63" i="46"/>
  <c r="Z65" i="46"/>
  <c r="AX65"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T57" i="46" s="1"/>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BA58" i="46" l="1"/>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H52" i="3"/>
  <c r="I28" i="3"/>
  <c r="H54" i="3"/>
  <c r="I40" i="3"/>
  <c r="CB23" i="3" s="1"/>
  <c r="I71" i="3"/>
  <c r="I76" i="3"/>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52" i="3" l="1"/>
  <c r="CB42" i="3"/>
  <c r="CB36" i="3"/>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52" i="3" l="1"/>
  <c r="CC36" i="3"/>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50" i="3" l="1"/>
  <c r="CF35" i="3"/>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25" i="3"/>
  <c r="O89" i="3"/>
  <c r="O48" i="3"/>
  <c r="E31" i="48"/>
  <c r="F30" i="48" a="1"/>
  <c r="F30" i="48" s="1"/>
  <c r="O86" i="3" l="1"/>
  <c r="N71" i="3"/>
  <c r="O46" i="3"/>
  <c r="O88" i="3"/>
  <c r="O93" i="3"/>
  <c r="CI52" i="3" s="1"/>
  <c r="O78" i="3"/>
  <c r="O53" i="3"/>
  <c r="CJ32" i="3" s="1"/>
  <c r="N96" i="3"/>
  <c r="O80" i="3"/>
  <c r="N47" i="3"/>
  <c r="CI27" i="3" s="1"/>
  <c r="O22" i="3"/>
  <c r="CJ17" i="3" s="1"/>
  <c r="N84" i="3"/>
  <c r="CJ47" i="3" s="1"/>
  <c r="O97" i="3"/>
  <c r="O16" i="3"/>
  <c r="N15" i="3"/>
  <c r="CK12" i="3" s="1"/>
  <c r="O15" i="3"/>
  <c r="CI10" i="3" s="1"/>
  <c r="O61" i="3"/>
  <c r="CJ36" i="3" s="1"/>
  <c r="CJ37" i="3"/>
  <c r="N13" i="3"/>
  <c r="CJ13" i="3" s="1"/>
  <c r="N65" i="3"/>
  <c r="O69" i="3"/>
  <c r="O62" i="3"/>
  <c r="N55" i="3"/>
  <c r="O20" i="3"/>
  <c r="O64" i="3"/>
  <c r="N5" i="3"/>
  <c r="O14" i="3"/>
  <c r="CI13" i="3" s="1"/>
  <c r="N93" i="3"/>
  <c r="CK53" i="3" s="1"/>
  <c r="N33" i="3"/>
  <c r="N52" i="3"/>
  <c r="CJ31" i="3" s="1"/>
  <c r="O57" i="3"/>
  <c r="N17" i="3"/>
  <c r="O31" i="3"/>
  <c r="O84" i="3"/>
  <c r="CJ46" i="3" s="1"/>
  <c r="O45" i="3"/>
  <c r="N9" i="3"/>
  <c r="O52" i="3"/>
  <c r="N80" i="3"/>
  <c r="O55" i="3"/>
  <c r="O81" i="3"/>
  <c r="N76" i="3"/>
  <c r="CK43" i="3" s="1"/>
  <c r="O29" i="3"/>
  <c r="CI20" i="3" s="1"/>
  <c r="O71" i="3"/>
  <c r="N69" i="3"/>
  <c r="O37" i="3"/>
  <c r="CI24" i="3" s="1"/>
  <c r="O60" i="3"/>
  <c r="O47" i="3"/>
  <c r="N8" i="3"/>
  <c r="N31" i="3"/>
  <c r="CI19" i="3" s="1"/>
  <c r="N48" i="3"/>
  <c r="O54" i="3"/>
  <c r="CK30" i="3" s="1"/>
  <c r="N16" i="3"/>
  <c r="CK10" i="3" s="1"/>
  <c r="O56" i="3"/>
  <c r="O38" i="3"/>
  <c r="N73" i="3"/>
  <c r="N24" i="3"/>
  <c r="N64" i="3"/>
  <c r="O5" i="3"/>
  <c r="CI8" i="3" s="1"/>
  <c r="O70" i="3"/>
  <c r="CJ38" i="3" s="1"/>
  <c r="N39" i="3"/>
  <c r="CJ23" i="3" s="1"/>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O49" i="3"/>
  <c r="O32" i="3"/>
  <c r="N23" i="3"/>
  <c r="N70" i="3"/>
  <c r="N20" i="3"/>
  <c r="CK15" i="3" s="1"/>
  <c r="N30" i="3"/>
  <c r="CK20" i="3" s="1"/>
  <c r="O39" i="3"/>
  <c r="CJ25" i="3" s="1"/>
  <c r="N29" i="3"/>
  <c r="CK21" i="3" s="1"/>
  <c r="N40" i="3"/>
  <c r="O8" i="3"/>
  <c r="CK27" i="3" s="1"/>
  <c r="O33" i="3"/>
  <c r="N94" i="3"/>
  <c r="CJ52" i="3" s="1"/>
  <c r="O9" i="3"/>
  <c r="O23" i="3"/>
  <c r="O95" i="3"/>
  <c r="N87" i="3"/>
  <c r="N88" i="3"/>
  <c r="CJ28" i="3"/>
  <c r="CJ51" i="3"/>
  <c r="CJ19" i="3"/>
  <c r="CI12" i="3"/>
  <c r="CK35" i="3"/>
  <c r="CK45" i="3"/>
  <c r="CJ45" i="3"/>
  <c r="CJ42" i="3"/>
  <c r="CK6" i="3"/>
  <c r="CK33"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K26" i="3"/>
  <c r="CI23" i="3"/>
  <c r="CJ20" i="3"/>
  <c r="CI16" i="3"/>
  <c r="CI51" i="3"/>
  <c r="CI45" i="3"/>
  <c r="CK31" i="3"/>
  <c r="CK22" i="3"/>
  <c r="CJ33" i="3"/>
  <c r="CI22" i="3"/>
  <c r="CI11" i="3"/>
  <c r="CI7" i="3"/>
  <c r="CK52" i="3"/>
  <c r="CJ44"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34" i="3"/>
  <c r="CJ27" i="3"/>
  <c r="CJ26" i="3"/>
  <c r="CJ41" i="3"/>
  <c r="E32" i="48"/>
  <c r="F31" i="48" a="1"/>
  <c r="F31" i="48" s="1"/>
  <c r="CK9" i="3" l="1"/>
  <c r="CK39" i="3"/>
  <c r="CI38" i="3"/>
  <c r="CL38" i="3" s="1"/>
  <c r="CI41" i="3"/>
  <c r="CL41" i="3" s="1"/>
  <c r="CK40" i="3"/>
  <c r="CJ30" i="3"/>
  <c r="CL30" i="3" s="1"/>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20" i="3"/>
  <c r="CM8" i="3"/>
  <c r="CM18" i="3"/>
  <c r="CM46" i="3"/>
  <c r="CM33" i="3"/>
  <c r="CM44" i="3"/>
  <c r="CM9" i="3"/>
  <c r="CM45" i="3"/>
  <c r="CM40" i="3"/>
  <c r="CM35" i="3"/>
  <c r="CM19" i="3"/>
  <c r="CM37" i="3"/>
  <c r="CM51" i="3"/>
  <c r="CM23" i="3"/>
  <c r="CM30" i="3"/>
  <c r="CM53" i="3"/>
  <c r="CM13" i="3"/>
  <c r="CM11" i="3"/>
  <c r="CM6" i="3"/>
  <c r="CM7" i="3"/>
  <c r="CM22" i="3"/>
  <c r="CM49" i="3"/>
  <c r="CM43" i="3"/>
  <c r="CM39" i="3"/>
  <c r="CM16" i="3"/>
  <c r="CM32" i="3"/>
  <c r="CM17" i="3"/>
  <c r="F33" i="48" a="1"/>
  <c r="F33" i="48" s="1"/>
  <c r="E34" i="48"/>
  <c r="CM48" i="3" l="1"/>
  <c r="CM29" i="3"/>
  <c r="CM21" i="3"/>
  <c r="CM47" i="3"/>
  <c r="CM12" i="3"/>
  <c r="CM28" i="3"/>
  <c r="CM34" i="3"/>
  <c r="CM24" i="3"/>
  <c r="CM31" i="3"/>
  <c r="CM42" i="3"/>
  <c r="CM50" i="3"/>
  <c r="CM38" i="3"/>
  <c r="CM27" i="3"/>
  <c r="CM41" i="3"/>
  <c r="CM52" i="3"/>
  <c r="CM26" i="3"/>
  <c r="CM10" i="3"/>
  <c r="CM14" i="3"/>
  <c r="CM1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R48" i="3"/>
  <c r="R49" i="3"/>
  <c r="Q78" i="3"/>
  <c r="Q48" i="3"/>
  <c r="Q72" i="3"/>
  <c r="Q64" i="3"/>
  <c r="Q49" i="3"/>
  <c r="Q73" i="3"/>
  <c r="R41" i="3"/>
  <c r="R57" i="3"/>
  <c r="R89" i="3"/>
  <c r="R88" i="3"/>
  <c r="R80" i="3"/>
  <c r="R81" i="3"/>
  <c r="Q9" i="3"/>
  <c r="R32" i="3"/>
  <c r="Q97" i="3"/>
  <c r="R8" i="3"/>
  <c r="R73" i="3"/>
  <c r="Q89" i="3"/>
  <c r="R64" i="3"/>
  <c r="R72" i="3"/>
  <c r="Q65" i="3"/>
  <c r="Q96" i="3"/>
  <c r="R96" i="3"/>
  <c r="R56" i="3"/>
  <c r="Q41" i="3"/>
  <c r="R65" i="3"/>
  <c r="F35" i="48" a="1"/>
  <c r="F35" i="48" s="1"/>
  <c r="E36" i="48"/>
  <c r="Q8" i="3" l="1"/>
  <c r="R24" i="3"/>
  <c r="Q25" i="3"/>
  <c r="Q21" i="3"/>
  <c r="R25" i="3"/>
  <c r="R16" i="3"/>
  <c r="R17" i="3"/>
  <c r="Q17" i="3"/>
  <c r="Q16" i="3"/>
  <c r="Q87" i="3"/>
  <c r="R87" i="3"/>
  <c r="Q95" i="3"/>
  <c r="R79" i="3"/>
  <c r="Q94" i="3"/>
  <c r="CP52" i="3" s="1"/>
  <c r="R94" i="3"/>
  <c r="R86" i="3"/>
  <c r="Q79" i="3"/>
  <c r="CP43" i="3" s="1"/>
  <c r="R31" i="3"/>
  <c r="R63" i="3"/>
  <c r="CO37" i="3" s="1"/>
  <c r="R78" i="3"/>
  <c r="Q70" i="3"/>
  <c r="R28" i="3"/>
  <c r="Q52" i="3"/>
  <c r="R68" i="3"/>
  <c r="CO38" i="3" s="1"/>
  <c r="R55" i="3"/>
  <c r="Q55" i="3"/>
  <c r="R6" i="3"/>
  <c r="Q63" i="3"/>
  <c r="CO35" i="3" s="1"/>
  <c r="Q53" i="3"/>
  <c r="R15" i="3"/>
  <c r="R69" i="3"/>
  <c r="R36" i="3"/>
  <c r="Q36" i="3"/>
  <c r="CO23" i="3" s="1"/>
  <c r="Q62" i="3"/>
  <c r="Q5" i="3"/>
  <c r="Q4" i="3"/>
  <c r="R62" i="3"/>
  <c r="Q93" i="3"/>
  <c r="CP53" i="3" s="1"/>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Q6" i="3"/>
  <c r="Q37" i="3"/>
  <c r="Q46" i="3"/>
  <c r="CO8" i="3"/>
  <c r="CP51" i="3"/>
  <c r="CP8" i="3"/>
  <c r="CP36" i="3"/>
  <c r="CO36" i="3"/>
  <c r="CO21" i="3"/>
  <c r="CP39" i="3"/>
  <c r="CP21" i="3"/>
  <c r="CP34" i="3"/>
  <c r="CP13" i="3"/>
  <c r="CP45" i="3"/>
  <c r="CP18" i="3"/>
  <c r="CO12" i="3"/>
  <c r="CP46" i="3"/>
  <c r="CP16" i="3"/>
  <c r="CP49" i="3"/>
  <c r="CO16" i="3"/>
  <c r="CO22" i="3"/>
  <c r="CO46" i="3"/>
  <c r="CO49" i="3"/>
  <c r="CO45" i="3"/>
  <c r="CO13" i="3"/>
  <c r="CO29" i="3"/>
  <c r="CP31" i="3"/>
  <c r="CO17" i="3"/>
  <c r="CP48" i="3"/>
  <c r="CP17" i="3"/>
  <c r="CO18" i="3"/>
  <c r="CP6" i="3"/>
  <c r="CP22" i="3"/>
  <c r="CO24" i="3"/>
  <c r="CP33" i="3"/>
  <c r="CP12" i="3"/>
  <c r="CO34" i="3"/>
  <c r="CO6" i="3"/>
  <c r="CP24" i="3"/>
  <c r="CO31" i="3"/>
  <c r="CO28" i="3"/>
  <c r="CO48" i="3"/>
  <c r="CP28" i="3"/>
  <c r="CP29" i="3"/>
  <c r="CO33" i="3"/>
  <c r="E37" i="48"/>
  <c r="F36" i="48" a="1"/>
  <c r="F36" i="48" s="1"/>
  <c r="CO43" i="3" l="1"/>
  <c r="CO52" i="3"/>
  <c r="CQ52" i="3" s="1"/>
  <c r="CO50" i="3"/>
  <c r="CP37" i="3"/>
  <c r="CQ37" i="3" s="1"/>
  <c r="CP35" i="3"/>
  <c r="CQ35" i="3" s="1"/>
  <c r="CO53" i="3"/>
  <c r="CQ53" i="3" s="1"/>
  <c r="CP38" i="3"/>
  <c r="CQ38" i="3" s="1"/>
  <c r="CP40" i="3"/>
  <c r="CO40" i="3"/>
  <c r="CP9" i="3"/>
  <c r="CO47" i="3"/>
  <c r="CQ47" i="3" s="1"/>
  <c r="CP23" i="3"/>
  <c r="CQ23" i="3" s="1"/>
  <c r="CO10" i="3"/>
  <c r="CP7" i="3"/>
  <c r="CO25" i="3"/>
  <c r="CO32" i="3"/>
  <c r="CQ32" i="3" s="1"/>
  <c r="CO11" i="3"/>
  <c r="CO9" i="3"/>
  <c r="CP26" i="3"/>
  <c r="CQ26" i="3" s="1"/>
  <c r="CO19" i="3"/>
  <c r="CO20" i="3"/>
  <c r="CQ20" i="3" s="1"/>
  <c r="CP42" i="3"/>
  <c r="CQ42" i="3" s="1"/>
  <c r="CO14" i="3"/>
  <c r="CP19" i="3"/>
  <c r="CP14" i="3"/>
  <c r="CO30" i="3"/>
  <c r="CQ30" i="3" s="1"/>
  <c r="CO15" i="3"/>
  <c r="CP41" i="3"/>
  <c r="CQ41" i="3" s="1"/>
  <c r="CP11" i="3"/>
  <c r="CO44" i="3"/>
  <c r="CQ44" i="3" s="1"/>
  <c r="CP15" i="3"/>
  <c r="CP10" i="3"/>
  <c r="CQ51" i="3"/>
  <c r="CQ39" i="3"/>
  <c r="CP25" i="3"/>
  <c r="CO7" i="3"/>
  <c r="CQ27" i="3"/>
  <c r="CP50" i="3"/>
  <c r="CQ6" i="3"/>
  <c r="CQ48" i="3"/>
  <c r="CQ49" i="3"/>
  <c r="CQ46" i="3"/>
  <c r="CQ33" i="3"/>
  <c r="CQ31" i="3"/>
  <c r="CQ13" i="3"/>
  <c r="CQ16" i="3"/>
  <c r="CQ8" i="3"/>
  <c r="CQ45" i="3"/>
  <c r="CQ36" i="3"/>
  <c r="CQ24" i="3"/>
  <c r="CQ21" i="3"/>
  <c r="CQ34" i="3"/>
  <c r="CQ28" i="3"/>
  <c r="CQ29" i="3"/>
  <c r="CQ12" i="3"/>
  <c r="CQ22" i="3"/>
  <c r="CQ43" i="3"/>
  <c r="CQ17" i="3"/>
  <c r="CQ18" i="3"/>
  <c r="E38" i="48"/>
  <c r="F37" i="48" a="1"/>
  <c r="F37" i="48" s="1"/>
  <c r="CQ50" i="3" l="1"/>
  <c r="CQ40" i="3"/>
  <c r="CQ9" i="3"/>
  <c r="CQ10" i="3"/>
  <c r="CQ7" i="3"/>
  <c r="CR49" i="3" s="1"/>
  <c r="CQ25" i="3"/>
  <c r="CQ11" i="3"/>
  <c r="CQ19" i="3"/>
  <c r="CQ14" i="3"/>
  <c r="CR21" i="3" s="1"/>
  <c r="CQ15" i="3"/>
  <c r="CR16" i="3"/>
  <c r="CR22" i="3"/>
  <c r="CR48" i="3"/>
  <c r="CR18" i="3"/>
  <c r="CR24" i="3"/>
  <c r="CR29" i="3"/>
  <c r="F38" i="48" a="1"/>
  <c r="F38" i="48" s="1"/>
  <c r="E39" i="48"/>
  <c r="CR6" i="3" l="1"/>
  <c r="CR17" i="3"/>
  <c r="CR20" i="3"/>
  <c r="CR8" i="3"/>
  <c r="CR31" i="3"/>
  <c r="CR36" i="3"/>
  <c r="CR34" i="3"/>
  <c r="CR33" i="3"/>
  <c r="CR28" i="3"/>
  <c r="CR30" i="3"/>
  <c r="CR44" i="3"/>
  <c r="CR32" i="3"/>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s="1"/>
  <c r="CS12" i="3" l="1"/>
  <c r="T13" i="3" s="1"/>
  <c r="CS46" i="3"/>
  <c r="U88" i="3" s="1"/>
  <c r="CS44" i="3"/>
  <c r="U78" i="3" s="1"/>
  <c r="CS53" i="3"/>
  <c r="U93" i="3" s="1"/>
  <c r="CS6" i="3"/>
  <c r="CT6" i="3" s="1"/>
  <c r="CS45" i="3"/>
  <c r="U77" i="3" s="1"/>
  <c r="CS42" i="3"/>
  <c r="T76" i="3" s="1"/>
  <c r="CS8" i="3"/>
  <c r="U7" i="3" s="1"/>
  <c r="CS13" i="3"/>
  <c r="T14" i="3" s="1"/>
  <c r="CS52" i="3"/>
  <c r="T93" i="3" s="1"/>
  <c r="CS23" i="3"/>
  <c r="U39" i="3" s="1"/>
  <c r="CS18" i="3"/>
  <c r="T28" i="3" s="1"/>
  <c r="CS33" i="3"/>
  <c r="U53" i="3" s="1"/>
  <c r="CS30" i="3"/>
  <c r="T52" i="3" s="1"/>
  <c r="CS17" i="3"/>
  <c r="U21" i="3" s="1"/>
  <c r="CS35" i="3"/>
  <c r="U60" i="3" s="1"/>
  <c r="CS36" i="3"/>
  <c r="T61" i="3" s="1"/>
  <c r="CS37" i="3"/>
  <c r="U61" i="3" s="1"/>
  <c r="CS10" i="3"/>
  <c r="T15" i="3" s="1"/>
  <c r="CS22" i="3"/>
  <c r="U41" i="3" s="1"/>
  <c r="CS51" i="3"/>
  <c r="U92" i="3" s="1"/>
  <c r="CS43" i="3"/>
  <c r="U76" i="3" s="1"/>
  <c r="CS40" i="3"/>
  <c r="T69" i="3" s="1"/>
  <c r="CS50" i="3"/>
  <c r="T92" i="3" s="1"/>
  <c r="CS29" i="3"/>
  <c r="U45" i="3" s="1"/>
  <c r="CS24" i="3"/>
  <c r="U38" i="3" s="1"/>
  <c r="CS31" i="3"/>
  <c r="U52" i="3" s="1"/>
  <c r="CS38" i="3"/>
  <c r="T68" i="3" s="1"/>
  <c r="CS15" i="3"/>
  <c r="T25" i="3" s="1"/>
  <c r="CS11" i="3"/>
  <c r="U14" i="3" s="1"/>
  <c r="CS32" i="3"/>
  <c r="T53" i="3" s="1"/>
  <c r="CS25" i="3"/>
  <c r="T41" i="3" s="1"/>
  <c r="CS34" i="3"/>
  <c r="T60" i="3" s="1"/>
  <c r="CS20" i="3"/>
  <c r="T29" i="3" s="1"/>
  <c r="CS41" i="3"/>
  <c r="U69" i="3" s="1"/>
  <c r="CS48" i="3"/>
  <c r="T85" i="3" s="1"/>
  <c r="CS19" i="3"/>
  <c r="U28" i="3" s="1"/>
  <c r="CS16" i="3"/>
  <c r="U25" i="3" s="1"/>
  <c r="CS49" i="3"/>
  <c r="U85" i="3" s="1"/>
  <c r="CS39" i="3"/>
  <c r="U68" i="3" s="1"/>
  <c r="CS21" i="3"/>
  <c r="U29" i="3" s="1"/>
  <c r="CS9" i="3"/>
  <c r="U5" i="3" s="1"/>
  <c r="CS47" i="3"/>
  <c r="U84" i="3" s="1"/>
  <c r="CS7" i="3"/>
  <c r="U4" i="3" s="1"/>
  <c r="CS28" i="3"/>
  <c r="U46" i="3" s="1"/>
  <c r="CS27" i="3"/>
  <c r="U44" i="3" s="1"/>
  <c r="CS14" i="3"/>
  <c r="T20" i="3" s="1"/>
  <c r="CS26" i="3"/>
  <c r="T46" i="3" s="1"/>
  <c r="U64" i="3"/>
  <c r="U40" i="3"/>
  <c r="U89" i="3"/>
  <c r="T96" i="3"/>
  <c r="T64" i="3"/>
  <c r="T56" i="3"/>
  <c r="U65" i="3"/>
  <c r="T80" i="3"/>
  <c r="U32" i="3"/>
  <c r="U56" i="3"/>
  <c r="T97" i="3"/>
  <c r="T33" i="3"/>
  <c r="T89" i="3"/>
  <c r="T65" i="3"/>
  <c r="T40" i="3"/>
  <c r="U80" i="3"/>
  <c r="U48" i="3"/>
  <c r="T49" i="3"/>
  <c r="T72" i="3"/>
  <c r="U72" i="3"/>
  <c r="T73" i="3"/>
  <c r="T32" i="3"/>
  <c r="T88" i="3"/>
  <c r="U96" i="3"/>
  <c r="T57" i="3"/>
  <c r="U49" i="3"/>
  <c r="U57" i="3"/>
  <c r="T81" i="3"/>
  <c r="U97" i="3"/>
  <c r="U33" i="3"/>
  <c r="U81" i="3"/>
  <c r="T48" i="3"/>
  <c r="U73" i="3"/>
  <c r="E41" i="48"/>
  <c r="F40" i="48" a="1"/>
  <c r="F40" i="48" s="1"/>
  <c r="T9" i="3" l="1"/>
  <c r="T24" i="3"/>
  <c r="U9" i="3"/>
  <c r="U8" i="3"/>
  <c r="T8" i="3"/>
  <c r="U24" i="3"/>
  <c r="T17" i="3"/>
  <c r="T86" i="3"/>
  <c r="U87" i="3"/>
  <c r="U17" i="3"/>
  <c r="T95" i="3"/>
  <c r="T16" i="3"/>
  <c r="T87" i="3"/>
  <c r="U94" i="3"/>
  <c r="CT50" i="3" s="1"/>
  <c r="U16" i="3"/>
  <c r="T94" i="3"/>
  <c r="CT52" i="3" s="1"/>
  <c r="U95" i="3"/>
  <c r="T22" i="3"/>
  <c r="CT15" i="3" s="1"/>
  <c r="U86" i="3"/>
  <c r="U15" i="3"/>
  <c r="T77" i="3"/>
  <c r="T79" i="3"/>
  <c r="CT43" i="3" s="1"/>
  <c r="U70" i="3"/>
  <c r="CT38" i="3" s="1"/>
  <c r="U13" i="3"/>
  <c r="CT12" i="3" s="1"/>
  <c r="U62" i="3"/>
  <c r="U79" i="3"/>
  <c r="T63" i="3"/>
  <c r="CT35" i="3" s="1"/>
  <c r="T54" i="3"/>
  <c r="CT32" i="3" s="1"/>
  <c r="T4" i="3"/>
  <c r="T62" i="3"/>
  <c r="T71" i="3"/>
  <c r="CT39" i="3" s="1"/>
  <c r="U71" i="3"/>
  <c r="CT41" i="3" s="1"/>
  <c r="T70" i="3"/>
  <c r="CT40" i="3" s="1"/>
  <c r="T84" i="3"/>
  <c r="CT47" i="3" s="1"/>
  <c r="T7" i="3"/>
  <c r="U36" i="3"/>
  <c r="CT51" i="3"/>
  <c r="T55" i="3"/>
  <c r="T6" i="3"/>
  <c r="T47" i="3"/>
  <c r="U55" i="3"/>
  <c r="T31" i="3"/>
  <c r="CT19" i="3" s="1"/>
  <c r="T78" i="3"/>
  <c r="CT44" i="3" s="1"/>
  <c r="T5" i="3"/>
  <c r="T45" i="3"/>
  <c r="U54" i="3"/>
  <c r="CT30" i="3" s="1"/>
  <c r="U63" i="3"/>
  <c r="CT37" i="3" s="1"/>
  <c r="U20" i="3"/>
  <c r="U30" i="3"/>
  <c r="T12" i="3"/>
  <c r="U12" i="3"/>
  <c r="T30" i="3"/>
  <c r="CT20" i="3" s="1"/>
  <c r="T37" i="3"/>
  <c r="CT25" i="3" s="1"/>
  <c r="U23" i="3"/>
  <c r="U31" i="3"/>
  <c r="U22" i="3"/>
  <c r="U6" i="3"/>
  <c r="T38" i="3"/>
  <c r="T36" i="3"/>
  <c r="T21" i="3"/>
  <c r="T44" i="3"/>
  <c r="T39" i="3"/>
  <c r="U47" i="3"/>
  <c r="U37" i="3"/>
  <c r="T23" i="3"/>
  <c r="CT16" i="3"/>
  <c r="CT8" i="3"/>
  <c r="CT21" i="3"/>
  <c r="CT26" i="3"/>
  <c r="CT17" i="3"/>
  <c r="CT46" i="3"/>
  <c r="CT28" i="3"/>
  <c r="CT36" i="3"/>
  <c r="CT24" i="3"/>
  <c r="CT49" i="3"/>
  <c r="CT34" i="3"/>
  <c r="CT45" i="3"/>
  <c r="CT29" i="3"/>
  <c r="CT31" i="3"/>
  <c r="CT42" i="3"/>
  <c r="CT53" i="3"/>
  <c r="CT22" i="3"/>
  <c r="CT13" i="3"/>
  <c r="CT33" i="3"/>
  <c r="CT48" i="3"/>
  <c r="CT18" i="3"/>
  <c r="E42" i="48"/>
  <c r="F41" i="48" a="1"/>
  <c r="F41" i="48" s="1"/>
  <c r="CT11" i="3" l="1"/>
  <c r="CT10" i="3"/>
  <c r="CT7" i="3"/>
  <c r="CT27" i="3"/>
  <c r="CT9" i="3"/>
  <c r="CU33" i="3" s="1"/>
  <c r="CT23" i="3"/>
  <c r="CT14" i="3"/>
  <c r="CU29" i="3"/>
  <c r="CU28" i="3"/>
  <c r="CU36" i="3"/>
  <c r="CU18" i="3"/>
  <c r="CU6" i="3"/>
  <c r="CU31" i="3"/>
  <c r="CU42" i="3"/>
  <c r="E43" i="48"/>
  <c r="F42" i="48" a="1"/>
  <c r="F42" i="48" s="1"/>
  <c r="CU17" i="3" l="1"/>
  <c r="CU47" i="3"/>
  <c r="CU46" i="3"/>
  <c r="CU34" i="3"/>
  <c r="CU21" i="3"/>
  <c r="CU22" i="3"/>
  <c r="CU24" i="3"/>
  <c r="CU8" i="3"/>
  <c r="CU16" i="3"/>
  <c r="CU48" i="3"/>
  <c r="CU49" i="3"/>
  <c r="CU30" i="3"/>
  <c r="CU35" i="3"/>
  <c r="CU20" i="3"/>
  <c r="CU32" i="3"/>
  <c r="CU19" i="3"/>
  <c r="CU44" i="3"/>
  <c r="CU37" i="3"/>
  <c r="CU53" i="3"/>
  <c r="CU13" i="3"/>
  <c r="CU41" i="3"/>
  <c r="CU9" i="3"/>
  <c r="CU25" i="3"/>
  <c r="CU7" i="3"/>
  <c r="CU11" i="3"/>
  <c r="CU51" i="3"/>
  <c r="CU14" i="3"/>
  <c r="CU50" i="3"/>
  <c r="CU39" i="3"/>
  <c r="CU26" i="3"/>
  <c r="CU45" i="3"/>
  <c r="CU40" i="3"/>
  <c r="CU23" i="3"/>
  <c r="CU12" i="3"/>
  <c r="CU27" i="3"/>
  <c r="CU38" i="3"/>
  <c r="CU43" i="3"/>
  <c r="CU10" i="3"/>
  <c r="CU52" i="3"/>
  <c r="CU15" i="3"/>
  <c r="E44" i="48"/>
  <c r="F43" i="48" a="1"/>
  <c r="F43" i="48" s="1"/>
  <c r="CV51" i="3" l="1"/>
  <c r="CW51" i="3" s="1"/>
  <c r="CV40" i="3"/>
  <c r="CW40" i="3" s="1"/>
  <c r="CV38" i="3"/>
  <c r="CW38" i="3" s="1"/>
  <c r="CV14" i="3"/>
  <c r="CW14" i="3" s="1"/>
  <c r="CV10" i="3"/>
  <c r="CW10" i="3" s="1"/>
  <c r="CV45" i="3"/>
  <c r="CW45" i="3" s="1"/>
  <c r="CV36" i="3"/>
  <c r="CW36" i="3" s="1"/>
  <c r="CV23" i="3"/>
  <c r="CW23" i="3" s="1"/>
  <c r="CV39" i="3"/>
  <c r="CW39" i="3" s="1"/>
  <c r="CV27" i="3"/>
  <c r="CW27" i="3" s="1"/>
  <c r="CV16" i="3"/>
  <c r="CW16" i="3" s="1"/>
  <c r="CV18" i="3"/>
  <c r="CW18" i="3" s="1"/>
  <c r="CV46" i="3"/>
  <c r="CW46" i="3" s="1"/>
  <c r="CV12" i="3"/>
  <c r="CW12" i="3" s="1"/>
  <c r="CV17" i="3"/>
  <c r="CW17" i="3" s="1"/>
  <c r="CV35" i="3"/>
  <c r="CW35" i="3" s="1"/>
  <c r="CV32" i="3"/>
  <c r="CW32" i="3" s="1"/>
  <c r="CV6" i="3"/>
  <c r="CW6" i="3" s="1"/>
  <c r="CV52" i="3"/>
  <c r="CW52" i="3" s="1"/>
  <c r="CV31" i="3"/>
  <c r="CW31" i="3" s="1"/>
  <c r="CV37" i="3"/>
  <c r="CW37" i="3" s="1"/>
  <c r="CV26" i="3"/>
  <c r="CW26" i="3" s="1"/>
  <c r="CV25" i="3"/>
  <c r="CW25" i="3" s="1"/>
  <c r="CV24" i="3"/>
  <c r="CW24" i="3" s="1"/>
  <c r="CV33" i="3"/>
  <c r="CW33" i="3" s="1"/>
  <c r="CV20" i="3"/>
  <c r="CW20" i="3" s="1"/>
  <c r="CV21" i="3"/>
  <c r="CW21" i="3" s="1"/>
  <c r="CV7" i="3"/>
  <c r="CW7" i="3" s="1"/>
  <c r="CV29" i="3"/>
  <c r="CW29" i="3" s="1"/>
  <c r="CV41" i="3"/>
  <c r="CW41" i="3" s="1"/>
  <c r="CV19" i="3"/>
  <c r="CW19" i="3" s="1"/>
  <c r="CV47" i="3"/>
  <c r="CW47" i="3" s="1"/>
  <c r="CV22" i="3"/>
  <c r="CW22" i="3" s="1"/>
  <c r="CV13" i="3"/>
  <c r="CW13" i="3" s="1"/>
  <c r="CV42" i="3"/>
  <c r="CW42" i="3" s="1"/>
  <c r="CV50" i="3"/>
  <c r="CW50" i="3" s="1"/>
  <c r="CV11" i="3"/>
  <c r="CW11" i="3" s="1"/>
  <c r="CV28" i="3"/>
  <c r="CW28" i="3" s="1"/>
  <c r="CV43" i="3"/>
  <c r="CW43" i="3" s="1"/>
  <c r="CV34" i="3"/>
  <c r="CW34" i="3" s="1"/>
  <c r="CV53" i="3"/>
  <c r="CW53" i="3" s="1"/>
  <c r="CV8" i="3"/>
  <c r="CW8" i="3" s="1"/>
  <c r="CV48" i="3"/>
  <c r="CW48" i="3" s="1"/>
  <c r="CV9" i="3"/>
  <c r="CW9" i="3" s="1"/>
  <c r="CV15" i="3"/>
  <c r="CW15" i="3" s="1"/>
  <c r="CV44" i="3"/>
  <c r="CW44" i="3" s="1"/>
  <c r="CV30" i="3"/>
  <c r="CW30" i="3" s="1"/>
  <c r="CV49" i="3"/>
  <c r="CW49" i="3" s="1"/>
  <c r="E45" i="48"/>
  <c r="F44" i="48" a="1"/>
  <c r="F44" i="48" s="1"/>
  <c r="CX27" i="3" l="1"/>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s="1"/>
  <c r="E46" i="48"/>
  <c r="CY39" i="3" l="1"/>
  <c r="CZ39" i="3" s="1"/>
  <c r="CY8" i="3"/>
  <c r="CZ8" i="3" s="1"/>
  <c r="CY50" i="3"/>
  <c r="CZ50" i="3" s="1"/>
  <c r="CY18" i="3"/>
  <c r="CZ18" i="3" s="1"/>
  <c r="CY24" i="3"/>
  <c r="CZ24" i="3" s="1"/>
  <c r="CY46" i="3"/>
  <c r="CZ46" i="3" s="1"/>
  <c r="CY31" i="3"/>
  <c r="CZ31" i="3" s="1"/>
  <c r="CY47" i="3"/>
  <c r="CZ47" i="3" s="1"/>
  <c r="CY36" i="3"/>
  <c r="CZ36" i="3" s="1"/>
  <c r="CY9" i="3"/>
  <c r="CZ9" i="3" s="1"/>
  <c r="CY48" i="3"/>
  <c r="CZ48" i="3" s="1"/>
  <c r="CY43" i="3"/>
  <c r="CZ43" i="3" s="1"/>
  <c r="CY16" i="3"/>
  <c r="CZ16" i="3" s="1"/>
  <c r="CY32" i="3"/>
  <c r="CZ32" i="3" s="1"/>
  <c r="CY53" i="3"/>
  <c r="CZ53" i="3" s="1"/>
  <c r="CY44" i="3"/>
  <c r="CZ44" i="3" s="1"/>
  <c r="CY23" i="3"/>
  <c r="CZ23" i="3" s="1"/>
  <c r="CY40" i="3"/>
  <c r="CZ40" i="3" s="1"/>
  <c r="CY7" i="3"/>
  <c r="CZ7" i="3" s="1"/>
  <c r="CY33" i="3"/>
  <c r="CZ33" i="3" s="1"/>
  <c r="CY22" i="3"/>
  <c r="CZ22" i="3" s="1"/>
  <c r="CY30" i="3"/>
  <c r="CZ30" i="3" s="1"/>
  <c r="CY14" i="3"/>
  <c r="CZ14" i="3" s="1"/>
  <c r="CY45" i="3"/>
  <c r="CZ45" i="3" s="1"/>
  <c r="CY11" i="3"/>
  <c r="CZ11" i="3" s="1"/>
  <c r="CY35" i="3"/>
  <c r="CZ35" i="3" s="1"/>
  <c r="CY34" i="3"/>
  <c r="CZ34" i="3" s="1"/>
  <c r="CY13" i="3"/>
  <c r="CZ13" i="3" s="1"/>
  <c r="CY49" i="3"/>
  <c r="CZ49" i="3" s="1"/>
  <c r="CY15" i="3"/>
  <c r="CZ15" i="3" s="1"/>
  <c r="CY25" i="3"/>
  <c r="CZ25" i="3" s="1"/>
  <c r="CY10" i="3"/>
  <c r="CZ10" i="3" s="1"/>
  <c r="CY37" i="3"/>
  <c r="CZ37" i="3" s="1"/>
  <c r="CY19" i="3"/>
  <c r="CZ19" i="3" s="1"/>
  <c r="CY52" i="3"/>
  <c r="CZ52" i="3" s="1"/>
  <c r="CY6" i="3"/>
  <c r="CZ6" i="3" s="1"/>
  <c r="CY28" i="3"/>
  <c r="CZ28" i="3" s="1"/>
  <c r="CY20" i="3"/>
  <c r="CZ20" i="3" s="1"/>
  <c r="CY29" i="3"/>
  <c r="CZ29" i="3" s="1"/>
  <c r="CY26" i="3"/>
  <c r="CZ26" i="3" s="1"/>
  <c r="CY42" i="3"/>
  <c r="CZ42" i="3" s="1"/>
  <c r="CY51" i="3"/>
  <c r="CZ51" i="3" s="1"/>
  <c r="CY12" i="3"/>
  <c r="CZ12" i="3" s="1"/>
  <c r="CY27" i="3"/>
  <c r="CZ27" i="3" s="1"/>
  <c r="CY41" i="3"/>
  <c r="CZ41" i="3" s="1"/>
  <c r="CY17" i="3"/>
  <c r="CZ17" i="3" s="1"/>
  <c r="CY38" i="3"/>
  <c r="CZ38" i="3" s="1"/>
  <c r="CY21" i="3"/>
  <c r="CZ21" i="3" s="1"/>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<sst xmlns="http://schemas.openxmlformats.org/spreadsheetml/2006/main" count="16873" uniqueCount="2800">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</sst>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15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24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46198</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80" zoomScaleNormal="100" workbookViewId="0">
      <selection activeCell="AD12" sqref="AD12"/>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6</v>
      </c>
      <c r="BF38" s="748">
        <f t="shared" ca="1" si="26"/>
        <v>2</v>
      </c>
      <c r="BG38" s="748">
        <f t="shared" ca="1" si="17"/>
        <v>2</v>
      </c>
      <c r="BH38" s="748">
        <f t="shared" ca="1" si="18"/>
        <v>0</v>
      </c>
      <c r="BI38" s="748">
        <f t="shared" ca="1" si="19"/>
        <v>0</v>
      </c>
      <c r="BJ38" s="748">
        <f t="shared" ca="1" si="20"/>
        <v>6</v>
      </c>
      <c r="BK38" s="748">
        <f t="shared" ca="1" si="21"/>
        <v>1</v>
      </c>
      <c r="BL38" s="748">
        <f t="shared" ca="1" si="27"/>
        <v>5</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6</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5</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8</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2</v>
      </c>
      <c r="BG39" s="748">
        <f t="shared" ca="1" si="17"/>
        <v>0</v>
      </c>
      <c r="BH39" s="748">
        <f t="shared" ca="1" si="18"/>
        <v>0</v>
      </c>
      <c r="BI39" s="748">
        <f t="shared" ca="1" si="19"/>
        <v>2</v>
      </c>
      <c r="BJ39" s="748">
        <f t="shared" ca="1" si="20"/>
        <v>3</v>
      </c>
      <c r="BK39" s="748">
        <f t="shared" ca="1" si="21"/>
        <v>6</v>
      </c>
      <c r="BL39" s="748">
        <f t="shared" ca="1" si="27"/>
        <v>-3</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-3</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8</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2</v>
      </c>
      <c r="BG40" s="748">
        <f t="shared" ca="1" si="17"/>
        <v>0</v>
      </c>
      <c r="BH40" s="748">
        <f t="shared" ca="1" si="18"/>
        <v>0</v>
      </c>
      <c r="BI40" s="748">
        <f t="shared" ca="1" si="19"/>
        <v>2</v>
      </c>
      <c r="BJ40" s="748">
        <f t="shared" ca="1" si="20"/>
        <v>1</v>
      </c>
      <c r="BK40" s="748">
        <f t="shared" ca="1" si="21"/>
        <v>7</v>
      </c>
      <c r="BL40" s="748">
        <f t="shared" ca="1" si="27"/>
        <v>-6</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-6</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8</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2</v>
      </c>
      <c r="BG41" s="748">
        <f t="shared" ca="1" si="17"/>
        <v>2</v>
      </c>
      <c r="BH41" s="748">
        <f t="shared" ca="1" si="18"/>
        <v>0</v>
      </c>
      <c r="BI41" s="748">
        <f t="shared" ca="1" si="19"/>
        <v>0</v>
      </c>
      <c r="BJ41" s="748">
        <f t="shared" ca="1" si="20"/>
        <v>7</v>
      </c>
      <c r="BK41" s="748">
        <f t="shared" ca="1" si="21"/>
        <v>3</v>
      </c>
      <c r="BL41" s="748">
        <f t="shared" ca="1" si="27"/>
        <v>4</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4</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8</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8</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3</v>
      </c>
      <c r="BF43" s="748">
        <f t="shared" ca="1" si="26"/>
        <v>2</v>
      </c>
      <c r="BG43" s="748">
        <f t="shared" ca="1" si="17"/>
        <v>1</v>
      </c>
      <c r="BH43" s="748">
        <f t="shared" ca="1" si="18"/>
        <v>0</v>
      </c>
      <c r="BI43" s="748">
        <f t="shared" ca="1" si="19"/>
        <v>1</v>
      </c>
      <c r="BJ43" s="748">
        <f t="shared" ca="1" si="20"/>
        <v>2</v>
      </c>
      <c r="BK43" s="748">
        <f t="shared" ca="1" si="21"/>
        <v>4</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3</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0</v>
      </c>
      <c r="BW43" s="758">
        <f t="shared" ca="1" si="38"/>
        <v>0</v>
      </c>
      <c r="BX43" s="758">
        <f t="shared" ca="1" si="39"/>
        <v>0</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0</v>
      </c>
      <c r="CB43" s="758">
        <f t="shared" ca="1" si="41"/>
        <v>0</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0</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0</v>
      </c>
      <c r="CK43" s="758">
        <f t="shared" ca="1" si="46"/>
        <v>0</v>
      </c>
      <c r="CL43" s="758">
        <f t="shared" ca="1" si="47"/>
        <v>0</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0</v>
      </c>
      <c r="CP43" s="758">
        <f t="shared" ca="1" si="49"/>
        <v>0</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0</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8</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0</v>
      </c>
      <c r="BW44" s="758">
        <f t="shared" ca="1" si="38"/>
        <v>0</v>
      </c>
      <c r="BX44" s="758">
        <f t="shared" ca="1" si="39"/>
        <v>0</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0</v>
      </c>
      <c r="CB44" s="758">
        <f t="shared" ca="1" si="41"/>
        <v>0</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0</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0</v>
      </c>
      <c r="CK44" s="758">
        <f t="shared" ca="1" si="46"/>
        <v>0</v>
      </c>
      <c r="CL44" s="758">
        <f t="shared" ca="1" si="47"/>
        <v>0</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0</v>
      </c>
      <c r="CP44" s="758">
        <f t="shared" ca="1" si="49"/>
        <v>0</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0</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8</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2</v>
      </c>
      <c r="BG45" s="748">
        <f t="shared" ca="1" si="17"/>
        <v>0</v>
      </c>
      <c r="BH45" s="748">
        <f t="shared" ca="1" si="18"/>
        <v>0</v>
      </c>
      <c r="BI45" s="748">
        <f t="shared" ca="1" si="19"/>
        <v>2</v>
      </c>
      <c r="BJ45" s="748">
        <f t="shared" ca="1" si="20"/>
        <v>2</v>
      </c>
      <c r="BK45" s="748">
        <f t="shared" ca="1" si="21"/>
        <v>5</v>
      </c>
      <c r="BL45" s="748">
        <f t="shared" ca="1" si="27"/>
        <v>-3</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8</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4</v>
      </c>
      <c r="BF46" s="748">
        <f t="shared" ca="1" si="26"/>
        <v>2</v>
      </c>
      <c r="BG46" s="748">
        <f t="shared" ca="1" si="17"/>
        <v>1</v>
      </c>
      <c r="BH46" s="748">
        <f t="shared" ca="1" si="18"/>
        <v>1</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4</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8</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2</v>
      </c>
      <c r="BG47" s="748">
        <f t="shared" ca="1" si="17"/>
        <v>0</v>
      </c>
      <c r="BH47" s="748">
        <f t="shared" ca="1" si="18"/>
        <v>1</v>
      </c>
      <c r="BI47" s="748">
        <f t="shared" ca="1" si="19"/>
        <v>1</v>
      </c>
      <c r="BJ47" s="748">
        <f t="shared" ca="1" si="20"/>
        <v>1</v>
      </c>
      <c r="BK47" s="748">
        <f t="shared" ca="1" si="21"/>
        <v>2</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8</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2</v>
      </c>
      <c r="BG48" s="748">
        <f t="shared" ca="1" si="17"/>
        <v>0</v>
      </c>
      <c r="BH48" s="748">
        <f t="shared" ca="1" si="18"/>
        <v>0</v>
      </c>
      <c r="BI48" s="748">
        <f t="shared" ca="1" si="19"/>
        <v>2</v>
      </c>
      <c r="BJ48" s="748">
        <f t="shared" ca="1" si="20"/>
        <v>1</v>
      </c>
      <c r="BK48" s="748">
        <f t="shared" ca="1" si="21"/>
        <v>8</v>
      </c>
      <c r="BL48" s="748">
        <f t="shared" ca="1" si="27"/>
        <v>-7</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8</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6</v>
      </c>
      <c r="BF49" s="748">
        <f t="shared" ca="1" si="26"/>
        <v>2</v>
      </c>
      <c r="BG49" s="748">
        <f t="shared" ca="1" si="17"/>
        <v>2</v>
      </c>
      <c r="BH49" s="748">
        <f t="shared" ca="1" si="18"/>
        <v>0</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6</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8</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4</v>
      </c>
      <c r="BF50" s="748">
        <f t="shared" ca="1" si="26"/>
        <v>2</v>
      </c>
      <c r="BG50" s="748">
        <f t="shared" ca="1" si="17"/>
        <v>1</v>
      </c>
      <c r="BH50" s="748">
        <f t="shared" ca="1" si="18"/>
        <v>1</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4</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1</v>
      </c>
      <c r="BW50" s="758">
        <f t="shared" ca="1" si="38"/>
        <v>0</v>
      </c>
      <c r="BX50" s="758">
        <f t="shared" ca="1" si="39"/>
        <v>1</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1</v>
      </c>
      <c r="CK50" s="758">
        <f t="shared" ca="1" si="46"/>
        <v>0</v>
      </c>
      <c r="CL50" s="758">
        <f t="shared" ca="1" si="47"/>
        <v>1</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8</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3</v>
      </c>
      <c r="BF51" s="748">
        <f t="shared" ca="1" si="26"/>
        <v>2</v>
      </c>
      <c r="BG51" s="748">
        <f t="shared" ca="1" si="17"/>
        <v>1</v>
      </c>
      <c r="BH51" s="748">
        <f t="shared" ca="1" si="18"/>
        <v>0</v>
      </c>
      <c r="BI51" s="748">
        <f t="shared" ca="1" si="19"/>
        <v>1</v>
      </c>
      <c r="BJ51" s="748">
        <f t="shared" ca="1" si="20"/>
        <v>3</v>
      </c>
      <c r="BK51" s="748">
        <f t="shared" ca="1" si="21"/>
        <v>4</v>
      </c>
      <c r="BL51" s="748">
        <f t="shared" ca="1" si="27"/>
        <v>-1</v>
      </c>
      <c r="BM51" s="748" t="str">
        <f t="shared" ca="1" si="22"/>
        <v>3L</v>
      </c>
      <c r="BN51" s="748" t="str">
        <f t="shared" ca="1" si="23"/>
        <v>3L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3</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3</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3</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3</v>
      </c>
      <c r="DE51" s="756"/>
      <c r="DF51" s="756">
        <f t="shared" ca="1" si="52"/>
        <v>3</v>
      </c>
      <c r="DG51" s="756" t="str">
        <f ca="1">IF(DB51="-","-",COUNTIFS(DF$6:DF$53,"&lt;"&amp;DF51,$BC$6:$BC$53,INDEX(T_Equipos[Grupo],MATCH(BD51,T_Equipos[NombreEquipo],0))))</f>
        <v>-</v>
      </c>
      <c r="DH51" s="756">
        <f ca="1">DA51+COUNTIFS(DB$6:DB$53,DB51,DG$6:DG$53,"&lt;"&amp;DG51,$BC$6:$BC$53,INDEX(T_Equipos[Grupo],MATCH(BD51,T_Equipos[NombreEquipo],0)))</f>
        <v>3</v>
      </c>
      <c r="DI51" s="744"/>
      <c r="DJ51" s="744">
        <f t="shared" ca="1" si="53"/>
        <v>2</v>
      </c>
      <c r="DK51" s="744">
        <f t="shared" ca="1" si="24"/>
        <v>8</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2</v>
      </c>
      <c r="BG52" s="748">
        <f t="shared" ca="1" si="17"/>
        <v>1</v>
      </c>
      <c r="BH52" s="748">
        <f t="shared" ca="1" si="18"/>
        <v>1</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1</v>
      </c>
      <c r="BW52" s="758">
        <f t="shared" ca="1" si="38"/>
        <v>0</v>
      </c>
      <c r="BX52" s="758">
        <f t="shared" ca="1" si="39"/>
        <v>1</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1</v>
      </c>
      <c r="CK52" s="758">
        <f t="shared" ca="1" si="46"/>
        <v>0</v>
      </c>
      <c r="CL52" s="758">
        <f t="shared" ca="1" si="47"/>
        <v>1</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8</v>
      </c>
      <c r="DL52" s="744">
        <f t="shared" ca="1" si="33"/>
        <v>1</v>
      </c>
      <c r="DM52" s="738" t="str">
        <f t="shared" ca="1" si="34"/>
        <v>3.1</v>
      </c>
      <c r="DN52" s="744" cm="1">
        <f t="array" aca="1" ref="DN52" ca="1">OFFSET(Horarios!$P$3,DJ52-1,0,DL52,1)</f>
        <v>3</v>
      </c>
      <c r="DO52" s="744"/>
      <c r="DP52" s="744" t="s">
        <v>443</v>
      </c>
      <c r="DQ52" s="744" t="str">
        <f t="shared" ca="1" si="35"/>
        <v>Croacia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2</v>
      </c>
      <c r="BG53" s="748">
        <f t="shared" ca="1" si="17"/>
        <v>0</v>
      </c>
      <c r="BH53" s="748">
        <f t="shared" ca="1" si="18"/>
        <v>0</v>
      </c>
      <c r="BI53" s="748">
        <f t="shared" ca="1" si="19"/>
        <v>2</v>
      </c>
      <c r="BJ53" s="748">
        <f t="shared" ca="1" si="20"/>
        <v>0</v>
      </c>
      <c r="BK53" s="748">
        <f t="shared" ca="1" si="21"/>
        <v>2</v>
      </c>
      <c r="BL53" s="748">
        <f t="shared" ca="1" si="27"/>
        <v>-2</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8</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4</v>
      </c>
      <c r="BN58" s="748">
        <f ca="1">CF58</f>
        <v>4</v>
      </c>
      <c r="BO58" s="738" t="str">
        <f>"4"&amp;BC58</f>
        <v>4A</v>
      </c>
      <c r="BP58" s="738"/>
      <c r="BQ58" s="738"/>
      <c r="BR58" s="748">
        <f t="shared" ref="BR58:BR69" ca="1" si="179">+BE58</f>
        <v>3</v>
      </c>
      <c r="BS58" s="748">
        <f ca="1">COUNTIFS(BR$58:BR$69,"&gt;"&amp;BR58)+1</f>
        <v>2</v>
      </c>
      <c r="BT58" s="748" t="str">
        <f ca="1">IF(COUNTIF(BS$58:BS$69,BS58)=1,"-","Pos. "&amp;BS58&amp;" ("&amp;COUNTIF(BS$58:BS$69,BS58)&amp;")")</f>
        <v>Pos. 2 (6)</v>
      </c>
      <c r="BU58" s="748">
        <f t="shared" ref="BU58:BU69" ca="1" si="180">IF(BT58="-","-",BL58)</f>
        <v>-1</v>
      </c>
      <c r="BV58" s="748">
        <f t="shared" ref="BV58:BV69" ca="1" si="181">BS58+COUNTIFS(BT$58:BT$69,BT58,BU$58:BU$69,"&gt;"&amp;BU58)</f>
        <v>3</v>
      </c>
      <c r="BW58" s="748" t="str">
        <f t="shared" ref="BW58:BW69" ca="1" si="182">IF(COUNTIF(BV$58:BV$69,BV58)=1,"-","Pos. "&amp;BV58&amp;" ("&amp;COUNTIF(BV$58:BV$69,BV58)&amp;")")</f>
        <v>Pos. 3 (2)</v>
      </c>
      <c r="BX58" s="748">
        <f t="shared" ref="BX58:BX69" ca="1" si="183">IF(BW58="-","-",BJ58)</f>
        <v>2</v>
      </c>
      <c r="BY58" s="748">
        <f t="shared" ref="BY58:BY69" ca="1" si="184">BV58+COUNTIFS(BW$58:BW$69,BW58,BX$58:BX$69,"&gt;"&amp;BX58)</f>
        <v>4</v>
      </c>
      <c r="BZ58" s="748" t="str">
        <f t="shared" ref="BZ58:BZ69" ca="1" si="185">IF(COUNTIF(BY$58:BY$69,BY58)=1,"-","Pos. "&amp;BY58&amp;" ("&amp;COUNTIF(BY$58:BY$69,BY58)&amp;")")</f>
        <v>-</v>
      </c>
      <c r="CA58" s="748" t="str">
        <f ca="1">IF(BZ58="-","-",COUNTIF($BD$58:$BD$69,"&gt;"&amp;BD58))</f>
        <v>-</v>
      </c>
      <c r="CB58" s="748">
        <f ca="1">BY58+COUNTIFS(BZ$58:BZ$69,BZ58,CA$58:CA$69,"&gt;"&amp;CA58)</f>
        <v>4</v>
      </c>
      <c r="CC58" s="748"/>
      <c r="CD58" s="748">
        <f ca="1">IF(OR(INDEX($AW$102:$AW$113,MATCH($BD58,$AV$102:$AV$113,0))="",BZ58="-"),CB58,INDEX($AW$102:$AW$113,MATCH($BD58,$AV$102:$AV$113,0))+CB58/1000)</f>
        <v>4</v>
      </c>
      <c r="CE58" s="748" t="str">
        <f ca="1">IF(BZ58="-","-",COUNTIF(CD$58:CD$69,"&lt;"&amp;CD58))</f>
        <v>-</v>
      </c>
      <c r="CF58" s="748">
        <f ca="1">BY58+COUNTIFS(BZ$58:BZ$69,BZ58,CE$58:CE$69,"&lt;"&amp;CE58)</f>
        <v>4</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Bosnia y Herzegovina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1</v>
      </c>
      <c r="BN59" s="748">
        <f t="shared" ref="BN59:BN69" ca="1" si="195">CF59</f>
        <v>1</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v>
      </c>
      <c r="BU59" s="748" t="str">
        <f t="shared" ca="1" si="180"/>
        <v>-</v>
      </c>
      <c r="BV59" s="748">
        <f t="shared" ca="1" si="181"/>
        <v>1</v>
      </c>
      <c r="BW59" s="748" t="str">
        <f t="shared" ca="1" si="182"/>
        <v>-</v>
      </c>
      <c r="BX59" s="748" t="str">
        <f t="shared" ca="1" si="183"/>
        <v>-</v>
      </c>
      <c r="BY59" s="748">
        <f t="shared" ca="1" si="184"/>
        <v>1</v>
      </c>
      <c r="BZ59" s="748" t="str">
        <f t="shared" ca="1" si="185"/>
        <v>-</v>
      </c>
      <c r="CA59" s="748" t="str">
        <f t="shared" ref="CA59:CA69" ca="1" si="199">IF(BZ59="-","-",COUNTIF($BD$58:$BD$69,"&gt;"&amp;BD59))</f>
        <v>-</v>
      </c>
      <c r="CB59" s="748">
        <f t="shared" ref="CB59:CB68" ca="1" si="200">BY59+COUNTIFS(BZ$58:BZ$69,BZ59,CA$58:CA$69,"&gt;"&amp;CA59)</f>
        <v>1</v>
      </c>
      <c r="CC59" s="748"/>
      <c r="CD59" s="748">
        <f t="shared" ref="CD59:CD69" ca="1" si="201">IF(OR(INDEX($AW$102:$AW$113,MATCH($BD59,$AV$102:$AV$113,0))="",BZ59="-"),CB59,INDEX($AW$102:$AW$113,MATCH($BD59,$AV$102:$AV$113,0))+CB59/1000)</f>
        <v>1</v>
      </c>
      <c r="CE59" s="748" t="str">
        <f t="shared" ref="CE59:CE69" ca="1" si="202">IF(BZ59="-","-",COUNTIF(CD$58:CD$69,"&lt;"&amp;CD59))</f>
        <v>-</v>
      </c>
      <c r="CF59" s="748">
        <f t="shared" ref="CF59:CF69" ca="1" si="203">BY59+COUNTIFS(BZ$58:BZ$69,BZ59,CE$58:CE$69,"&lt;"&amp;CE59)</f>
        <v>1</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7</v>
      </c>
      <c r="BN60" s="748">
        <f t="shared" ca="1" si="195"/>
        <v>7</v>
      </c>
      <c r="BO60" s="738" t="str">
        <f t="shared" si="196"/>
        <v>4C</v>
      </c>
      <c r="BP60" s="738"/>
      <c r="BQ60" s="738"/>
      <c r="BR60" s="748">
        <f t="shared" ca="1" si="179"/>
        <v>3</v>
      </c>
      <c r="BS60" s="748">
        <f t="shared" ca="1" si="197"/>
        <v>2</v>
      </c>
      <c r="BT60" s="748" t="str">
        <f t="shared" ca="1" si="198"/>
        <v>Pos. 2 (6)</v>
      </c>
      <c r="BU60" s="748">
        <f t="shared" ca="1" si="180"/>
        <v>-3</v>
      </c>
      <c r="BV60" s="748">
        <f t="shared" ca="1" si="181"/>
        <v>7</v>
      </c>
      <c r="BW60" s="748" t="str">
        <f t="shared" ca="1" si="182"/>
        <v>-</v>
      </c>
      <c r="BX60" s="748" t="str">
        <f t="shared" ca="1" si="183"/>
        <v>-</v>
      </c>
      <c r="BY60" s="748">
        <f t="shared" ca="1" si="184"/>
        <v>7</v>
      </c>
      <c r="BZ60" s="748" t="str">
        <f t="shared" ca="1" si="185"/>
        <v>-</v>
      </c>
      <c r="CA60" s="748" t="str">
        <f t="shared" ca="1" si="199"/>
        <v>-</v>
      </c>
      <c r="CB60" s="748">
        <f t="shared" ca="1" si="200"/>
        <v>7</v>
      </c>
      <c r="CC60" s="748"/>
      <c r="CD60" s="748">
        <f t="shared" ca="1" si="201"/>
        <v>7</v>
      </c>
      <c r="CE60" s="748" t="str">
        <f t="shared" ca="1" si="202"/>
        <v>-</v>
      </c>
      <c r="CF60" s="748">
        <f t="shared" ca="1" si="203"/>
        <v>7</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Croacia</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23"/>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6</v>
      </c>
      <c r="BN61" s="748">
        <f t="shared" ca="1" si="195"/>
        <v>6</v>
      </c>
      <c r="BO61" s="738" t="str">
        <f t="shared" si="196"/>
        <v>4D</v>
      </c>
      <c r="BP61" s="738"/>
      <c r="BQ61" s="738"/>
      <c r="BR61" s="748">
        <f t="shared" ca="1" si="179"/>
        <v>3</v>
      </c>
      <c r="BS61" s="748">
        <f t="shared" ca="1" si="197"/>
        <v>2</v>
      </c>
      <c r="BT61" s="748" t="str">
        <f t="shared" ca="1" si="198"/>
        <v>Pos. 2 (6)</v>
      </c>
      <c r="BU61" s="748">
        <f t="shared" ca="1" si="180"/>
        <v>-2</v>
      </c>
      <c r="BV61" s="748">
        <f t="shared" ca="1" si="181"/>
        <v>5</v>
      </c>
      <c r="BW61" s="748" t="str">
        <f t="shared" ca="1" si="182"/>
        <v>Pos. 5 (2)</v>
      </c>
      <c r="BX61" s="748">
        <f t="shared" ca="1" si="183"/>
        <v>2</v>
      </c>
      <c r="BY61" s="748">
        <f t="shared" ca="1" si="184"/>
        <v>5</v>
      </c>
      <c r="BZ61" s="748" t="str">
        <f t="shared" ca="1" si="185"/>
        <v>Pos. 5 (2)</v>
      </c>
      <c r="CA61" s="748">
        <f t="shared" ca="1" si="199"/>
        <v>3</v>
      </c>
      <c r="CB61" s="748">
        <f t="shared" ca="1" si="200"/>
        <v>6</v>
      </c>
      <c r="CC61" s="748"/>
      <c r="CD61" s="748">
        <f t="shared" ca="1" si="201"/>
        <v>6</v>
      </c>
      <c r="CE61" s="748">
        <f t="shared" ca="1" si="202"/>
        <v>5</v>
      </c>
      <c r="CF61" s="748">
        <f t="shared" ca="1" si="203"/>
        <v>6</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Corea del Sur</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11</v>
      </c>
      <c r="BN62" s="748">
        <f t="shared" ca="1" si="195"/>
        <v>11</v>
      </c>
      <c r="BO62" s="738" t="str">
        <f t="shared" si="196"/>
        <v>4E</v>
      </c>
      <c r="BP62" s="738"/>
      <c r="BQ62" s="738"/>
      <c r="BR62" s="748">
        <f t="shared" ca="1" si="179"/>
        <v>1</v>
      </c>
      <c r="BS62" s="748">
        <f t="shared" ca="1" si="197"/>
        <v>10</v>
      </c>
      <c r="BT62" s="748" t="str">
        <f t="shared" ca="1" si="198"/>
        <v>Pos. 10 (2)</v>
      </c>
      <c r="BU62" s="748">
        <f t="shared" ca="1" si="180"/>
        <v>-1</v>
      </c>
      <c r="BV62" s="748">
        <f t="shared" ca="1" si="181"/>
        <v>10</v>
      </c>
      <c r="BW62" s="748" t="str">
        <f t="shared" ca="1" si="182"/>
        <v>Pos. 10 (2)</v>
      </c>
      <c r="BX62" s="748">
        <f t="shared" ca="1" si="183"/>
        <v>0</v>
      </c>
      <c r="BY62" s="748">
        <f t="shared" ca="1" si="184"/>
        <v>11</v>
      </c>
      <c r="BZ62" s="748" t="str">
        <f t="shared" ca="1" si="185"/>
        <v>-</v>
      </c>
      <c r="CA62" s="748" t="str">
        <f t="shared" ca="1" si="199"/>
        <v>-</v>
      </c>
      <c r="CB62" s="748">
        <f t="shared" ca="1" si="200"/>
        <v>11</v>
      </c>
      <c r="CC62" s="748"/>
      <c r="CD62" s="748">
        <f t="shared" ca="1" si="201"/>
        <v>11</v>
      </c>
      <c r="CE62" s="748" t="str">
        <f t="shared" ca="1" si="202"/>
        <v>-</v>
      </c>
      <c r="CF62" s="748">
        <f t="shared" ca="1" si="203"/>
        <v>11</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Argelia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23"/>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2</v>
      </c>
      <c r="BN63" s="748">
        <f t="shared" ca="1" si="195"/>
        <v>2</v>
      </c>
      <c r="BO63" s="738" t="str">
        <f t="shared" si="196"/>
        <v>4F</v>
      </c>
      <c r="BP63" s="738"/>
      <c r="BQ63" s="738"/>
      <c r="BR63" s="748">
        <f t="shared" ca="1" si="179"/>
        <v>3</v>
      </c>
      <c r="BS63" s="748">
        <f t="shared" ca="1" si="197"/>
        <v>2</v>
      </c>
      <c r="BT63" s="748" t="str">
        <f t="shared" ca="1" si="198"/>
        <v>Pos. 2 (6)</v>
      </c>
      <c r="BU63" s="748">
        <f t="shared" ca="1" si="180"/>
        <v>0</v>
      </c>
      <c r="BV63" s="748">
        <f t="shared" ca="1" si="181"/>
        <v>2</v>
      </c>
      <c r="BW63" s="748" t="str">
        <f t="shared" ca="1" si="182"/>
        <v>-</v>
      </c>
      <c r="BX63" s="748" t="str">
        <f t="shared" ca="1" si="183"/>
        <v>-</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5</v>
      </c>
      <c r="DK63" s="744"/>
      <c r="DL63" s="744">
        <f t="shared" ca="1" si="204"/>
        <v>1</v>
      </c>
      <c r="DM63" s="738" t="str">
        <f t="shared" ca="1" si="187"/>
        <v>5.1</v>
      </c>
      <c r="DN63" s="744" cm="1">
        <f t="array" aca="1" ref="DN63" ca="1">OFFSET(Horarios!$P$3,DJ63-1,0,DL63,1)</f>
        <v>5</v>
      </c>
      <c r="DO63" s="744"/>
      <c r="DP63" s="744">
        <v>6</v>
      </c>
      <c r="DQ63" s="744" t="str">
        <f t="shared" ca="1" si="205"/>
        <v>Paraguay</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9</v>
      </c>
      <c r="BN64" s="748">
        <f t="shared" ca="1" si="195"/>
        <v>9</v>
      </c>
      <c r="BO64" s="738" t="str">
        <f t="shared" si="196"/>
        <v>4G</v>
      </c>
      <c r="BP64" s="738"/>
      <c r="BQ64" s="738"/>
      <c r="BR64" s="748">
        <f t="shared" ca="1" si="179"/>
        <v>2</v>
      </c>
      <c r="BS64" s="748">
        <f t="shared" ca="1" si="197"/>
        <v>8</v>
      </c>
      <c r="BT64" s="748" t="str">
        <f t="shared" ca="1" si="198"/>
        <v>Pos. 8 (2)</v>
      </c>
      <c r="BU64" s="748">
        <f t="shared" ca="1" si="180"/>
        <v>0</v>
      </c>
      <c r="BV64" s="748">
        <f t="shared" ca="1" si="181"/>
        <v>8</v>
      </c>
      <c r="BW64" s="748" t="str">
        <f t="shared" ca="1" si="182"/>
        <v>Pos. 8 (2)</v>
      </c>
      <c r="BX64" s="748">
        <f t="shared" ca="1" si="183"/>
        <v>1</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Escocia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24"/>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8</v>
      </c>
      <c r="BN65" s="748">
        <f t="shared" ca="1" si="195"/>
        <v>8</v>
      </c>
      <c r="BO65" s="738" t="str">
        <f t="shared" si="196"/>
        <v>4H</v>
      </c>
      <c r="BP65" s="738"/>
      <c r="BQ65" s="738"/>
      <c r="BR65" s="748">
        <f t="shared" ca="1" si="179"/>
        <v>2</v>
      </c>
      <c r="BS65" s="748">
        <f t="shared" ca="1" si="197"/>
        <v>8</v>
      </c>
      <c r="BT65" s="748" t="str">
        <f t="shared" ca="1" si="198"/>
        <v>Pos. 8 (2)</v>
      </c>
      <c r="BU65" s="748">
        <f t="shared" ca="1" si="180"/>
        <v>0</v>
      </c>
      <c r="BV65" s="748">
        <f t="shared" ca="1" si="181"/>
        <v>8</v>
      </c>
      <c r="BW65" s="748" t="str">
        <f t="shared" ca="1" si="182"/>
        <v>Pos. 8 (2)</v>
      </c>
      <c r="BX65" s="748">
        <f t="shared" ca="1" si="183"/>
        <v>2</v>
      </c>
      <c r="BY65" s="748">
        <f t="shared" ca="1" si="184"/>
        <v>8</v>
      </c>
      <c r="BZ65" s="748" t="str">
        <f t="shared" ca="1" si="185"/>
        <v>-</v>
      </c>
      <c r="CA65" s="748" t="str">
        <f t="shared" ca="1" si="199"/>
        <v>-</v>
      </c>
      <c r="CB65" s="748">
        <f t="shared" ca="1" si="200"/>
        <v>8</v>
      </c>
      <c r="CC65" s="748"/>
      <c r="CD65" s="748">
        <f t="shared" ca="1" si="201"/>
        <v>8</v>
      </c>
      <c r="CE65" s="748" t="str">
        <f t="shared" ca="1" si="202"/>
        <v>-</v>
      </c>
      <c r="CF65" s="748">
        <f t="shared" ca="1" si="203"/>
        <v>8</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Cabo Verde</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2</v>
      </c>
      <c r="BG66" s="748">
        <f t="shared" ca="1" si="191"/>
        <v>0</v>
      </c>
      <c r="BH66" s="748">
        <f t="shared" ca="1" si="192"/>
        <v>0</v>
      </c>
      <c r="BI66" s="748">
        <f t="shared" ca="1" si="176"/>
        <v>2</v>
      </c>
      <c r="BJ66" s="748">
        <f t="shared" ca="1" si="177"/>
        <v>3</v>
      </c>
      <c r="BK66" s="748">
        <f t="shared" ca="1" si="178"/>
        <v>6</v>
      </c>
      <c r="BL66" s="748">
        <f t="shared" ca="1" si="193"/>
        <v>-3</v>
      </c>
      <c r="BM66" s="748">
        <f t="shared" ca="1" si="194"/>
        <v>12</v>
      </c>
      <c r="BN66" s="748">
        <f t="shared" ca="1" si="195"/>
        <v>12</v>
      </c>
      <c r="BO66" s="738" t="str">
        <f t="shared" si="196"/>
        <v>4I</v>
      </c>
      <c r="BP66" s="738"/>
      <c r="BQ66" s="738"/>
      <c r="BR66" s="748">
        <f t="shared" ca="1" si="179"/>
        <v>0</v>
      </c>
      <c r="BS66" s="748">
        <f t="shared" ca="1" si="197"/>
        <v>12</v>
      </c>
      <c r="BT66" s="748" t="str">
        <f t="shared" ca="1" si="198"/>
        <v>-</v>
      </c>
      <c r="BU66" s="748" t="str">
        <f t="shared" ca="1" si="180"/>
        <v>-</v>
      </c>
      <c r="BV66" s="748">
        <f t="shared" ca="1" si="181"/>
        <v>12</v>
      </c>
      <c r="BW66" s="748" t="str">
        <f t="shared" ca="1" si="182"/>
        <v>-</v>
      </c>
      <c r="BX66" s="748" t="str">
        <f t="shared" ca="1" si="183"/>
        <v>-</v>
      </c>
      <c r="BY66" s="748">
        <f t="shared" ca="1" si="184"/>
        <v>12</v>
      </c>
      <c r="BZ66" s="748" t="str">
        <f t="shared" ca="1" si="185"/>
        <v>-</v>
      </c>
      <c r="CA66" s="748" t="str">
        <f t="shared" ca="1" si="199"/>
        <v>-</v>
      </c>
      <c r="CB66" s="748">
        <f t="shared" ca="1" si="200"/>
        <v>12</v>
      </c>
      <c r="CC66" s="748"/>
      <c r="CD66" s="748">
        <f t="shared" ca="1" si="201"/>
        <v>12</v>
      </c>
      <c r="CE66" s="748" t="str">
        <f t="shared" ca="1" si="202"/>
        <v>-</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Bélgica</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3</v>
      </c>
      <c r="BF67" s="748">
        <f t="shared" ca="1" si="190"/>
        <v>2</v>
      </c>
      <c r="BG67" s="748">
        <f t="shared" ca="1" si="191"/>
        <v>1</v>
      </c>
      <c r="BH67" s="748">
        <f t="shared" ca="1" si="192"/>
        <v>0</v>
      </c>
      <c r="BI67" s="748">
        <f t="shared" ca="1" si="176"/>
        <v>1</v>
      </c>
      <c r="BJ67" s="748">
        <f t="shared" ca="1" si="177"/>
        <v>2</v>
      </c>
      <c r="BK67" s="748">
        <f t="shared" ca="1" si="178"/>
        <v>4</v>
      </c>
      <c r="BL67" s="748">
        <f t="shared" ca="1" si="193"/>
        <v>-2</v>
      </c>
      <c r="BM67" s="748">
        <f t="shared" ca="1" si="194"/>
        <v>5</v>
      </c>
      <c r="BN67" s="748">
        <f t="shared" ca="1" si="195"/>
        <v>5</v>
      </c>
      <c r="BO67" s="738" t="str">
        <f t="shared" si="196"/>
        <v>4J</v>
      </c>
      <c r="BP67" s="738"/>
      <c r="BQ67" s="738"/>
      <c r="BR67" s="748">
        <f t="shared" ca="1" si="179"/>
        <v>3</v>
      </c>
      <c r="BS67" s="748">
        <f t="shared" ca="1" si="197"/>
        <v>2</v>
      </c>
      <c r="BT67" s="748" t="str">
        <f t="shared" ca="1" si="198"/>
        <v>Pos. 2 (6)</v>
      </c>
      <c r="BU67" s="748">
        <f t="shared" ca="1" si="180"/>
        <v>-2</v>
      </c>
      <c r="BV67" s="748">
        <f t="shared" ca="1" si="181"/>
        <v>5</v>
      </c>
      <c r="BW67" s="748" t="str">
        <f t="shared" ca="1" si="182"/>
        <v>Pos. 5 (2)</v>
      </c>
      <c r="BX67" s="748">
        <f t="shared" ca="1" si="183"/>
        <v>2</v>
      </c>
      <c r="BY67" s="748">
        <f t="shared" ca="1" si="184"/>
        <v>5</v>
      </c>
      <c r="BZ67" s="748" t="str">
        <f t="shared" ca="1" si="185"/>
        <v>Pos. 5 (2)</v>
      </c>
      <c r="CA67" s="748">
        <f t="shared" ca="1" si="199"/>
        <v>11</v>
      </c>
      <c r="CB67" s="748">
        <f t="shared" ca="1" si="200"/>
        <v>5</v>
      </c>
      <c r="CC67" s="748"/>
      <c r="CD67" s="748">
        <f t="shared" ca="1" si="201"/>
        <v>5</v>
      </c>
      <c r="CE67" s="748">
        <f t="shared" ca="1" si="202"/>
        <v>4</v>
      </c>
      <c r="CF67" s="748">
        <f t="shared" ca="1" si="203"/>
        <v>5</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RD Congo</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29"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2</v>
      </c>
      <c r="BG68" s="748">
        <f t="shared" ca="1" si="191"/>
        <v>0</v>
      </c>
      <c r="BH68" s="748">
        <f t="shared" ca="1" si="192"/>
        <v>1</v>
      </c>
      <c r="BI68" s="748">
        <f t="shared" ca="1" si="176"/>
        <v>1</v>
      </c>
      <c r="BJ68" s="748">
        <f t="shared" ca="1" si="177"/>
        <v>1</v>
      </c>
      <c r="BK68" s="748">
        <f t="shared" ca="1" si="178"/>
        <v>2</v>
      </c>
      <c r="BL68" s="748">
        <f t="shared" ca="1" si="193"/>
        <v>-1</v>
      </c>
      <c r="BM68" s="748">
        <f t="shared" ca="1" si="194"/>
        <v>10</v>
      </c>
      <c r="BN68" s="748">
        <f t="shared" ca="1" si="195"/>
        <v>10</v>
      </c>
      <c r="BO68" s="738" t="str">
        <f t="shared" si="196"/>
        <v>4K</v>
      </c>
      <c r="BP68" s="738"/>
      <c r="BQ68" s="738"/>
      <c r="BR68" s="748">
        <f t="shared" ca="1" si="179"/>
        <v>1</v>
      </c>
      <c r="BS68" s="748">
        <f t="shared" ca="1" si="197"/>
        <v>10</v>
      </c>
      <c r="BT68" s="748" t="str">
        <f t="shared" ca="1" si="198"/>
        <v>Pos. 10 (2)</v>
      </c>
      <c r="BU68" s="748">
        <f t="shared" ca="1" si="180"/>
        <v>-1</v>
      </c>
      <c r="BV68" s="748">
        <f t="shared" ca="1" si="181"/>
        <v>10</v>
      </c>
      <c r="BW68" s="748" t="str">
        <f t="shared" ca="1" si="182"/>
        <v>Pos. 10 (2)</v>
      </c>
      <c r="BX68" s="748">
        <f t="shared" ca="1" si="183"/>
        <v>1</v>
      </c>
      <c r="BY68" s="748">
        <f t="shared" ca="1" si="184"/>
        <v>10</v>
      </c>
      <c r="BZ68" s="748" t="str">
        <f t="shared" ca="1" si="185"/>
        <v>-</v>
      </c>
      <c r="CA68" s="748" t="str">
        <f t="shared" ca="1" si="199"/>
        <v>-</v>
      </c>
      <c r="CB68" s="748">
        <f t="shared" ca="1" si="200"/>
        <v>10</v>
      </c>
      <c r="CC68" s="748"/>
      <c r="CD68" s="748">
        <f t="shared" ca="1" si="201"/>
        <v>10</v>
      </c>
      <c r="CE68" s="748" t="str">
        <f t="shared" ca="1" si="202"/>
        <v>-</v>
      </c>
      <c r="CF68" s="748">
        <f t="shared" ca="1" si="203"/>
        <v>10</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Ecuador</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29"/>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Croacia</v>
      </c>
      <c r="BE69" s="748">
        <f t="shared" ca="1" si="189"/>
        <v>3</v>
      </c>
      <c r="BF69" s="748">
        <f t="shared" ca="1" si="190"/>
        <v>2</v>
      </c>
      <c r="BG69" s="748">
        <f t="shared" ca="1" si="191"/>
        <v>1</v>
      </c>
      <c r="BH69" s="748">
        <f t="shared" ca="1" si="192"/>
        <v>0</v>
      </c>
      <c r="BI69" s="748">
        <f t="shared" ca="1" si="176"/>
        <v>1</v>
      </c>
      <c r="BJ69" s="748">
        <f t="shared" ca="1" si="177"/>
        <v>3</v>
      </c>
      <c r="BK69" s="748">
        <f t="shared" ca="1" si="178"/>
        <v>4</v>
      </c>
      <c r="BL69" s="748">
        <f t="shared" ca="1" si="193"/>
        <v>-1</v>
      </c>
      <c r="BM69" s="748">
        <f t="shared" ca="1" si="194"/>
        <v>3</v>
      </c>
      <c r="BN69" s="748">
        <f t="shared" ca="1" si="195"/>
        <v>3</v>
      </c>
      <c r="BO69" s="738" t="str">
        <f t="shared" si="196"/>
        <v>4L</v>
      </c>
      <c r="BP69" s="738"/>
      <c r="BQ69" s="738"/>
      <c r="BR69" s="748">
        <f t="shared" ca="1" si="179"/>
        <v>3</v>
      </c>
      <c r="BS69" s="748">
        <f t="shared" ca="1" si="197"/>
        <v>2</v>
      </c>
      <c r="BT69" s="748" t="str">
        <f t="shared" ca="1" si="198"/>
        <v>Pos. 2 (6)</v>
      </c>
      <c r="BU69" s="748">
        <f t="shared" ca="1" si="180"/>
        <v>-1</v>
      </c>
      <c r="BV69" s="748">
        <f t="shared" ca="1" si="181"/>
        <v>3</v>
      </c>
      <c r="BW69" s="748" t="str">
        <f t="shared" ca="1" si="182"/>
        <v>Pos. 3 (2)</v>
      </c>
      <c r="BX69" s="748">
        <f t="shared" ca="1" si="183"/>
        <v>3</v>
      </c>
      <c r="BY69" s="748">
        <f t="shared" ca="1" si="184"/>
        <v>3</v>
      </c>
      <c r="BZ69" s="748" t="str">
        <f t="shared" ca="1" si="185"/>
        <v>-</v>
      </c>
      <c r="CA69" s="748" t="str">
        <f t="shared" ca="1" si="199"/>
        <v>-</v>
      </c>
      <c r="CB69" s="748">
        <f ca="1">BY69+COUNTIFS(BZ$58:BZ$69,BZ69,CA$58:CA$69,"&gt;"&amp;CA69)</f>
        <v>3</v>
      </c>
      <c r="CC69" s="748"/>
      <c r="CD69" s="748">
        <f t="shared" ca="1" si="201"/>
        <v>3</v>
      </c>
      <c r="CE69" s="748" t="str">
        <f t="shared" ca="1" si="202"/>
        <v>-</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Local</v>
      </c>
      <c r="E70" s="744" t="str">
        <f t="shared" ca="1" si="226"/>
        <v>P.1 (2)</v>
      </c>
      <c r="F70" s="744" t="str">
        <f t="shared" ca="1" si="227"/>
        <v>P.3 (2)</v>
      </c>
      <c r="G70" s="744"/>
      <c r="H70" s="744" t="str">
        <f t="shared" ca="1" si="228"/>
        <v>P.1 (2)</v>
      </c>
      <c r="I70" s="744" t="str">
        <f t="shared" ca="1" si="229"/>
        <v>P.3 (2)</v>
      </c>
      <c r="J70" s="744"/>
      <c r="K70" s="744" t="str">
        <f t="shared" ca="1" si="230"/>
        <v>P.1 (2)</v>
      </c>
      <c r="L70" s="744" t="str">
        <f t="shared" ca="1" si="231"/>
        <v>P.3 (2)</v>
      </c>
      <c r="M70" s="744"/>
      <c r="N70" s="744" t="str">
        <f t="shared" ca="1" si="232"/>
        <v>P.1 (2)</v>
      </c>
      <c r="O70" s="744" t="str">
        <f t="shared" ca="1" si="233"/>
        <v>P.3 (2)</v>
      </c>
      <c r="P70" s="744"/>
      <c r="Q70" s="744" t="str">
        <f t="shared" ca="1" si="234"/>
        <v>P.1 (2)</v>
      </c>
      <c r="R70" s="744" t="str">
        <f t="shared" ca="1" si="235"/>
        <v>P.3 (2)</v>
      </c>
      <c r="S70" s="744"/>
      <c r="T70" s="744" t="str">
        <f t="shared" ca="1" si="236"/>
        <v>P.1 (2)</v>
      </c>
      <c r="U70" s="744" t="str">
        <f t="shared" ca="1" si="237"/>
        <v>P.3 (2)</v>
      </c>
      <c r="V70" s="172"/>
      <c r="W70" s="829"/>
      <c r="X70" s="189">
        <f ca="1">Horarios!C70</f>
        <v>46195.958333333336</v>
      </c>
      <c r="Y70" s="190">
        <f ca="1">Horarios!C70</f>
        <v>46195.958333333336</v>
      </c>
      <c r="Z70" s="191" t="str">
        <f>$Z$6</f>
        <v>J2</v>
      </c>
      <c r="AA70" s="192" t="str">
        <f ca="1">A69</f>
        <v>Francia</v>
      </c>
      <c r="AB70" s="478" t="e" cm="1" vm="33">
        <f t="array" aca="1" ref="AB70" ca="1">Ver_flag_local</f>
        <v>#VALUE!</v>
      </c>
      <c r="AC70" s="193">
        <v>3</v>
      </c>
      <c r="AD70" s="194">
        <v>0</v>
      </c>
      <c r="AE70" s="483" t="e" cm="1" vm="35">
        <f t="array" aca="1" ref="AE70" ca="1">Ver_flag_visit</f>
        <v>#VALUE!</v>
      </c>
      <c r="AF70" s="195" t="str">
        <f ca="1">A71</f>
        <v>Irak</v>
      </c>
      <c r="AG70" s="413">
        <f t="shared" si="238"/>
        <v>1</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6</v>
      </c>
      <c r="AN70" s="214">
        <f t="shared" ca="1" si="243"/>
        <v>2</v>
      </c>
      <c r="AO70" s="214">
        <f t="shared" ca="1" si="243"/>
        <v>2</v>
      </c>
      <c r="AP70" s="214">
        <f t="shared" ca="1" si="243"/>
        <v>0</v>
      </c>
      <c r="AQ70" s="214">
        <f t="shared" ca="1" si="243"/>
        <v>0</v>
      </c>
      <c r="AR70" s="214">
        <f t="shared" ca="1" si="243"/>
        <v>6</v>
      </c>
      <c r="AS70" s="214">
        <f t="shared" ca="1" si="243"/>
        <v>1</v>
      </c>
      <c r="AT70" s="215">
        <f t="shared" ca="1" si="243"/>
        <v>5</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Local</v>
      </c>
      <c r="E71" s="744" t="str">
        <f t="shared" ca="1" si="226"/>
        <v>P.1 (2)</v>
      </c>
      <c r="F71" s="744" t="str">
        <f t="shared" ca="1" si="227"/>
        <v>P.3 (2)</v>
      </c>
      <c r="G71" s="744"/>
      <c r="H71" s="744" t="str">
        <f t="shared" ca="1" si="228"/>
        <v>P.1 (2)</v>
      </c>
      <c r="I71" s="744" t="str">
        <f t="shared" ca="1" si="229"/>
        <v>P.3 (2)</v>
      </c>
      <c r="J71" s="744"/>
      <c r="K71" s="744" t="str">
        <f t="shared" ca="1" si="230"/>
        <v>P.1 (2)</v>
      </c>
      <c r="L71" s="744" t="str">
        <f t="shared" ca="1" si="231"/>
        <v>P.3 (2)</v>
      </c>
      <c r="M71" s="744"/>
      <c r="N71" s="744" t="str">
        <f t="shared" ca="1" si="232"/>
        <v>P.1 (2)</v>
      </c>
      <c r="O71" s="744" t="str">
        <f t="shared" ca="1" si="233"/>
        <v>P.3 (2)</v>
      </c>
      <c r="P71" s="744"/>
      <c r="Q71" s="744" t="str">
        <f t="shared" ca="1" si="234"/>
        <v>P.1 (2)</v>
      </c>
      <c r="R71" s="744" t="str">
        <f t="shared" ca="1" si="235"/>
        <v>P.3 (2)</v>
      </c>
      <c r="S71" s="744"/>
      <c r="T71" s="744" t="str">
        <f t="shared" ca="1" si="236"/>
        <v>P.1 (2)</v>
      </c>
      <c r="U71" s="744" t="str">
        <f t="shared" ca="1" si="237"/>
        <v>P.3 (2)</v>
      </c>
      <c r="V71" s="172"/>
      <c r="W71" s="829"/>
      <c r="X71" s="189">
        <f ca="1">Horarios!C71</f>
        <v>46196.083333333336</v>
      </c>
      <c r="Y71" s="190">
        <f ca="1">Horarios!C71</f>
        <v>46196.083333333336</v>
      </c>
      <c r="Z71" s="191" t="str">
        <f>$Z$6</f>
        <v>J2</v>
      </c>
      <c r="AA71" s="192" t="str">
        <f ca="1">A72</f>
        <v>Noruega</v>
      </c>
      <c r="AB71" s="478" t="e" cm="1" vm="36">
        <f t="array" aca="1" ref="AB71" ca="1">Ver_flag_local</f>
        <v>#VALUE!</v>
      </c>
      <c r="AC71" s="193">
        <v>3</v>
      </c>
      <c r="AD71" s="194">
        <v>2</v>
      </c>
      <c r="AE71" s="483" t="e" cm="1" vm="34">
        <f t="array" aca="1" ref="AE71" ca="1">Ver_flag_visit</f>
        <v>#VALUE!</v>
      </c>
      <c r="AF71" s="195" t="str">
        <f ca="1">A70</f>
        <v>Senegal</v>
      </c>
      <c r="AG71" s="413">
        <f t="shared" si="238"/>
        <v>1</v>
      </c>
      <c r="AH71" s="196">
        <v>41</v>
      </c>
      <c r="AI71" s="19" t="str">
        <f t="shared" ref="AI71:AI73" si="244">AJ71&amp;$B$68</f>
        <v>2I</v>
      </c>
      <c r="AJ71" s="221">
        <v>2</v>
      </c>
      <c r="AK71" s="486" t="e" cm="1" vm="36">
        <f t="array" aca="1" ref="AK71" ca="1">Ver_flag_visit</f>
        <v>#VALUE!</v>
      </c>
      <c r="AL71" s="222" t="str">
        <f ca="1">IFERROR(INDEX($BD$6:$BD$53,MATCH(AI71,$BN$6:$BN$53,0)),"")</f>
        <v>Noruega</v>
      </c>
      <c r="AM71" s="223">
        <f t="shared" ca="1" si="243"/>
        <v>6</v>
      </c>
      <c r="AN71" s="224">
        <f t="shared" ca="1" si="243"/>
        <v>2</v>
      </c>
      <c r="AO71" s="224">
        <f t="shared" ca="1" si="243"/>
        <v>2</v>
      </c>
      <c r="AP71" s="224">
        <f t="shared" ca="1" si="243"/>
        <v>0</v>
      </c>
      <c r="AQ71" s="224">
        <f t="shared" ca="1" si="243"/>
        <v>0</v>
      </c>
      <c r="AR71" s="224">
        <f t="shared" ca="1" si="243"/>
        <v>7</v>
      </c>
      <c r="AS71" s="224">
        <f t="shared" ca="1" si="243"/>
        <v>3</v>
      </c>
      <c r="AT71" s="225">
        <f t="shared" ca="1" si="243"/>
        <v>4</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9"/>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2</v>
      </c>
      <c r="AO72" s="224">
        <f t="shared" ca="1" si="243"/>
        <v>0</v>
      </c>
      <c r="AP72" s="224">
        <f t="shared" ca="1" si="243"/>
        <v>0</v>
      </c>
      <c r="AQ72" s="224">
        <f t="shared" ca="1" si="243"/>
        <v>2</v>
      </c>
      <c r="AR72" s="224">
        <f t="shared" ca="1" si="243"/>
        <v>3</v>
      </c>
      <c r="AS72" s="224">
        <f t="shared" ca="1" si="243"/>
        <v>6</v>
      </c>
      <c r="AT72" s="225">
        <f t="shared" ca="1" si="243"/>
        <v>-3</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0"/>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2</v>
      </c>
      <c r="AO73" s="238">
        <f t="shared" ca="1" si="243"/>
        <v>0</v>
      </c>
      <c r="AP73" s="238">
        <f t="shared" ca="1" si="243"/>
        <v>0</v>
      </c>
      <c r="AQ73" s="238">
        <f t="shared" ca="1" si="243"/>
        <v>2</v>
      </c>
      <c r="AR73" s="238">
        <f t="shared" ca="1" si="243"/>
        <v>1</v>
      </c>
      <c r="AS73" s="238">
        <f t="shared" ca="1" si="243"/>
        <v>7</v>
      </c>
      <c r="AT73" s="239">
        <f t="shared" ca="1" si="243"/>
        <v>-6</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0">
        <f t="array" aca="1" ref="AB79" ca="1">Ver_flag_local</f>
        <v>#VALUE!</v>
      </c>
      <c r="AC79" s="193">
        <v>1</v>
      </c>
      <c r="AD79" s="194">
        <v>2</v>
      </c>
      <c r="AE79" s="483" t="e" cm="1" vm="38">
        <f t="array" aca="1" ref="AE79" ca="1">Ver_flag_visit</f>
        <v>#VALUE!</v>
      </c>
      <c r="AF79" s="195" t="str">
        <f ca="1">A78</f>
        <v>Argelia</v>
      </c>
      <c r="AG79" s="413">
        <f t="shared" si="258"/>
        <v>1</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25"/>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8">
        <f t="array" aca="1" ref="AK80" ca="1">Ver_flag_visit</f>
        <v>#VALUE!</v>
      </c>
      <c r="AL80" s="222" t="str">
        <f ca="1">IFERROR(INDEX($BD$6:$BD$53,MATCH(AI80,$BN$6:$BN$53,0)),"")</f>
        <v>Argelia</v>
      </c>
      <c r="AM80" s="223">
        <f t="shared" ca="1" si="262"/>
        <v>3</v>
      </c>
      <c r="AN80" s="224">
        <f t="shared" ca="1" si="262"/>
        <v>2</v>
      </c>
      <c r="AO80" s="224">
        <f t="shared" ca="1" si="262"/>
        <v>1</v>
      </c>
      <c r="AP80" s="224">
        <f t="shared" ca="1" si="262"/>
        <v>0</v>
      </c>
      <c r="AQ80" s="224">
        <f t="shared" ca="1" si="262"/>
        <v>1</v>
      </c>
      <c r="AR80" s="224">
        <f t="shared" ca="1" si="262"/>
        <v>2</v>
      </c>
      <c r="AS80" s="224">
        <f t="shared" ca="1" si="262"/>
        <v>4</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26"/>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2</v>
      </c>
      <c r="AO81" s="238">
        <f t="shared" ca="1" si="262"/>
        <v>0</v>
      </c>
      <c r="AP81" s="238">
        <f t="shared" ca="1" si="262"/>
        <v>0</v>
      </c>
      <c r="AQ81" s="238">
        <f t="shared" ca="1" si="262"/>
        <v>2</v>
      </c>
      <c r="AR81" s="238">
        <f t="shared" ca="1" si="262"/>
        <v>2</v>
      </c>
      <c r="AS81" s="238">
        <f t="shared" ca="1" si="262"/>
        <v>5</v>
      </c>
      <c r="AT81" s="239">
        <f t="shared" ca="1" si="262"/>
        <v>-3</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1">
        <f t="array" aca="1" ref="AB86" ca="1">Ver_flag_local</f>
        <v>#VALUE!</v>
      </c>
      <c r="AC86" s="193">
        <v>5</v>
      </c>
      <c r="AD86" s="194">
        <v>0</v>
      </c>
      <c r="AE86" s="483" t="e" cm="1" vm="43">
        <f t="array" aca="1" ref="AE86" ca="1">Ver_flag_visit</f>
        <v>#VALUE!</v>
      </c>
      <c r="AF86" s="195" t="str">
        <f ca="1">A87</f>
        <v>Uzbekistán</v>
      </c>
      <c r="AG86" s="413">
        <f t="shared" si="277"/>
        <v>1</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6</v>
      </c>
      <c r="AN86" s="214">
        <f t="shared" ca="1" si="281"/>
        <v>2</v>
      </c>
      <c r="AO86" s="214">
        <f t="shared" ca="1" si="281"/>
        <v>2</v>
      </c>
      <c r="AP86" s="214">
        <f t="shared" ca="1" si="281"/>
        <v>0</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4">
        <f t="array" aca="1" ref="AB87" ca="1">Ver_flag_local</f>
        <v>#VALUE!</v>
      </c>
      <c r="AC87" s="193">
        <v>1</v>
      </c>
      <c r="AD87" s="194">
        <v>0</v>
      </c>
      <c r="AE87" s="483" t="e" cm="1" vm="42">
        <f t="array" aca="1" ref="AE87" ca="1">Ver_flag_visit</f>
        <v>#VALUE!</v>
      </c>
      <c r="AF87" s="195" t="str">
        <f ca="1">A86</f>
        <v>RD Congo</v>
      </c>
      <c r="AG87" s="413">
        <f t="shared" si="277"/>
        <v>1</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4</v>
      </c>
      <c r="AN87" s="224">
        <f t="shared" ca="1" si="281"/>
        <v>2</v>
      </c>
      <c r="AO87" s="224">
        <f t="shared" ca="1" si="281"/>
        <v>1</v>
      </c>
      <c r="AP87" s="224">
        <f t="shared" ca="1" si="281"/>
        <v>1</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1"/>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2</v>
      </c>
      <c r="AO88" s="224">
        <f t="shared" ca="1" si="281"/>
        <v>0</v>
      </c>
      <c r="AP88" s="224">
        <f t="shared" ca="1" si="281"/>
        <v>1</v>
      </c>
      <c r="AQ88" s="224">
        <f t="shared" ca="1" si="281"/>
        <v>1</v>
      </c>
      <c r="AR88" s="224">
        <f t="shared" ca="1" si="281"/>
        <v>1</v>
      </c>
      <c r="AS88" s="224">
        <f t="shared" ca="1" si="281"/>
        <v>2</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32"/>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2</v>
      </c>
      <c r="AO89" s="238">
        <f t="shared" ca="1" si="281"/>
        <v>0</v>
      </c>
      <c r="AP89" s="238">
        <f t="shared" ca="1" si="281"/>
        <v>0</v>
      </c>
      <c r="AQ89" s="238">
        <f t="shared" ca="1" si="281"/>
        <v>2</v>
      </c>
      <c r="AR89" s="238">
        <f t="shared" ca="1" si="281"/>
        <v>1</v>
      </c>
      <c r="AS89" s="238">
        <f t="shared" ca="1" si="281"/>
        <v>8</v>
      </c>
      <c r="AT89" s="239">
        <f t="shared" ca="1" si="281"/>
        <v>-7</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v>
      </c>
      <c r="G92" s="744"/>
      <c r="H92" s="744" t="str">
        <f t="shared" ref="H92:H97" ca="1" si="286">IF(D92="Pendiente","-",INDEX($BZ$6:$BZ$53,MATCH($AA92,$BD$6:$BD$53,0)))</f>
        <v>P.1 (2)</v>
      </c>
      <c r="I92" s="744" t="str">
        <f t="shared" ref="I92:I97" ca="1" si="287">IF(D92="Pendiente","-",INDEX($BZ$6:$BZ$53,MATCH($AF92,$BD$6:$BD$53,0)))</f>
        <v>-</v>
      </c>
      <c r="J92" s="744"/>
      <c r="K92" s="744" t="str">
        <f t="shared" ref="K92:K97" ca="1" si="288">IF(D92="Pendiente","-",INDEX($CE$6:$CE$53,MATCH($AA92,$BD$6:$BD$53,0)))</f>
        <v>P.1 (2)</v>
      </c>
      <c r="L92" s="744" t="str">
        <f t="shared" ref="L92:L97" ca="1" si="289">IF(D92="Pendiente","-",INDEX($CE$6:$CE$53,MATCH($AF92,$BD$6:$BD$53,0)))</f>
        <v>-</v>
      </c>
      <c r="M92" s="744"/>
      <c r="N92" s="744" t="str">
        <f t="shared" ref="N92:N97" ca="1" si="290">IF(D92="Pendiente","-",INDEX($CH$6:$CH$53,MATCH($AA92,$BD$6:$BD$53,0)))</f>
        <v>P.1 (2)</v>
      </c>
      <c r="O92" s="744" t="str">
        <f t="shared" ref="O92:O97" ca="1" si="291">IF(D92="Pendiente","-",INDEX($CH$6:$CH$53,MATCH($AF92,$BD$6:$BD$53,0)))</f>
        <v>-</v>
      </c>
      <c r="P92" s="744"/>
      <c r="Q92" s="744" t="str">
        <f t="shared" ref="Q92:Q97" ca="1" si="292">IF(D92="Pendiente","-",INDEX($CN$6:$CN$53,MATCH($AA92,$BD$6:$BD$53,0)))</f>
        <v>P.1 (2)</v>
      </c>
      <c r="R92" s="744" t="str">
        <f t="shared" ref="R92:R97" ca="1" si="293">IF(D92="Pendiente","-",INDEX($CN$6:$CN$53,MATCH($AF92,$BD$6:$BD$53,0)))</f>
        <v>-</v>
      </c>
      <c r="S92" s="744"/>
      <c r="T92" s="744" t="str">
        <f t="shared" ref="T92:T97" ca="1" si="294">IF(D92="Pendiente","-",INDEX($CS$6:$CS$53,MATCH($AA92,$BD$6:$BD$53,0)))</f>
        <v>P.1 (2)</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v>
      </c>
      <c r="G93" s="744"/>
      <c r="H93" s="744" t="str">
        <f t="shared" ca="1" si="286"/>
        <v>P.1 (2)</v>
      </c>
      <c r="I93" s="744" t="str">
        <f t="shared" ca="1" si="287"/>
        <v>-</v>
      </c>
      <c r="J93" s="744"/>
      <c r="K93" s="744" t="str">
        <f t="shared" ca="1" si="288"/>
        <v>P.1 (2)</v>
      </c>
      <c r="L93" s="744" t="str">
        <f t="shared" ca="1" si="289"/>
        <v>-</v>
      </c>
      <c r="M93" s="744"/>
      <c r="N93" s="744" t="str">
        <f t="shared" ca="1" si="290"/>
        <v>P.1 (2)</v>
      </c>
      <c r="O93" s="744" t="str">
        <f t="shared" ca="1" si="291"/>
        <v>-</v>
      </c>
      <c r="P93" s="744"/>
      <c r="Q93" s="744" t="str">
        <f t="shared" ca="1" si="292"/>
        <v>P.1 (2)</v>
      </c>
      <c r="R93" s="744" t="str">
        <f t="shared" ca="1" si="293"/>
        <v>-</v>
      </c>
      <c r="S93" s="744"/>
      <c r="T93" s="744" t="str">
        <f t="shared" ca="1" si="294"/>
        <v>P.1 (2)</v>
      </c>
      <c r="U93" s="744" t="str">
        <f t="shared" ca="1" si="295"/>
        <v>-</v>
      </c>
      <c r="V93" s="172"/>
      <c r="W93" s="827"/>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Empate</v>
      </c>
      <c r="E94" s="744" t="str">
        <f t="shared" ca="1" si="284"/>
        <v>P.1 (2)</v>
      </c>
      <c r="F94" s="744" t="str">
        <f t="shared" ca="1" si="285"/>
        <v>P.1 (2)</v>
      </c>
      <c r="G94" s="744"/>
      <c r="H94" s="744" t="str">
        <f t="shared" ca="1" si="286"/>
        <v>P.1 (2)</v>
      </c>
      <c r="I94" s="744" t="str">
        <f t="shared" ca="1" si="287"/>
        <v>P.1 (2)</v>
      </c>
      <c r="J94" s="744"/>
      <c r="K94" s="744" t="str">
        <f t="shared" ca="1" si="288"/>
        <v>P.1 (2)</v>
      </c>
      <c r="L94" s="744" t="str">
        <f t="shared" ca="1" si="289"/>
        <v>P.1 (2)</v>
      </c>
      <c r="M94" s="744"/>
      <c r="N94" s="744" t="str">
        <f t="shared" ca="1" si="290"/>
        <v>P.1 (2)</v>
      </c>
      <c r="O94" s="744" t="str">
        <f t="shared" ca="1" si="291"/>
        <v>P.1 (2)</v>
      </c>
      <c r="P94" s="744"/>
      <c r="Q94" s="744" t="str">
        <f t="shared" ca="1" si="292"/>
        <v>P.1 (2)</v>
      </c>
      <c r="R94" s="744" t="str">
        <f t="shared" ca="1" si="293"/>
        <v>P.1 (2)</v>
      </c>
      <c r="S94" s="744"/>
      <c r="T94" s="744" t="str">
        <f t="shared" ca="1" si="294"/>
        <v>P.1 (2)</v>
      </c>
      <c r="U94" s="744" t="str">
        <f t="shared" ca="1" si="295"/>
        <v>P.1 (2)</v>
      </c>
      <c r="V94" s="172"/>
      <c r="W94" s="827"/>
      <c r="X94" s="189">
        <f ca="1">Horarios!C94</f>
        <v>46196.916666666664</v>
      </c>
      <c r="Y94" s="190">
        <f ca="1">Horarios!C94</f>
        <v>46196.916666666664</v>
      </c>
      <c r="Z94" s="191" t="str">
        <f>$Z$6</f>
        <v>J2</v>
      </c>
      <c r="AA94" s="192" t="str">
        <f ca="1">A93</f>
        <v>Inglaterra</v>
      </c>
      <c r="AB94" s="478" t="e" cm="1" vm="45">
        <f t="array" aca="1" ref="AB94" ca="1">Ver_flag_local</f>
        <v>#VALUE!</v>
      </c>
      <c r="AC94" s="193">
        <v>0</v>
      </c>
      <c r="AD94" s="194">
        <v>0</v>
      </c>
      <c r="AE94" s="483" t="e" cm="1" vm="47">
        <f t="array" aca="1" ref="AE94" ca="1">Ver_flag_visit</f>
        <v>#VALUE!</v>
      </c>
      <c r="AF94" s="195" t="str">
        <f ca="1">A95</f>
        <v>Ghana</v>
      </c>
      <c r="AG94" s="413">
        <f t="shared" si="296"/>
        <v>1</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4</v>
      </c>
      <c r="AN94" s="214">
        <f t="shared" ca="1" si="300"/>
        <v>2</v>
      </c>
      <c r="AO94" s="214">
        <f t="shared" ca="1" si="300"/>
        <v>1</v>
      </c>
      <c r="AP94" s="214">
        <f t="shared" ca="1" si="300"/>
        <v>1</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8">
        <f t="array" aca="1" ref="AB95" ca="1">Ver_flag_local</f>
        <v>#VALUE!</v>
      </c>
      <c r="AC95" s="193">
        <v>0</v>
      </c>
      <c r="AD95" s="194">
        <v>1</v>
      </c>
      <c r="AE95" s="483" t="e" cm="1" vm="46">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4</v>
      </c>
      <c r="AN95" s="224">
        <f t="shared" ca="1" si="300"/>
        <v>2</v>
      </c>
      <c r="AO95" s="224">
        <f t="shared" ca="1" si="300"/>
        <v>1</v>
      </c>
      <c r="AP95" s="224">
        <f t="shared" ca="1" si="300"/>
        <v>1</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7"/>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6">
        <f t="array" aca="1" ref="AK96" ca="1">Ver_flag_visit</f>
        <v>#VALUE!</v>
      </c>
      <c r="AL96" s="222" t="str">
        <f ca="1">IFERROR(INDEX($BD$6:$BD$53,MATCH(AI96,$BN$6:$BN$53,0)),"")</f>
        <v>Croacia</v>
      </c>
      <c r="AM96" s="223">
        <f t="shared" ca="1" si="300"/>
        <v>3</v>
      </c>
      <c r="AN96" s="224">
        <f t="shared" ca="1" si="300"/>
        <v>2</v>
      </c>
      <c r="AO96" s="224">
        <f t="shared" ca="1" si="300"/>
        <v>1</v>
      </c>
      <c r="AP96" s="224">
        <f t="shared" ca="1" si="300"/>
        <v>0</v>
      </c>
      <c r="AQ96" s="224">
        <f t="shared" ca="1" si="300"/>
        <v>1</v>
      </c>
      <c r="AR96" s="224">
        <f t="shared" ca="1" si="300"/>
        <v>3</v>
      </c>
      <c r="AS96" s="224">
        <f t="shared" ca="1" si="300"/>
        <v>4</v>
      </c>
      <c r="AT96" s="225">
        <f t="shared" ca="1" si="300"/>
        <v>-1</v>
      </c>
      <c r="AU96" s="420">
        <f ca="1">INDEX($DL$6:$DL$53,MATCH(AI96,$DP$6:$DP$53,0))</f>
        <v>1</v>
      </c>
      <c r="AV96" s="217" t="str">
        <f ca="1">INDEX($BD$6:$BD$53,MATCH(AI96,$BM$6:$BM$53,0))</f>
        <v>Croacia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8"/>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2</v>
      </c>
      <c r="AO97" s="238">
        <f t="shared" ca="1" si="300"/>
        <v>0</v>
      </c>
      <c r="AP97" s="238">
        <f t="shared" ca="1" si="300"/>
        <v>0</v>
      </c>
      <c r="AQ97" s="238">
        <f t="shared" ca="1" si="300"/>
        <v>2</v>
      </c>
      <c r="AR97" s="238">
        <f t="shared" ca="1" si="300"/>
        <v>0</v>
      </c>
      <c r="AS97" s="238">
        <f t="shared" ca="1" si="300"/>
        <v>2</v>
      </c>
      <c r="AT97" s="239">
        <f t="shared" ca="1" si="300"/>
        <v>-2</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c r="AD101" s="194"/>
      <c r="AE101" s="279"/>
      <c r="AF101" s="280" t="str">
        <f t="shared" ref="AF101:AF116" ca="1" si="306">+INDEX($N$101:$N$147,MATCH(AH101,$J$101:$J$147,0))</f>
        <v>Canadá</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ABCDFHJL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12</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2F</v>
      </c>
      <c r="AG102" s="417">
        <f t="shared" si="307"/>
        <v>0</v>
      </c>
      <c r="AH102" s="196">
        <v>76</v>
      </c>
      <c r="AI102" s="217">
        <v>1</v>
      </c>
      <c r="AJ102" s="282">
        <v>1</v>
      </c>
      <c r="AK102" s="485" t="e" cm="1" vm="6">
        <f t="array" aca="1" ref="AK102" ca="1">Ver_flag_visit</f>
        <v>#VALUE!</v>
      </c>
      <c r="AL102" s="283" t="str">
        <f t="shared" ref="AL102:AL113" ca="1" si="310">+IF($H$113&gt;=48,INDEX($BD$58:$BD$69,MATCH(AI102,$BN$58:$BN$69,0)),BB58)</f>
        <v>Bosnia y Herzegovina</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5</v>
      </c>
      <c r="AS102" s="286">
        <f t="shared" ca="1" si="311"/>
        <v>6</v>
      </c>
      <c r="AT102" s="287">
        <f t="shared" ca="1" si="311"/>
        <v>-1</v>
      </c>
      <c r="AU102" s="420" t="str">
        <f t="shared" ref="AU102:AU113" ca="1" si="312">IF($H$113=144,INDEX($DL$58:$DL$69,MATCH(AI102,$DP$58:$DP$69,0)),"")</f>
        <v/>
      </c>
      <c r="AV102" s="217" t="str">
        <f t="shared" ref="AV102:AV113" ca="1" si="313">INDEX($BD$58:$BD$69,MATCH(AI102,$BM$58:$BM$69,0))</f>
        <v>Bosnia y Herzegovina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12</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6</v>
      </c>
      <c r="AS103" s="291">
        <f t="shared" ca="1" si="314"/>
        <v>6</v>
      </c>
      <c r="AT103" s="292">
        <f t="shared" ca="1" si="314"/>
        <v>0</v>
      </c>
      <c r="AU103" s="420" t="str">
        <f t="shared" ca="1" si="312"/>
        <v/>
      </c>
      <c r="AV103" s="217" t="str">
        <f t="shared" ca="1" si="313"/>
        <v>Suecia</v>
      </c>
      <c r="AW103" s="427"/>
      <c r="AX103" s="288"/>
      <c r="AY103" s="293"/>
      <c r="AZ103" s="294" t="str">
        <f t="shared" ref="AZ103:AZ110" ca="1" si="315">+IF(OR($H$113&gt;=48,$AJ$99=144),BF117&amp;" - "&amp;BG117,"")</f>
        <v>1A - 3C</v>
      </c>
      <c r="BA103" s="175"/>
      <c r="BB103" s="738"/>
      <c r="BC103" s="744"/>
      <c r="BD103" s="738"/>
      <c r="BE103" s="738"/>
      <c r="BF103" s="738" t="str">
        <f t="shared" ref="BF103:BF110" ca="1" si="316">IFERROR(INDEX($BC$6:$BC$53,MATCH(AL102,$BD$6:$BD$53,0)),"")</f>
        <v>B</v>
      </c>
      <c r="BG103" s="738">
        <f t="shared" ref="BG103:BG110" ca="1" si="317">COUNTIF($BF$103:$BF$110,"&lt;="&amp;BF103)</f>
        <v>2</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Marruecos</v>
      </c>
      <c r="AG104" s="417">
        <f t="shared" si="307"/>
        <v>0</v>
      </c>
      <c r="AH104" s="196">
        <v>75</v>
      </c>
      <c r="AI104" s="217">
        <v>3</v>
      </c>
      <c r="AJ104" s="221">
        <v>3</v>
      </c>
      <c r="AK104" s="486" t="e" cm="1" vm="46">
        <f t="array" aca="1" ref="AK104" ca="1">Ver_flag_visit</f>
        <v>#VALUE!</v>
      </c>
      <c r="AL104" s="289" t="str">
        <f t="shared" ca="1" si="310"/>
        <v>Croacia</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3</v>
      </c>
      <c r="AS104" s="291">
        <f t="shared" ca="1" si="319"/>
        <v>4</v>
      </c>
      <c r="AT104" s="292">
        <f t="shared" ca="1" si="319"/>
        <v>-1</v>
      </c>
      <c r="AU104" s="420" t="str">
        <f t="shared" ca="1" si="312"/>
        <v/>
      </c>
      <c r="AV104" s="217" t="str">
        <f t="shared" ca="1" si="313"/>
        <v>Croacia</v>
      </c>
      <c r="AW104" s="427"/>
      <c r="AX104" s="288"/>
      <c r="AY104" s="293"/>
      <c r="AZ104" s="294" t="str">
        <f t="shared" ca="1" si="315"/>
        <v>1B - 3J</v>
      </c>
      <c r="BA104" s="175"/>
      <c r="BB104" s="738"/>
      <c r="BC104" s="744"/>
      <c r="BD104" s="738"/>
      <c r="BE104" s="738"/>
      <c r="BF104" s="738" t="str">
        <f t="shared" ca="1" si="316"/>
        <v>F</v>
      </c>
      <c r="BG104" s="738">
        <f t="shared" ca="1" si="317"/>
        <v>5</v>
      </c>
      <c r="BH104" s="738"/>
      <c r="BI104" s="744">
        <v>2</v>
      </c>
      <c r="BJ104" s="738" t="str">
        <f t="shared" ca="1" si="318"/>
        <v>B</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1F-Marruecos</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3">
        <f t="array" aca="1" ref="AK105" ca="1">Ver_flag_visit</f>
        <v>#VALUE!</v>
      </c>
      <c r="AL105" s="289" t="str">
        <f t="shared" ca="1" si="310"/>
        <v>Corea del Sur</v>
      </c>
      <c r="AM105" s="290">
        <f t="shared" ref="AM105:AT105" ca="1" si="320">+IF($H$113&gt;=48,INDEX($BE$58:$BN$69,MATCH($AL105,$BD$58:$BD$69,0),MATCH(AM$5,$BE$57:$BN$57,0)),$BB61)</f>
        <v>3</v>
      </c>
      <c r="AN105" s="291">
        <f t="shared" ca="1" si="320"/>
        <v>3</v>
      </c>
      <c r="AO105" s="291">
        <f t="shared" ca="1" si="320"/>
        <v>1</v>
      </c>
      <c r="AP105" s="291">
        <f t="shared" ca="1" si="320"/>
        <v>0</v>
      </c>
      <c r="AQ105" s="291">
        <f t="shared" ca="1" si="320"/>
        <v>2</v>
      </c>
      <c r="AR105" s="291">
        <f t="shared" ca="1" si="320"/>
        <v>2</v>
      </c>
      <c r="AS105" s="291">
        <f t="shared" ca="1" si="320"/>
        <v>3</v>
      </c>
      <c r="AT105" s="292">
        <f t="shared" ca="1" si="320"/>
        <v>-1</v>
      </c>
      <c r="AU105" s="420" t="str">
        <f t="shared" ca="1" si="312"/>
        <v/>
      </c>
      <c r="AV105" s="217" t="str">
        <f t="shared" ca="1" si="313"/>
        <v>Corea del Sur</v>
      </c>
      <c r="AW105" s="427"/>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C</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38">
        <f t="array" aca="1" ref="AK106" ca="1">Ver_flag_visit</f>
        <v>#VALUE!</v>
      </c>
      <c r="AL106" s="289" t="str">
        <f t="shared" ca="1" si="310"/>
        <v>Argelia</v>
      </c>
      <c r="AM106" s="290">
        <f t="shared" ref="AM106:AT106" ca="1" si="321">+IF($H$113&gt;=48,INDEX($BE$58:$BN$69,MATCH($AL106,$BD$58:$BD$69,0),MATCH(AM$5,$BE$57:$BN$57,0)),$BB62)</f>
        <v>3</v>
      </c>
      <c r="AN106" s="291">
        <f t="shared" ca="1" si="321"/>
        <v>2</v>
      </c>
      <c r="AO106" s="291">
        <f t="shared" ca="1" si="321"/>
        <v>1</v>
      </c>
      <c r="AP106" s="291">
        <f t="shared" ca="1" si="321"/>
        <v>0</v>
      </c>
      <c r="AQ106" s="291">
        <f t="shared" ca="1" si="321"/>
        <v>1</v>
      </c>
      <c r="AR106" s="291">
        <f t="shared" ca="1" si="321"/>
        <v>2</v>
      </c>
      <c r="AS106" s="291">
        <f t="shared" ca="1" si="321"/>
        <v>4</v>
      </c>
      <c r="AT106" s="292">
        <f t="shared" ca="1" si="321"/>
        <v>-2</v>
      </c>
      <c r="AU106" s="420" t="str">
        <f t="shared" ca="1" si="312"/>
        <v/>
      </c>
      <c r="AV106" s="217" t="str">
        <f t="shared" ca="1" si="313"/>
        <v>Argelia</v>
      </c>
      <c r="AW106" s="427"/>
      <c r="AX106" s="288"/>
      <c r="AY106" s="293"/>
      <c r="AZ106" s="294" t="str">
        <f t="shared" ca="1" si="315"/>
        <v>1E - 3D</v>
      </c>
      <c r="BA106" s="175"/>
      <c r="BB106" s="738"/>
      <c r="BC106" s="744"/>
      <c r="BD106" s="738"/>
      <c r="BE106" s="738"/>
      <c r="BF106" s="738" t="str">
        <f t="shared" ca="1" si="316"/>
        <v>A</v>
      </c>
      <c r="BG106" s="738">
        <f t="shared" ca="1" si="317"/>
        <v>1</v>
      </c>
      <c r="BH106" s="738"/>
      <c r="BI106" s="744">
        <v>4</v>
      </c>
      <c r="BJ106" s="738" t="str">
        <f t="shared" ca="1" si="318"/>
        <v>D</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c r="AD107" s="281"/>
      <c r="AE107" s="278"/>
      <c r="AF107" s="280" t="str">
        <f t="shared" ca="1" si="306"/>
        <v>3CEFHI</v>
      </c>
      <c r="AG107" s="417">
        <f t="shared" si="307"/>
        <v>0</v>
      </c>
      <c r="AH107" s="196">
        <v>79</v>
      </c>
      <c r="AI107" s="217">
        <v>6</v>
      </c>
      <c r="AJ107" s="221">
        <v>6</v>
      </c>
      <c r="AK107" s="486" t="e" cm="1" vm="14">
        <f t="array" aca="1" ref="AK107" ca="1">Ver_flag_visit</f>
        <v>#VALUE!</v>
      </c>
      <c r="AL107" s="289" t="str">
        <f t="shared" ca="1" si="310"/>
        <v>Paraguay</v>
      </c>
      <c r="AM107" s="290">
        <f t="shared" ref="AM107:AT107" ca="1" si="322">+IF($H$113&gt;=48,INDEX($BE$58:$BN$69,MATCH($AL107,$BD$58:$BD$69,0),MATCH(AM$5,$BE$57:$BN$57,0)),$BB63)</f>
        <v>3</v>
      </c>
      <c r="AN107" s="291">
        <f t="shared" ca="1" si="322"/>
        <v>2</v>
      </c>
      <c r="AO107" s="291">
        <f t="shared" ca="1" si="322"/>
        <v>1</v>
      </c>
      <c r="AP107" s="291">
        <f t="shared" ca="1" si="322"/>
        <v>0</v>
      </c>
      <c r="AQ107" s="291">
        <f t="shared" ca="1" si="322"/>
        <v>1</v>
      </c>
      <c r="AR107" s="291">
        <f t="shared" ca="1" si="322"/>
        <v>2</v>
      </c>
      <c r="AS107" s="291">
        <f t="shared" ca="1" si="322"/>
        <v>4</v>
      </c>
      <c r="AT107" s="292">
        <f t="shared" ca="1" si="322"/>
        <v>-2</v>
      </c>
      <c r="AU107" s="420" t="str">
        <f t="shared" ca="1" si="312"/>
        <v/>
      </c>
      <c r="AV107" s="217" t="str">
        <f ca="1">INDEX($BD$58:$BD$69,MATCH(AI107,$BM$58:$BM$69,0))</f>
        <v>Paraguay</v>
      </c>
      <c r="AW107" s="427"/>
      <c r="AX107" s="288"/>
      <c r="AY107" s="293"/>
      <c r="AZ107" s="294" t="str">
        <f t="shared" ca="1" si="315"/>
        <v>1G - 3A</v>
      </c>
      <c r="BA107" s="175"/>
      <c r="BB107" s="738"/>
      <c r="BC107" s="744"/>
      <c r="BD107" s="738"/>
      <c r="BE107" s="744"/>
      <c r="BF107" s="738" t="str">
        <f t="shared" ca="1" si="316"/>
        <v>J</v>
      </c>
      <c r="BG107" s="738">
        <f t="shared" ca="1" si="317"/>
        <v>7</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12">
        <f t="array" aca="1" ref="AK108" ca="1">Ver_flag_visit</f>
        <v>#VALUE!</v>
      </c>
      <c r="AL108" s="289" t="str">
        <f t="shared" ca="1" si="310"/>
        <v>Escocia</v>
      </c>
      <c r="AM108" s="290">
        <f t="shared" ref="AM108:AT108" ca="1" si="323">+IF($H$113&gt;=48,INDEX($BE$58:$BN$69,MATCH($AL108,$BD$58:$BD$69,0),MATCH(AM$5,$BE$57:$BN$57,0)),$BB64)</f>
        <v>3</v>
      </c>
      <c r="AN108" s="291">
        <f t="shared" ca="1" si="323"/>
        <v>3</v>
      </c>
      <c r="AO108" s="291">
        <f t="shared" ca="1" si="323"/>
        <v>1</v>
      </c>
      <c r="AP108" s="291">
        <f t="shared" ca="1" si="323"/>
        <v>0</v>
      </c>
      <c r="AQ108" s="291">
        <f t="shared" ca="1" si="323"/>
        <v>2</v>
      </c>
      <c r="AR108" s="291">
        <f t="shared" ca="1" si="323"/>
        <v>1</v>
      </c>
      <c r="AS108" s="291">
        <f t="shared" ca="1" si="323"/>
        <v>4</v>
      </c>
      <c r="AT108" s="292">
        <f t="shared" ca="1" si="323"/>
        <v>-3</v>
      </c>
      <c r="AU108" s="420" t="str">
        <f t="shared" ca="1" si="312"/>
        <v/>
      </c>
      <c r="AV108" s="217" t="str">
        <f t="shared" ca="1" si="313"/>
        <v>Escocia</v>
      </c>
      <c r="AW108" s="427"/>
      <c r="AX108" s="288"/>
      <c r="AY108" s="293"/>
      <c r="AZ108" s="294" t="str">
        <f t="shared" ca="1" si="315"/>
        <v>1I - 3F</v>
      </c>
      <c r="BA108" s="175"/>
      <c r="BB108" s="738"/>
      <c r="BC108" s="738"/>
      <c r="BD108" s="738"/>
      <c r="BE108" s="744"/>
      <c r="BF108" s="738" t="str">
        <f t="shared" ca="1" si="316"/>
        <v>D</v>
      </c>
      <c r="BG108" s="738">
        <f t="shared" ca="1" si="317"/>
        <v>4</v>
      </c>
      <c r="BH108" s="738"/>
      <c r="BI108" s="738">
        <v>6</v>
      </c>
      <c r="BJ108" s="738" t="str">
        <f t="shared" ca="1" si="318"/>
        <v>H</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8</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30">
        <f t="array" aca="1" ref="AK109" ca="1">Ver_flag_visit</f>
        <v>#VALUE!</v>
      </c>
      <c r="AL109" s="289" t="str">
        <f t="shared" ca="1" si="310"/>
        <v>Cabo Verde</v>
      </c>
      <c r="AM109" s="290">
        <f t="shared" ref="AM109:AT109" ca="1" si="324">+IF($H$113&gt;=48,INDEX($BE$58:$BN$69,MATCH($AL109,$BD$58:$BD$69,0),MATCH(AM$5,$BE$57:$BN$57,0)),$BB65)</f>
        <v>2</v>
      </c>
      <c r="AN109" s="291">
        <f t="shared" ca="1" si="324"/>
        <v>2</v>
      </c>
      <c r="AO109" s="291">
        <f t="shared" ca="1" si="324"/>
        <v>0</v>
      </c>
      <c r="AP109" s="291">
        <f t="shared" ca="1" si="324"/>
        <v>2</v>
      </c>
      <c r="AQ109" s="291">
        <f t="shared" ca="1" si="324"/>
        <v>0</v>
      </c>
      <c r="AR109" s="291">
        <f t="shared" ca="1" si="324"/>
        <v>2</v>
      </c>
      <c r="AS109" s="291">
        <f t="shared" ca="1" si="324"/>
        <v>2</v>
      </c>
      <c r="AT109" s="292">
        <f t="shared" ca="1" si="324"/>
        <v>0</v>
      </c>
      <c r="AU109" s="420" t="str">
        <f t="shared" ca="1" si="312"/>
        <v/>
      </c>
      <c r="AV109" s="217" t="str">
        <f t="shared" ca="1" si="313"/>
        <v>Cabo Verde</v>
      </c>
      <c r="AW109" s="427"/>
      <c r="AX109" s="288"/>
      <c r="AY109" s="293"/>
      <c r="AZ109" s="294" t="str">
        <f t="shared" ca="1" si="315"/>
        <v>1K - 3L</v>
      </c>
      <c r="BA109" s="175"/>
      <c r="BB109" s="738"/>
      <c r="BC109" s="738"/>
      <c r="BD109" s="738"/>
      <c r="BE109" s="744"/>
      <c r="BF109" s="738" t="str">
        <f t="shared" ca="1" si="316"/>
        <v>C</v>
      </c>
      <c r="BG109" s="738">
        <f t="shared" ca="1" si="317"/>
        <v>3</v>
      </c>
      <c r="BH109" s="738"/>
      <c r="BI109" s="738">
        <v>7</v>
      </c>
      <c r="BJ109" s="738" t="str">
        <f t="shared" ca="1" si="318"/>
        <v>J</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8</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25">
        <f t="array" aca="1" ref="AK110" ca="1">Ver_flag_visit</f>
        <v>#VALUE!</v>
      </c>
      <c r="AL110" s="289" t="str">
        <f t="shared" ca="1" si="310"/>
        <v>Bélgica</v>
      </c>
      <c r="AM110" s="290">
        <f t="shared" ref="AM110:AT110" ca="1" si="325">+IF($H$113&gt;=48,INDEX($BE$58:$BN$69,MATCH($AL110,$BD$58:$BD$69,0),MATCH(AM$5,$BE$57:$BN$57,0)),$BB66)</f>
        <v>2</v>
      </c>
      <c r="AN110" s="291">
        <f t="shared" ca="1" si="325"/>
        <v>2</v>
      </c>
      <c r="AO110" s="291">
        <f t="shared" ca="1" si="325"/>
        <v>0</v>
      </c>
      <c r="AP110" s="291">
        <f t="shared" ca="1" si="325"/>
        <v>2</v>
      </c>
      <c r="AQ110" s="291">
        <f t="shared" ca="1" si="325"/>
        <v>0</v>
      </c>
      <c r="AR110" s="291">
        <f t="shared" ca="1" si="325"/>
        <v>1</v>
      </c>
      <c r="AS110" s="291">
        <f t="shared" ca="1" si="325"/>
        <v>1</v>
      </c>
      <c r="AT110" s="292">
        <f t="shared" ca="1" si="325"/>
        <v>0</v>
      </c>
      <c r="AU110" s="420" t="str">
        <f t="shared" ca="1" si="312"/>
        <v/>
      </c>
      <c r="AV110" s="217" t="str">
        <f t="shared" ca="1" si="313"/>
        <v>Bélgica</v>
      </c>
      <c r="AW110" s="427"/>
      <c r="AX110" s="288"/>
      <c r="AY110" s="293"/>
      <c r="AZ110" s="294" t="str">
        <f t="shared" ca="1" si="315"/>
        <v>1L - 3H</v>
      </c>
      <c r="BA110" s="175"/>
      <c r="BB110" s="738"/>
      <c r="BC110" s="738"/>
      <c r="BD110" s="738"/>
      <c r="BE110" s="744"/>
      <c r="BF110" s="738" t="str">
        <f t="shared" ca="1" si="316"/>
        <v>H</v>
      </c>
      <c r="BG110" s="738">
        <f t="shared" ca="1" si="317"/>
        <v>6</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8</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2">
        <f t="array" aca="1" ref="AK111" ca="1">Ver_flag_visit</f>
        <v>#VALUE!</v>
      </c>
      <c r="AL111" s="289" t="str">
        <f t="shared" ca="1" si="310"/>
        <v>RD Congo</v>
      </c>
      <c r="AM111" s="290">
        <f t="shared" ref="AM111:AT111" ca="1" si="326">+IF($H$113&gt;=48,INDEX($BE$58:$BN$69,MATCH($AL111,$BD$58:$BD$69,0),MATCH(AM$5,$BE$57:$BN$57,0)),$BB67)</f>
        <v>1</v>
      </c>
      <c r="AN111" s="291">
        <f t="shared" ca="1" si="326"/>
        <v>2</v>
      </c>
      <c r="AO111" s="291">
        <f t="shared" ca="1" si="326"/>
        <v>0</v>
      </c>
      <c r="AP111" s="291">
        <f t="shared" ca="1" si="326"/>
        <v>1</v>
      </c>
      <c r="AQ111" s="291">
        <f t="shared" ca="1" si="326"/>
        <v>1</v>
      </c>
      <c r="AR111" s="291">
        <f t="shared" ca="1" si="326"/>
        <v>1</v>
      </c>
      <c r="AS111" s="291">
        <f t="shared" ca="1" si="326"/>
        <v>2</v>
      </c>
      <c r="AT111" s="292">
        <f t="shared" ca="1" si="326"/>
        <v>-1</v>
      </c>
      <c r="AU111" s="420" t="str">
        <f t="shared" ca="1" si="312"/>
        <v/>
      </c>
      <c r="AV111" s="217" t="str">
        <f t="shared" ca="1" si="313"/>
        <v>RD Congo</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8</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20">
        <f t="array" aca="1" ref="AK112" ca="1">Ver_flag_visit</f>
        <v>#VALUE!</v>
      </c>
      <c r="AL112" s="289" t="str">
        <f t="shared" ca="1" si="310"/>
        <v>Ecuador</v>
      </c>
      <c r="AM112" s="290">
        <f t="shared" ref="AM112:AT112" ca="1" si="327">+IF($H$113&gt;=48,INDEX($BE$58:$BN$69,MATCH($AL112,$BD$58:$BD$69,0),MATCH(AM$5,$BE$57:$BN$57,0)),$BB68)</f>
        <v>1</v>
      </c>
      <c r="AN112" s="291">
        <f t="shared" ca="1" si="327"/>
        <v>2</v>
      </c>
      <c r="AO112" s="291">
        <f t="shared" ca="1" si="327"/>
        <v>0</v>
      </c>
      <c r="AP112" s="291">
        <f t="shared" ca="1" si="327"/>
        <v>1</v>
      </c>
      <c r="AQ112" s="291">
        <f t="shared" ca="1" si="327"/>
        <v>1</v>
      </c>
      <c r="AR112" s="291">
        <f t="shared" ca="1" si="327"/>
        <v>0</v>
      </c>
      <c r="AS112" s="291">
        <f t="shared" ca="1" si="327"/>
        <v>1</v>
      </c>
      <c r="AT112" s="292">
        <f t="shared" ca="1" si="327"/>
        <v>-1</v>
      </c>
      <c r="AU112" s="420" t="str">
        <f t="shared" ca="1" si="312"/>
        <v/>
      </c>
      <c r="AV112" s="217" t="str">
        <f t="shared" ca="1" si="313"/>
        <v>Ecuador</v>
      </c>
      <c r="AW112" s="427"/>
      <c r="AX112" s="288"/>
      <c r="AY112" s="295"/>
      <c r="AZ112" s="295"/>
      <c r="BA112" s="175"/>
      <c r="BB112" s="738"/>
      <c r="BC112" s="738"/>
      <c r="BD112" s="746"/>
      <c r="BE112" s="738"/>
      <c r="BF112" s="738"/>
      <c r="BG112" s="738"/>
      <c r="BH112" s="738"/>
      <c r="BI112" s="738" t="str">
        <f ca="1">IFERROR(CONCATENATE(BJ103,BJ104,BJ105,BJ106,BJ107,BJ108,BJ109,BJ110),"¿A/B/C/D/E/F/G/H/I/J/K/L?")</f>
        <v>ABCDFHJL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108</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2</v>
      </c>
      <c r="AO113" s="238">
        <f t="shared" ca="1" si="328"/>
        <v>0</v>
      </c>
      <c r="AP113" s="238">
        <f t="shared" ca="1" si="328"/>
        <v>0</v>
      </c>
      <c r="AQ113" s="238">
        <f t="shared" ca="1" si="328"/>
        <v>2</v>
      </c>
      <c r="AR113" s="238">
        <f t="shared" ca="1" si="328"/>
        <v>3</v>
      </c>
      <c r="AS113" s="238">
        <f t="shared" ca="1" si="328"/>
        <v>6</v>
      </c>
      <c r="AT113" s="239">
        <f t="shared" ca="1" si="328"/>
        <v>-3</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3C</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3H</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27</v>
      </c>
      <c r="T1" s="87"/>
      <c r="U1" s="65"/>
      <c r="V1" s="87">
        <f ca="1">+IFERROR(RANK(V2,OFFSET($S$2,0,0,1,$D$5*3),0),"-")</f>
        <v>31</v>
      </c>
      <c r="W1" s="87"/>
      <c r="X1" s="65"/>
      <c r="Y1" s="87">
        <f ca="1">+IFERROR(RANK(Y2,OFFSET($S$2,0,0,1,$D$5*3),0),"-")</f>
        <v>6</v>
      </c>
      <c r="Z1" s="87"/>
      <c r="AA1" s="65"/>
      <c r="AB1" s="87">
        <f ca="1">+IFERROR(RANK(AB2,OFFSET($S$2,0,0,1,$D$5*3),0),"-")</f>
        <v>10</v>
      </c>
      <c r="AC1" s="87"/>
      <c r="AD1" s="65"/>
      <c r="AE1" s="87">
        <f ca="1">+IFERROR(RANK(AE2,OFFSET($S$2,0,0,1,$D$5*3),0),"-")</f>
        <v>28</v>
      </c>
      <c r="AF1" s="87"/>
      <c r="AG1" s="65"/>
      <c r="AH1" s="87">
        <f ca="1">+IFERROR(RANK(AH2,OFFSET($S$2,0,0,1,$D$5*3),0),"-")</f>
        <v>18</v>
      </c>
      <c r="AI1" s="87"/>
      <c r="AJ1" s="65"/>
      <c r="AK1" s="87">
        <f ca="1">+IFERROR(RANK(AK2,OFFSET($S$2,0,0,1,$D$5*3),0),"-")</f>
        <v>33</v>
      </c>
      <c r="AL1" s="87"/>
      <c r="AM1" s="65"/>
      <c r="AN1" s="87">
        <f ca="1">+IFERROR(RANK(AN2,OFFSET($S$2,0,0,1,$D$5*3),0),"-")</f>
        <v>22</v>
      </c>
      <c r="AO1" s="87"/>
      <c r="AP1" s="65"/>
      <c r="AQ1" s="87">
        <f ca="1">+IFERROR(RANK(AQ2,OFFSET($S$2,0,0,1,$D$5*3),0),"-")</f>
        <v>1</v>
      </c>
      <c r="AR1" s="87"/>
      <c r="AS1" s="65"/>
      <c r="AT1" s="87">
        <f ca="1">+IFERROR(RANK(AT2,OFFSET($S$2,0,0,1,$D$5*3),0),"-")</f>
        <v>34</v>
      </c>
      <c r="AU1" s="87"/>
      <c r="AV1" s="65"/>
      <c r="AW1" s="87">
        <f ca="1">+IFERROR(RANK(AW2,OFFSET($S$2,0,0,1,$D$5*3),0),"-")</f>
        <v>37</v>
      </c>
      <c r="AX1" s="87"/>
      <c r="AY1" s="65"/>
      <c r="AZ1" s="87">
        <f ca="1">+IFERROR(RANK(AZ2,OFFSET($S$2,0,0,1,$D$5*3),0),"-")</f>
        <v>24</v>
      </c>
      <c r="BA1" s="87"/>
      <c r="BB1" s="65"/>
      <c r="BC1" s="87">
        <f ca="1">+IFERROR(RANK(BC2,OFFSET($S$2,0,0,1,$D$5*3),0),"-")</f>
        <v>15</v>
      </c>
      <c r="BD1" s="87"/>
      <c r="BE1" s="65"/>
      <c r="BF1" s="87">
        <f ca="1">+IFERROR(RANK(BF2,OFFSET($S$2,0,0,1,$D$5*3),0),"-")</f>
        <v>9</v>
      </c>
      <c r="BG1" s="87"/>
      <c r="BH1" s="65"/>
      <c r="BI1" s="87">
        <f ca="1">+IFERROR(RANK(BI2,OFFSET($S$2,0,0,1,$D$5*3),0),"-")</f>
        <v>7</v>
      </c>
      <c r="BJ1" s="87"/>
      <c r="BK1" s="65"/>
      <c r="BL1" s="87">
        <f ca="1">+IFERROR(RANK(BL2,OFFSET($S$2,0,0,1,$D$5*3),0),"-")</f>
        <v>17</v>
      </c>
      <c r="BM1" s="87"/>
      <c r="BN1" s="65"/>
      <c r="BO1" s="87">
        <f ca="1">+IFERROR(RANK(BO2,OFFSET($S$2,0,0,1,$D$5*3),0),"-")</f>
        <v>13</v>
      </c>
      <c r="BP1" s="87"/>
      <c r="BQ1" s="65"/>
      <c r="BR1" s="87">
        <f ca="1">+IFERROR(RANK(BR2,OFFSET($S$2,0,0,1,$D$5*3),0),"-")</f>
        <v>3</v>
      </c>
      <c r="BS1" s="87"/>
      <c r="BT1" s="65"/>
      <c r="BU1" s="87">
        <f ca="1">+IFERROR(RANK(BU2,OFFSET($S$2,0,0,1,$D$5*3),0),"-")</f>
        <v>40</v>
      </c>
      <c r="BV1" s="87"/>
      <c r="BW1" s="65"/>
      <c r="BX1" s="87">
        <f ca="1">+IFERROR(RANK(BX2,OFFSET($S$2,0,0,1,$D$5*3),0),"-")</f>
        <v>16</v>
      </c>
      <c r="BY1" s="87"/>
      <c r="BZ1" s="65"/>
      <c r="CA1" s="87">
        <f ca="1">+IFERROR(RANK(CA2,OFFSET($S$2,0,0,1,$D$5*3),0),"-")</f>
        <v>30</v>
      </c>
      <c r="CB1" s="87"/>
      <c r="CC1" s="65"/>
      <c r="CD1" s="87">
        <f ca="1">+IFERROR(RANK(CD2,OFFSET($S$2,0,0,1,$D$5*3),0),"-")</f>
        <v>8</v>
      </c>
      <c r="CE1" s="87"/>
      <c r="CF1" s="65"/>
      <c r="CG1" s="87">
        <f ca="1">+IFERROR(RANK(CG2,OFFSET($S$2,0,0,1,$D$5*3),0),"-")</f>
        <v>38</v>
      </c>
      <c r="CH1" s="87"/>
      <c r="CI1" s="65"/>
      <c r="CJ1" s="87">
        <f ca="1">+IFERROR(RANK(CJ2,OFFSET($S$2,0,0,1,$D$5*3),0),"-")</f>
        <v>14</v>
      </c>
      <c r="CK1" s="87"/>
      <c r="CL1" s="65"/>
      <c r="CM1" s="87">
        <f ca="1">+IFERROR(RANK(CM2,OFFSET($S$2,0,0,1,$D$5*3),0),"-")</f>
        <v>25</v>
      </c>
      <c r="CN1" s="87"/>
      <c r="CO1" s="65"/>
      <c r="CP1" s="87">
        <f ca="1">+IFERROR(RANK(CP2,OFFSET($S$2,0,0,1,$D$5*3),0),"-")</f>
        <v>5</v>
      </c>
      <c r="CQ1" s="87"/>
      <c r="CR1" s="65"/>
      <c r="CS1" s="87">
        <f ca="1">+IFERROR(RANK(CS2,OFFSET($S$2,0,0,1,$D$5*3),0),"-")</f>
        <v>23</v>
      </c>
      <c r="CT1" s="87"/>
      <c r="CU1" s="65"/>
      <c r="CV1" s="87">
        <f ca="1">+IFERROR(RANK(CV2,OFFSET($S$2,0,0,1,$D$5*3),0),"-")</f>
        <v>11</v>
      </c>
      <c r="CW1" s="87"/>
      <c r="CX1" s="65"/>
      <c r="CY1" s="87">
        <f ca="1">+IFERROR(RANK(CY2,OFFSET($S$2,0,0,1,$D$5*3),0),"-")</f>
        <v>35</v>
      </c>
      <c r="CZ1" s="87"/>
      <c r="DA1" s="65"/>
      <c r="DB1" s="87">
        <f ca="1">+IFERROR(RANK(DB2,OFFSET($S$2,0,0,1,$D$5*3),0),"-")</f>
        <v>4</v>
      </c>
      <c r="DC1" s="87"/>
      <c r="DD1" s="65"/>
      <c r="DE1" s="87">
        <f ca="1">+IFERROR(RANK(DE2,OFFSET($S$2,0,0,1,$D$5*3),0),"-")</f>
        <v>21</v>
      </c>
      <c r="DF1" s="87"/>
      <c r="DG1" s="65"/>
      <c r="DH1" s="87">
        <f ca="1">+IFERROR(RANK(DH2,OFFSET($S$2,0,0,1,$D$5*3),0),"-")</f>
        <v>32</v>
      </c>
      <c r="DI1" s="87"/>
      <c r="DJ1" s="65"/>
      <c r="DK1" s="87">
        <f ca="1">+IFERROR(RANK(DK2,OFFSET($S$2,0,0,1,$D$5*3),0),"-")</f>
        <v>19</v>
      </c>
      <c r="DL1" s="87"/>
      <c r="DM1" s="65"/>
      <c r="DN1" s="87">
        <f ca="1">+IFERROR(RANK(DN2,OFFSET($S$2,0,0,1,$D$5*3),0),"-")</f>
        <v>39</v>
      </c>
      <c r="DO1" s="87"/>
      <c r="DP1" s="65"/>
      <c r="DQ1" s="87">
        <f ca="1">+IFERROR(RANK(DQ2,OFFSET($S$2,0,0,1,$D$5*3),0),"-")</f>
        <v>41</v>
      </c>
      <c r="DR1" s="87"/>
      <c r="DS1" s="65"/>
      <c r="DT1" s="87">
        <f ca="1">+IFERROR(RANK(DT2,OFFSET($S$2,0,0,1,$D$5*3),0),"-")</f>
        <v>20</v>
      </c>
      <c r="DU1" s="87"/>
      <c r="DV1" s="65"/>
      <c r="DW1" s="87">
        <f ca="1">+IFERROR(RANK(DW2,OFFSET($S$2,0,0,1,$D$5*3),0),"-")</f>
        <v>2</v>
      </c>
      <c r="DX1" s="87"/>
      <c r="DY1" s="65"/>
      <c r="DZ1" s="87">
        <f ca="1">+IFERROR(RANK(DZ2,OFFSET($S$2,0,0,1,$D$5*3),0),"-")</f>
        <v>36</v>
      </c>
      <c r="EA1" s="87"/>
      <c r="EB1" s="65"/>
      <c r="EC1" s="87">
        <f ca="1">+IFERROR(RANK(EC2,OFFSET($S$2,0,0,1,$D$5*3),0),"-")</f>
        <v>26</v>
      </c>
      <c r="ED1" s="87"/>
      <c r="EE1" s="65"/>
      <c r="EF1" s="87">
        <f ca="1">+IFERROR(RANK(EF2,OFFSET($S$2,0,0,1,$D$5*3),0),"-")</f>
        <v>29</v>
      </c>
      <c r="EG1" s="87"/>
      <c r="EH1" s="65"/>
      <c r="EI1" s="87">
        <f ca="1">+IFERROR(RANK(EI2,OFFSET($S$2,0,0,1,$D$5*3),0),"-")</f>
        <v>12</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78.998099999999994</v>
      </c>
      <c r="T2" s="87"/>
      <c r="U2" s="65"/>
      <c r="V2" s="87">
        <f t="shared" ref="V2" ca="1" si="0">V4-(COLUMN()/10000)</f>
        <v>75.997799999999998</v>
      </c>
      <c r="W2" s="87"/>
      <c r="X2" s="65"/>
      <c r="Y2" s="87">
        <f t="shared" ref="Y2" ca="1" si="1">Y4-(COLUMN()/10000)</f>
        <v>89.997500000000002</v>
      </c>
      <c r="Z2" s="87"/>
      <c r="AA2" s="65"/>
      <c r="AB2" s="87">
        <f t="shared" ref="AB2" ca="1" si="2">AB4-(COLUMN()/10000)</f>
        <v>87.997200000000007</v>
      </c>
      <c r="AC2" s="87"/>
      <c r="AD2" s="65"/>
      <c r="AE2" s="87">
        <f t="shared" ref="AE2" ca="1" si="3">AE4-(COLUMN()/10000)</f>
        <v>78.996899999999997</v>
      </c>
      <c r="AF2" s="87"/>
      <c r="AG2" s="65"/>
      <c r="AH2" s="87">
        <f t="shared" ref="AH2" ca="1" si="4">AH4-(COLUMN()/10000)</f>
        <v>83.996600000000001</v>
      </c>
      <c r="AI2" s="87"/>
      <c r="AJ2" s="65"/>
      <c r="AK2" s="87">
        <f t="shared" ref="AK2" ca="1" si="5">AK4-(COLUMN()/10000)</f>
        <v>74.996300000000005</v>
      </c>
      <c r="AL2" s="87"/>
      <c r="AM2" s="65"/>
      <c r="AN2" s="87">
        <f t="shared" ref="AN2" ca="1" si="6">AN4-(COLUMN()/10000)</f>
        <v>81.995999999999995</v>
      </c>
      <c r="AO2" s="87"/>
      <c r="AP2" s="65"/>
      <c r="AQ2" s="87">
        <f t="shared" ref="AQ2" ca="1" si="7">AQ4-(COLUMN()/10000)</f>
        <v>103.9957</v>
      </c>
      <c r="AR2" s="87"/>
      <c r="AS2" s="65"/>
      <c r="AT2" s="87">
        <f t="shared" ref="AT2" ca="1" si="8">AT4-(COLUMN()/10000)</f>
        <v>73.995400000000004</v>
      </c>
      <c r="AU2" s="87"/>
      <c r="AV2" s="65"/>
      <c r="AW2" s="87">
        <f t="shared" ref="AW2" ca="1" si="9">AW4-(COLUMN()/10000)</f>
        <v>69.995099999999994</v>
      </c>
      <c r="AX2" s="87"/>
      <c r="AY2" s="65"/>
      <c r="AZ2" s="87">
        <f t="shared" ref="AZ2" ca="1" si="10">AZ4-(COLUMN()/10000)</f>
        <v>79.994799999999998</v>
      </c>
      <c r="BA2" s="87"/>
      <c r="BB2" s="65"/>
      <c r="BC2" s="87">
        <f t="shared" ref="BC2" ca="1" si="11">BC4-(COLUMN()/10000)</f>
        <v>85.994500000000002</v>
      </c>
      <c r="BD2" s="87"/>
      <c r="BE2" s="65"/>
      <c r="BF2" s="87">
        <f t="shared" ref="BF2" ca="1" si="12">BF4-(COLUMN()/10000)</f>
        <v>88.994200000000006</v>
      </c>
      <c r="BG2" s="87"/>
      <c r="BH2" s="65"/>
      <c r="BI2" s="87">
        <f t="shared" ref="BI2" ca="1" si="13">BI4-(COLUMN()/10000)</f>
        <v>89.993899999999996</v>
      </c>
      <c r="BJ2" s="87"/>
      <c r="BK2" s="65"/>
      <c r="BL2" s="87">
        <f t="shared" ref="BL2" ca="1" si="14">BL4-(COLUMN()/10000)</f>
        <v>84.993600000000001</v>
      </c>
      <c r="BM2" s="87"/>
      <c r="BN2" s="65"/>
      <c r="BO2" s="87">
        <f t="shared" ref="BO2" ca="1" si="15">BO4-(COLUMN()/10000)</f>
        <v>86.993300000000005</v>
      </c>
      <c r="BP2" s="87"/>
      <c r="BQ2" s="65"/>
      <c r="BR2" s="87">
        <f t="shared" ref="BR2" ca="1" si="16">BR4-(COLUMN()/10000)</f>
        <v>92.992999999999995</v>
      </c>
      <c r="BS2" s="87"/>
      <c r="BT2" s="65"/>
      <c r="BU2" s="87">
        <f t="shared" ref="BU2" ca="1" si="17">BU4-(COLUMN()/10000)</f>
        <v>67.992699999999999</v>
      </c>
      <c r="BV2" s="87"/>
      <c r="BW2" s="65"/>
      <c r="BX2" s="87">
        <f t="shared" ref="BX2" ca="1" si="18">BX4-(COLUMN()/10000)</f>
        <v>85.992400000000004</v>
      </c>
      <c r="BY2" s="87"/>
      <c r="BZ2" s="65"/>
      <c r="CA2" s="87">
        <f t="shared" ref="CA2" ca="1" si="19">CA4-(COLUMN()/10000)</f>
        <v>76.992099999999994</v>
      </c>
      <c r="CB2" s="87"/>
      <c r="CC2" s="65"/>
      <c r="CD2" s="87">
        <f t="shared" ref="CD2" ca="1" si="20">CD4-(COLUMN()/10000)</f>
        <v>89.991799999999998</v>
      </c>
      <c r="CE2" s="87"/>
      <c r="CF2" s="65"/>
      <c r="CG2" s="87">
        <f t="shared" ref="CG2" ca="1" si="21">CG4-(COLUMN()/10000)</f>
        <v>69.991500000000002</v>
      </c>
      <c r="CH2" s="87"/>
      <c r="CI2" s="65"/>
      <c r="CJ2" s="87">
        <f t="shared" ref="CJ2" ca="1" si="22">CJ4-(COLUMN()/10000)</f>
        <v>86.991200000000006</v>
      </c>
      <c r="CK2" s="87"/>
      <c r="CL2" s="65"/>
      <c r="CM2" s="87">
        <f t="shared" ref="CM2" ca="1" si="23">CM4-(COLUMN()/10000)</f>
        <v>79.990899999999996</v>
      </c>
      <c r="CN2" s="87"/>
      <c r="CO2" s="65"/>
      <c r="CP2" s="87">
        <f t="shared" ref="CP2" ca="1" si="24">CP4-(COLUMN()/10000)</f>
        <v>91.990600000000001</v>
      </c>
      <c r="CQ2" s="87"/>
      <c r="CR2" s="65"/>
      <c r="CS2" s="87">
        <f t="shared" ref="CS2" ca="1" si="25">CS4-(COLUMN()/10000)</f>
        <v>81.990300000000005</v>
      </c>
      <c r="CT2" s="87"/>
      <c r="CU2" s="65"/>
      <c r="CV2" s="87">
        <f t="shared" ref="CV2" ca="1" si="26">CV4-(COLUMN()/10000)</f>
        <v>87.99</v>
      </c>
      <c r="CW2" s="87"/>
      <c r="CX2" s="65"/>
      <c r="CY2" s="87">
        <f t="shared" ref="CY2" ca="1" si="27">CY4-(COLUMN()/10000)</f>
        <v>70.989699999999999</v>
      </c>
      <c r="CZ2" s="87"/>
      <c r="DA2" s="65"/>
      <c r="DB2" s="87">
        <f t="shared" ref="DB2" ca="1" si="28">DB4-(COLUMN()/10000)</f>
        <v>92.989400000000003</v>
      </c>
      <c r="DC2" s="87"/>
      <c r="DD2" s="65"/>
      <c r="DE2" s="87">
        <f t="shared" ref="DE2" ca="1" si="29">DE4-(COLUMN()/10000)</f>
        <v>82.989099999999993</v>
      </c>
      <c r="DF2" s="87"/>
      <c r="DG2" s="65"/>
      <c r="DH2" s="87">
        <f t="shared" ref="DH2" ca="1" si="30">DH4-(COLUMN()/10000)</f>
        <v>75.988799999999998</v>
      </c>
      <c r="DI2" s="87"/>
      <c r="DJ2" s="65"/>
      <c r="DK2" s="87">
        <f t="shared" ref="DK2" ca="1" si="31">DK4-(COLUMN()/10000)</f>
        <v>83.988500000000002</v>
      </c>
      <c r="DL2" s="87"/>
      <c r="DM2" s="65"/>
      <c r="DN2" s="87">
        <f t="shared" ref="DN2" ca="1" si="32">DN4-(COLUMN()/10000)</f>
        <v>68.988200000000006</v>
      </c>
      <c r="DO2" s="87"/>
      <c r="DP2" s="65"/>
      <c r="DQ2" s="87">
        <f t="shared" ref="DQ2" ca="1" si="33">DQ4-(COLUMN()/10000)</f>
        <v>55.987900000000003</v>
      </c>
      <c r="DR2" s="87"/>
      <c r="DS2" s="65"/>
      <c r="DT2" s="87">
        <f t="shared" ref="DT2" ca="1" si="34">DT4-(COLUMN()/10000)</f>
        <v>83.9876</v>
      </c>
      <c r="DU2" s="87"/>
      <c r="DV2" s="65"/>
      <c r="DW2" s="87">
        <f t="shared" ref="DW2" ca="1" si="35">DW4-(COLUMN()/10000)</f>
        <v>95.987300000000005</v>
      </c>
      <c r="DX2" s="87"/>
      <c r="DY2" s="65"/>
      <c r="DZ2" s="87">
        <f t="shared" ref="DZ2" ca="1" si="36">DZ4-(COLUMN()/10000)</f>
        <v>70.986999999999995</v>
      </c>
      <c r="EA2" s="87"/>
      <c r="EB2" s="65"/>
      <c r="EC2" s="87">
        <f t="shared" ref="EC2" ca="1" si="37">EC4-(COLUMN()/10000)</f>
        <v>79.986699999999999</v>
      </c>
      <c r="ED2" s="87"/>
      <c r="EE2" s="65"/>
      <c r="EF2" s="87">
        <f t="shared" ref="EF2" ca="1" si="38">EF4-(COLUMN()/10000)</f>
        <v>78.986400000000003</v>
      </c>
      <c r="EG2" s="87"/>
      <c r="EH2" s="65"/>
      <c r="EI2" s="87">
        <f t="shared" ref="EI2" ca="1" si="39">EI4-(COLUMN()/10000)</f>
        <v>87.986099999999993</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27</v>
      </c>
      <c r="T3" s="87"/>
      <c r="U3" s="65"/>
      <c r="V3" s="87">
        <f ca="1">RANK(V4,OFFSET($S$4,0,0,1,$D$5*3),0)</f>
        <v>31</v>
      </c>
      <c r="W3" s="87"/>
      <c r="X3" s="65"/>
      <c r="Y3" s="87">
        <f ca="1">RANK(Y4,OFFSET($S$4,0,0,1,$D$5*3),0)</f>
        <v>6</v>
      </c>
      <c r="Z3" s="87"/>
      <c r="AA3" s="65"/>
      <c r="AB3" s="87">
        <f ca="1">RANK(AB4,OFFSET($S$4,0,0,1,$D$5*3),0)</f>
        <v>10</v>
      </c>
      <c r="AC3" s="87"/>
      <c r="AD3" s="65"/>
      <c r="AE3" s="87">
        <f ca="1">RANK(AE4,OFFSET($S$4,0,0,1,$D$5*3),0)</f>
        <v>27</v>
      </c>
      <c r="AF3" s="87"/>
      <c r="AG3" s="65"/>
      <c r="AH3" s="87">
        <f ca="1">RANK(AH4,OFFSET($S$4,0,0,1,$D$5*3),0)</f>
        <v>18</v>
      </c>
      <c r="AI3" s="87"/>
      <c r="AJ3" s="65"/>
      <c r="AK3" s="87">
        <f ca="1">RANK(AK4,OFFSET($S$4,0,0,1,$D$5*3),0)</f>
        <v>33</v>
      </c>
      <c r="AL3" s="87"/>
      <c r="AM3" s="65"/>
      <c r="AN3" s="87">
        <f ca="1">RANK(AN4,OFFSET($S$4,0,0,1,$D$5*3),0)</f>
        <v>22</v>
      </c>
      <c r="AO3" s="87"/>
      <c r="AP3" s="65"/>
      <c r="AQ3" s="87">
        <f ca="1">RANK(AQ4,OFFSET($S$4,0,0,1,$D$5*3),0)</f>
        <v>1</v>
      </c>
      <c r="AR3" s="87"/>
      <c r="AS3" s="65"/>
      <c r="AT3" s="87">
        <f ca="1">RANK(AT4,OFFSET($S$4,0,0,1,$D$5*3),0)</f>
        <v>34</v>
      </c>
      <c r="AU3" s="87"/>
      <c r="AV3" s="65"/>
      <c r="AW3" s="87">
        <f ca="1">RANK(AW4,OFFSET($S$4,0,0,1,$D$5*3),0)</f>
        <v>37</v>
      </c>
      <c r="AX3" s="87"/>
      <c r="AY3" s="65"/>
      <c r="AZ3" s="87">
        <f ca="1">RANK(AZ4,OFFSET($S$4,0,0,1,$D$5*3),0)</f>
        <v>24</v>
      </c>
      <c r="BA3" s="87"/>
      <c r="BB3" s="65"/>
      <c r="BC3" s="87">
        <f ca="1">RANK(BC4,OFFSET($S$4,0,0,1,$D$5*3),0)</f>
        <v>15</v>
      </c>
      <c r="BD3" s="87"/>
      <c r="BE3" s="65"/>
      <c r="BF3" s="87">
        <f ca="1">RANK(BF4,OFFSET($S$4,0,0,1,$D$5*3),0)</f>
        <v>9</v>
      </c>
      <c r="BG3" s="87"/>
      <c r="BH3" s="65"/>
      <c r="BI3" s="87">
        <f ca="1">RANK(BI4,OFFSET($S$4,0,0,1,$D$5*3),0)</f>
        <v>6</v>
      </c>
      <c r="BJ3" s="87"/>
      <c r="BK3" s="65"/>
      <c r="BL3" s="87">
        <f ca="1">RANK(BL4,OFFSET($S$4,0,0,1,$D$5*3),0)</f>
        <v>17</v>
      </c>
      <c r="BM3" s="87"/>
      <c r="BN3" s="65"/>
      <c r="BO3" s="87">
        <f ca="1">RANK(BO4,OFFSET($S$4,0,0,1,$D$5*3),0)</f>
        <v>13</v>
      </c>
      <c r="BP3" s="87"/>
      <c r="BQ3" s="65"/>
      <c r="BR3" s="87">
        <f ca="1">RANK(BR4,OFFSET($S$4,0,0,1,$D$5*3),0)</f>
        <v>3</v>
      </c>
      <c r="BS3" s="87"/>
      <c r="BT3" s="65"/>
      <c r="BU3" s="87">
        <f ca="1">RANK(BU4,OFFSET($S$4,0,0,1,$D$5*3),0)</f>
        <v>40</v>
      </c>
      <c r="BV3" s="87"/>
      <c r="BW3" s="65"/>
      <c r="BX3" s="87">
        <f ca="1">RANK(BX4,OFFSET($S$4,0,0,1,$D$5*3),0)</f>
        <v>15</v>
      </c>
      <c r="BY3" s="87"/>
      <c r="BZ3" s="65"/>
      <c r="CA3" s="87">
        <f ca="1">RANK(CA4,OFFSET($S$4,0,0,1,$D$5*3),0)</f>
        <v>30</v>
      </c>
      <c r="CB3" s="87"/>
      <c r="CC3" s="65"/>
      <c r="CD3" s="87">
        <f ca="1">RANK(CD4,OFFSET($S$4,0,0,1,$D$5*3),0)</f>
        <v>6</v>
      </c>
      <c r="CE3" s="87"/>
      <c r="CF3" s="65"/>
      <c r="CG3" s="87">
        <f ca="1">RANK(CG4,OFFSET($S$4,0,0,1,$D$5*3),0)</f>
        <v>37</v>
      </c>
      <c r="CH3" s="87"/>
      <c r="CI3" s="65"/>
      <c r="CJ3" s="87">
        <f ca="1">RANK(CJ4,OFFSET($S$4,0,0,1,$D$5*3),0)</f>
        <v>13</v>
      </c>
      <c r="CK3" s="87"/>
      <c r="CL3" s="65"/>
      <c r="CM3" s="87">
        <f ca="1">RANK(CM4,OFFSET($S$4,0,0,1,$D$5*3),0)</f>
        <v>24</v>
      </c>
      <c r="CN3" s="87"/>
      <c r="CO3" s="65"/>
      <c r="CP3" s="87">
        <f ca="1">RANK(CP4,OFFSET($S$4,0,0,1,$D$5*3),0)</f>
        <v>5</v>
      </c>
      <c r="CQ3" s="87"/>
      <c r="CR3" s="65"/>
      <c r="CS3" s="87">
        <f ca="1">RANK(CS4,OFFSET($S$4,0,0,1,$D$5*3),0)</f>
        <v>22</v>
      </c>
      <c r="CT3" s="87"/>
      <c r="CU3" s="65"/>
      <c r="CV3" s="87">
        <f ca="1">RANK(CV4,OFFSET($S$4,0,0,1,$D$5*3),0)</f>
        <v>10</v>
      </c>
      <c r="CW3" s="87"/>
      <c r="CX3" s="65"/>
      <c r="CY3" s="87">
        <f ca="1">RANK(CY4,OFFSET($S$4,0,0,1,$D$5*3),0)</f>
        <v>35</v>
      </c>
      <c r="CZ3" s="87"/>
      <c r="DA3" s="65"/>
      <c r="DB3" s="87">
        <f ca="1">RANK(DB4,OFFSET($S$4,0,0,1,$D$5*3),0)</f>
        <v>3</v>
      </c>
      <c r="DC3" s="87"/>
      <c r="DD3" s="65"/>
      <c r="DE3" s="87">
        <f ca="1">RANK(DE4,OFFSET($S$4,0,0,1,$D$5*3),0)</f>
        <v>21</v>
      </c>
      <c r="DF3" s="87"/>
      <c r="DG3" s="65"/>
      <c r="DH3" s="87">
        <f ca="1">RANK(DH4,OFFSET($S$4,0,0,1,$D$5*3),0)</f>
        <v>31</v>
      </c>
      <c r="DI3" s="87"/>
      <c r="DJ3" s="65"/>
      <c r="DK3" s="87">
        <f ca="1">RANK(DK4,OFFSET($S$4,0,0,1,$D$5*3),0)</f>
        <v>18</v>
      </c>
      <c r="DL3" s="87"/>
      <c r="DM3" s="65"/>
      <c r="DN3" s="87">
        <f ca="1">RANK(DN4,OFFSET($S$4,0,0,1,$D$5*3),0)</f>
        <v>39</v>
      </c>
      <c r="DO3" s="87"/>
      <c r="DP3" s="65"/>
      <c r="DQ3" s="87">
        <f ca="1">RANK(DQ4,OFFSET($S$4,0,0,1,$D$5*3),0)</f>
        <v>41</v>
      </c>
      <c r="DR3" s="87"/>
      <c r="DS3" s="65"/>
      <c r="DT3" s="87">
        <f ca="1">RANK(DT4,OFFSET($S$4,0,0,1,$D$5*3),0)</f>
        <v>18</v>
      </c>
      <c r="DU3" s="87"/>
      <c r="DV3" s="65"/>
      <c r="DW3" s="87">
        <f ca="1">RANK(DW4,OFFSET($S$4,0,0,1,$D$5*3),0)</f>
        <v>2</v>
      </c>
      <c r="DX3" s="87"/>
      <c r="DY3" s="65"/>
      <c r="DZ3" s="87">
        <f ca="1">RANK(DZ4,OFFSET($S$4,0,0,1,$D$5*3),0)</f>
        <v>35</v>
      </c>
      <c r="EA3" s="87"/>
      <c r="EB3" s="65"/>
      <c r="EC3" s="87">
        <f ca="1">RANK(EC4,OFFSET($S$4,0,0,1,$D$5*3),0)</f>
        <v>24</v>
      </c>
      <c r="ED3" s="87"/>
      <c r="EE3" s="65"/>
      <c r="EF3" s="87">
        <f ca="1">RANK(EF4,OFFSET($S$4,0,0,1,$D$5*3),0)</f>
        <v>27</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79</v>
      </c>
      <c r="T4" s="68"/>
      <c r="U4" s="65"/>
      <c r="V4" s="67">
        <f ca="1">SUM(W6:W259)/2</f>
        <v>76</v>
      </c>
      <c r="W4" s="68"/>
      <c r="X4" s="65"/>
      <c r="Y4" s="67">
        <f ca="1">SUM(Z6:Z259)/2</f>
        <v>90</v>
      </c>
      <c r="Z4" s="68"/>
      <c r="AA4" s="65"/>
      <c r="AB4" s="67">
        <f ca="1">SUM(AC6:AC259)/2</f>
        <v>88</v>
      </c>
      <c r="AC4" s="68"/>
      <c r="AD4" s="65"/>
      <c r="AE4" s="67">
        <f ca="1">SUM(AF6:AF259)/2</f>
        <v>79</v>
      </c>
      <c r="AF4" s="68"/>
      <c r="AG4" s="65"/>
      <c r="AH4" s="67">
        <f ca="1">SUM(AI6:AI259)/2</f>
        <v>84</v>
      </c>
      <c r="AI4" s="68"/>
      <c r="AJ4" s="65"/>
      <c r="AK4" s="67">
        <f ca="1">SUM(AL6:AL259)/2</f>
        <v>75</v>
      </c>
      <c r="AL4" s="68"/>
      <c r="AM4" s="65"/>
      <c r="AN4" s="67">
        <f ca="1">SUM(AO6:AO259)/2</f>
        <v>82</v>
      </c>
      <c r="AO4" s="68"/>
      <c r="AP4" s="65"/>
      <c r="AQ4" s="67">
        <f ca="1">SUM(AR6:AR259)/2</f>
        <v>104</v>
      </c>
      <c r="AR4" s="68"/>
      <c r="AS4" s="65"/>
      <c r="AT4" s="67">
        <f ca="1">SUM(AU6:AU259)/2</f>
        <v>74</v>
      </c>
      <c r="AU4" s="68"/>
      <c r="AV4" s="65"/>
      <c r="AW4" s="67">
        <f ca="1">SUM(AX6:AX259)/2</f>
        <v>70</v>
      </c>
      <c r="AX4" s="68"/>
      <c r="AY4" s="65"/>
      <c r="AZ4" s="67">
        <f ca="1">SUM(BA6:BA259)/2</f>
        <v>80</v>
      </c>
      <c r="BA4" s="68"/>
      <c r="BB4" s="65"/>
      <c r="BC4" s="67">
        <f ca="1">SUM(BD6:BD259)/2</f>
        <v>86</v>
      </c>
      <c r="BD4" s="68"/>
      <c r="BE4" s="65"/>
      <c r="BF4" s="67">
        <f ca="1">SUM(BG6:BG259)/2</f>
        <v>89</v>
      </c>
      <c r="BG4" s="68"/>
      <c r="BH4" s="65"/>
      <c r="BI4" s="67">
        <f ca="1">SUM(BJ6:BJ259)/2</f>
        <v>90</v>
      </c>
      <c r="BJ4" s="68"/>
      <c r="BK4" s="65"/>
      <c r="BL4" s="67">
        <f ca="1">SUM(BM6:BM259)/2</f>
        <v>85</v>
      </c>
      <c r="BM4" s="68"/>
      <c r="BN4" s="65"/>
      <c r="BO4" s="67">
        <f ca="1">SUM(BP6:BP259)/2</f>
        <v>87</v>
      </c>
      <c r="BP4" s="68"/>
      <c r="BQ4" s="65"/>
      <c r="BR4" s="67">
        <f ca="1">SUM(BS6:BS259)/2</f>
        <v>93</v>
      </c>
      <c r="BS4" s="68"/>
      <c r="BT4" s="65"/>
      <c r="BU4" s="67">
        <f ca="1">SUM(BV6:BV259)/2</f>
        <v>68</v>
      </c>
      <c r="BV4" s="68"/>
      <c r="BW4" s="65"/>
      <c r="BX4" s="67">
        <f ca="1">SUM(BY6:BY259)/2</f>
        <v>86</v>
      </c>
      <c r="BY4" s="68"/>
      <c r="BZ4" s="65"/>
      <c r="CA4" s="67">
        <f ca="1">SUM(CB6:CB259)/2</f>
        <v>77</v>
      </c>
      <c r="CB4" s="68"/>
      <c r="CC4" s="65"/>
      <c r="CD4" s="67">
        <f ca="1">SUM(CE6:CE259)/2</f>
        <v>90</v>
      </c>
      <c r="CE4" s="68"/>
      <c r="CF4" s="65"/>
      <c r="CG4" s="67">
        <f ca="1">SUM(CH6:CH259)/2</f>
        <v>70</v>
      </c>
      <c r="CH4" s="68"/>
      <c r="CI4" s="65"/>
      <c r="CJ4" s="67">
        <f ca="1">SUM(CK6:CK259)/2</f>
        <v>87</v>
      </c>
      <c r="CK4" s="68"/>
      <c r="CL4" s="65"/>
      <c r="CM4" s="67">
        <f ca="1">SUM(CN6:CN259)/2</f>
        <v>80</v>
      </c>
      <c r="CN4" s="68"/>
      <c r="CO4" s="65"/>
      <c r="CP4" s="67">
        <f ca="1">SUM(CQ6:CQ259)/2</f>
        <v>92</v>
      </c>
      <c r="CQ4" s="68"/>
      <c r="CR4" s="65"/>
      <c r="CS4" s="67">
        <f ca="1">SUM(CT6:CT259)/2</f>
        <v>82</v>
      </c>
      <c r="CT4" s="68"/>
      <c r="CU4" s="65"/>
      <c r="CV4" s="67">
        <f ca="1">SUM(CW6:CW259)/2</f>
        <v>88</v>
      </c>
      <c r="CW4" s="68"/>
      <c r="CX4" s="65"/>
      <c r="CY4" s="67">
        <f ca="1">SUM(CZ6:CZ259)/2</f>
        <v>71</v>
      </c>
      <c r="CZ4" s="68"/>
      <c r="DA4" s="65"/>
      <c r="DB4" s="67">
        <f ca="1">SUM(DC6:DC259)/2</f>
        <v>93</v>
      </c>
      <c r="DC4" s="68"/>
      <c r="DD4" s="65"/>
      <c r="DE4" s="67">
        <f ca="1">SUM(DF6:DF259)/2</f>
        <v>83</v>
      </c>
      <c r="DF4" s="68"/>
      <c r="DG4" s="65"/>
      <c r="DH4" s="67">
        <f ca="1">SUM(DI6:DI259)/2</f>
        <v>76</v>
      </c>
      <c r="DI4" s="68"/>
      <c r="DJ4" s="65"/>
      <c r="DK4" s="67">
        <f ca="1">SUM(DL6:DL259)/2</f>
        <v>84</v>
      </c>
      <c r="DL4" s="68"/>
      <c r="DM4" s="65"/>
      <c r="DN4" s="67">
        <f ca="1">SUM(DO6:DO259)/2</f>
        <v>69</v>
      </c>
      <c r="DO4" s="68"/>
      <c r="DP4" s="65"/>
      <c r="DQ4" s="67">
        <f ca="1">SUM(DR6:DR259)/2</f>
        <v>56</v>
      </c>
      <c r="DR4" s="68"/>
      <c r="DS4" s="65"/>
      <c r="DT4" s="67">
        <f ca="1">SUM(DU6:DU259)/2</f>
        <v>84</v>
      </c>
      <c r="DU4" s="68"/>
      <c r="DV4" s="65"/>
      <c r="DW4" s="67">
        <f ca="1">SUM(DX6:DX259)/2</f>
        <v>96</v>
      </c>
      <c r="DX4" s="68"/>
      <c r="DY4" s="65"/>
      <c r="DZ4" s="67">
        <f ca="1">SUM(EA6:EA259)/2</f>
        <v>71</v>
      </c>
      <c r="EA4" s="68"/>
      <c r="EB4" s="65"/>
      <c r="EC4" s="67">
        <f ca="1">SUM(ED6:ED259)/2</f>
        <v>80</v>
      </c>
      <c r="ED4" s="68"/>
      <c r="EE4" s="65"/>
      <c r="EF4" s="67">
        <f ca="1">SUM(EG6:EG259)/2</f>
        <v>79</v>
      </c>
      <c r="EG4" s="68"/>
      <c r="EH4" s="65"/>
      <c r="EI4" s="67">
        <f ca="1">SUM(EJ6:EJ259)/2</f>
        <v>88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50</v>
      </c>
      <c r="U78" s="64"/>
      <c r="V78" s="82"/>
      <c r="W78" s="83">
        <f>SUM(W6:W77)</f>
        <v>48</v>
      </c>
      <c r="X78" s="64"/>
      <c r="Y78" s="82"/>
      <c r="Z78" s="83">
        <f t="shared" ref="Z78" si="127">SUM(Z6:Z77)</f>
        <v>59</v>
      </c>
      <c r="AA78" s="64"/>
      <c r="AB78" s="82"/>
      <c r="AC78" s="83">
        <f t="shared" ref="AC78" si="128">SUM(AC6:AC77)</f>
        <v>62</v>
      </c>
      <c r="AD78" s="64"/>
      <c r="AE78" s="82"/>
      <c r="AF78" s="83">
        <f t="shared" ref="AF78" si="129">SUM(AF6:AF77)</f>
        <v>46</v>
      </c>
      <c r="AG78" s="64"/>
      <c r="AH78" s="82"/>
      <c r="AI78" s="83">
        <f t="shared" ref="AI78" si="130">SUM(AI6:AI77)</f>
        <v>55</v>
      </c>
      <c r="AJ78" s="64"/>
      <c r="AK78" s="82"/>
      <c r="AL78" s="83">
        <f t="shared" ref="AL78" si="131">SUM(AL6:AL77)</f>
        <v>47</v>
      </c>
      <c r="AM78" s="64"/>
      <c r="AN78" s="82"/>
      <c r="AO78" s="83">
        <f t="shared" ref="AO78" si="132">SUM(AO6:AO77)</f>
        <v>49</v>
      </c>
      <c r="AP78" s="64"/>
      <c r="AQ78" s="82"/>
      <c r="AR78" s="83">
        <f t="shared" ref="AR78" si="133">SUM(AR6:AR77)</f>
        <v>71</v>
      </c>
      <c r="AS78" s="64"/>
      <c r="AT78" s="82"/>
      <c r="AU78" s="83">
        <f t="shared" ref="AU78" si="134">SUM(AU6:AU77)</f>
        <v>45</v>
      </c>
      <c r="AV78" s="64"/>
      <c r="AW78" s="82"/>
      <c r="AX78" s="83">
        <f t="shared" ref="AX78" si="135">SUM(AX6:AX77)</f>
        <v>43</v>
      </c>
      <c r="AY78" s="64"/>
      <c r="AZ78" s="82"/>
      <c r="BA78" s="83">
        <f t="shared" ref="BA78" si="136">SUM(BA6:BA77)</f>
        <v>47</v>
      </c>
      <c r="BB78" s="64"/>
      <c r="BC78" s="82"/>
      <c r="BD78" s="83">
        <f t="shared" ref="BD78" si="137">SUM(BD6:BD77)</f>
        <v>54</v>
      </c>
      <c r="BE78" s="64"/>
      <c r="BF78" s="82"/>
      <c r="BG78" s="83">
        <f t="shared" ref="BG78" si="138">SUM(BG6:BG77)</f>
        <v>58</v>
      </c>
      <c r="BH78" s="64"/>
      <c r="BI78" s="82"/>
      <c r="BJ78" s="83">
        <f t="shared" ref="BJ78" si="139">SUM(BJ6:BJ77)</f>
        <v>59</v>
      </c>
      <c r="BK78" s="64"/>
      <c r="BL78" s="82"/>
      <c r="BM78" s="83">
        <f t="shared" ref="BM78" si="140">SUM(BM6:BM77)</f>
        <v>56</v>
      </c>
      <c r="BN78" s="64"/>
      <c r="BO78" s="82"/>
      <c r="BP78" s="83">
        <f t="shared" ref="BP78" si="141">SUM(BP6:BP77)</f>
        <v>58</v>
      </c>
      <c r="BQ78" s="64"/>
      <c r="BR78" s="82"/>
      <c r="BS78" s="83">
        <f t="shared" ref="BS78" si="142">SUM(BS6:BS77)</f>
        <v>62</v>
      </c>
      <c r="BT78" s="64"/>
      <c r="BU78" s="82"/>
      <c r="BV78" s="83">
        <f t="shared" ref="BV78" si="143">SUM(BV6:BV77)</f>
        <v>45</v>
      </c>
      <c r="BW78" s="64"/>
      <c r="BX78" s="82"/>
      <c r="BY78" s="83">
        <f t="shared" ref="BY78" si="144">SUM(BY6:BY77)</f>
        <v>53</v>
      </c>
      <c r="BZ78" s="64"/>
      <c r="CA78" s="82"/>
      <c r="CB78" s="83">
        <f t="shared" ref="CB78" si="145">SUM(CB6:CB77)</f>
        <v>47</v>
      </c>
      <c r="CC78" s="64"/>
      <c r="CD78" s="82"/>
      <c r="CE78" s="83">
        <f t="shared" ref="CE78" si="146">SUM(CE6:CE77)</f>
        <v>57</v>
      </c>
      <c r="CF78" s="64"/>
      <c r="CG78" s="82"/>
      <c r="CH78" s="83">
        <f t="shared" ref="CH78" si="147">SUM(CH6:CH77)</f>
        <v>41</v>
      </c>
      <c r="CI78" s="64"/>
      <c r="CJ78" s="82"/>
      <c r="CK78" s="83">
        <f t="shared" ref="CK78" si="148">SUM(CK6:CK77)</f>
        <v>58</v>
      </c>
      <c r="CL78" s="64"/>
      <c r="CM78" s="82"/>
      <c r="CN78" s="83">
        <f t="shared" ref="CN78" si="149">SUM(CN6:CN77)</f>
        <v>47</v>
      </c>
      <c r="CO78" s="64"/>
      <c r="CP78" s="82"/>
      <c r="CQ78" s="83">
        <f t="shared" ref="CQ78" si="150">SUM(CQ6:CQ77)</f>
        <v>56</v>
      </c>
      <c r="CR78" s="64"/>
      <c r="CS78" s="82"/>
      <c r="CT78" s="83">
        <f t="shared" ref="CT78" si="151">SUM(CT6:CT77)</f>
        <v>47</v>
      </c>
      <c r="CU78" s="64"/>
      <c r="CV78" s="82"/>
      <c r="CW78" s="83">
        <f t="shared" ref="CW78" si="152">SUM(CW6:CW77)</f>
        <v>59</v>
      </c>
      <c r="CX78" s="64"/>
      <c r="CY78" s="82"/>
      <c r="CZ78" s="83">
        <f t="shared" ref="CZ78" si="153">SUM(CZ6:CZ77)</f>
        <v>43</v>
      </c>
      <c r="DA78" s="64"/>
      <c r="DB78" s="82"/>
      <c r="DC78" s="83">
        <f t="shared" ref="DC78" si="154">SUM(DC6:DC77)</f>
        <v>58</v>
      </c>
      <c r="DD78" s="64"/>
      <c r="DE78" s="82"/>
      <c r="DF78" s="83">
        <f t="shared" ref="DF78" si="155">SUM(DF6:DF77)</f>
        <v>48</v>
      </c>
      <c r="DG78" s="64"/>
      <c r="DH78" s="82"/>
      <c r="DI78" s="83">
        <f t="shared" ref="DI78" si="156">SUM(DI6:DI77)</f>
        <v>49</v>
      </c>
      <c r="DJ78" s="64"/>
      <c r="DK78" s="82"/>
      <c r="DL78" s="83">
        <f t="shared" ref="DL78" si="157">SUM(DL6:DL77)</f>
        <v>59</v>
      </c>
      <c r="DM78" s="64"/>
      <c r="DN78" s="796"/>
      <c r="DO78" s="83">
        <f t="shared" ref="DO78" si="158">SUM(DO6:DO77)</f>
        <v>43</v>
      </c>
      <c r="DP78" s="64"/>
      <c r="DQ78" s="796"/>
      <c r="DR78" s="83">
        <f t="shared" ref="DR78" si="159">SUM(DR6:DR77)</f>
        <v>36</v>
      </c>
      <c r="DS78" s="64"/>
      <c r="DT78" s="82"/>
      <c r="DU78" s="83">
        <f t="shared" ref="DU78" si="160">SUM(DU6:DU77)</f>
        <v>54</v>
      </c>
      <c r="DV78" s="64"/>
      <c r="DW78" s="82"/>
      <c r="DX78" s="83">
        <f t="shared" ref="DX78" si="161">SUM(DX6:DX77)</f>
        <v>63</v>
      </c>
      <c r="DY78" s="64"/>
      <c r="DZ78" s="82"/>
      <c r="EA78" s="83">
        <f t="shared" ref="EA78" si="162">SUM(EA6:EA77)</f>
        <v>46</v>
      </c>
      <c r="EB78" s="64"/>
      <c r="EC78" s="82"/>
      <c r="ED78" s="83">
        <f t="shared" ref="ED78" si="163">SUM(ED6:ED77)</f>
        <v>54</v>
      </c>
      <c r="EE78" s="64"/>
      <c r="EF78" s="82"/>
      <c r="EG78" s="83">
        <f t="shared" ref="EG78" si="164">SUM(EG6:EG77)</f>
        <v>50</v>
      </c>
      <c r="EH78" s="64"/>
      <c r="EI78" s="82"/>
      <c r="EJ78" s="83">
        <f t="shared" ref="EJ78" si="165">SUM(EJ6:EJ77)</f>
        <v>59</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14</v>
      </c>
      <c r="U128" s="65"/>
      <c r="V128" s="84"/>
      <c r="W128" s="71">
        <f t="shared" ref="W128" ca="1" si="591">SUM(W80:W127)</f>
        <v>16</v>
      </c>
      <c r="X128" s="65"/>
      <c r="Y128" s="84"/>
      <c r="Z128" s="71">
        <f t="shared" ref="Z128" ca="1" si="592">SUM(Z80:Z127)</f>
        <v>16</v>
      </c>
      <c r="AA128" s="65"/>
      <c r="AB128" s="84"/>
      <c r="AC128" s="71">
        <f t="shared" ref="AC128" ca="1" si="593">SUM(AC80:AC127)</f>
        <v>14</v>
      </c>
      <c r="AD128" s="65"/>
      <c r="AE128" s="84"/>
      <c r="AF128" s="71">
        <f t="shared" ref="AF128" ca="1" si="594">SUM(AF80:AF127)</f>
        <v>18</v>
      </c>
      <c r="AG128" s="65"/>
      <c r="AH128" s="84"/>
      <c r="AI128" s="71">
        <f t="shared" ref="AI128" ca="1" si="595">SUM(AI80:AI127)</f>
        <v>14</v>
      </c>
      <c r="AJ128" s="65"/>
      <c r="AK128" s="84"/>
      <c r="AL128" s="71">
        <f t="shared" ref="AL128" ca="1" si="596">SUM(AL80:AL127)</f>
        <v>16</v>
      </c>
      <c r="AM128" s="65"/>
      <c r="AN128" s="84"/>
      <c r="AO128" s="71">
        <f t="shared" ref="AO128" ca="1" si="597">SUM(AO80:AO127)</f>
        <v>18</v>
      </c>
      <c r="AP128" s="65"/>
      <c r="AQ128" s="84"/>
      <c r="AR128" s="71">
        <f t="shared" ref="AR128" ca="1" si="598">SUM(AR80:AR127)</f>
        <v>18</v>
      </c>
      <c r="AS128" s="65"/>
      <c r="AT128" s="84"/>
      <c r="AU128" s="71">
        <f t="shared" ref="AU128" ca="1" si="599">SUM(AU80:AU127)</f>
        <v>14</v>
      </c>
      <c r="AV128" s="65"/>
      <c r="AW128" s="84"/>
      <c r="AX128" s="71">
        <f t="shared" ref="AX128" ca="1" si="600">SUM(AX80:AX127)</f>
        <v>12</v>
      </c>
      <c r="AY128" s="65"/>
      <c r="AZ128" s="84"/>
      <c r="BA128" s="71">
        <f t="shared" ref="BA128" ca="1" si="601">SUM(BA80:BA127)</f>
        <v>18</v>
      </c>
      <c r="BB128" s="65"/>
      <c r="BC128" s="84"/>
      <c r="BD128" s="71">
        <f t="shared" ref="BD128" ca="1" si="602">SUM(BD80:BD127)</f>
        <v>14</v>
      </c>
      <c r="BE128" s="65"/>
      <c r="BF128" s="84"/>
      <c r="BG128" s="71">
        <f t="shared" ref="BG128" ca="1" si="603">SUM(BG80:BG127)</f>
        <v>16</v>
      </c>
      <c r="BH128" s="65"/>
      <c r="BI128" s="84"/>
      <c r="BJ128" s="71">
        <f t="shared" ref="BJ128" ca="1" si="604">SUM(BJ80:BJ127)</f>
        <v>16</v>
      </c>
      <c r="BK128" s="65"/>
      <c r="BL128" s="84"/>
      <c r="BM128" s="71">
        <f t="shared" ref="BM128" ca="1" si="605">SUM(BM80:BM127)</f>
        <v>14</v>
      </c>
      <c r="BN128" s="65"/>
      <c r="BO128" s="84"/>
      <c r="BP128" s="71">
        <f t="shared" ref="BP128" ca="1" si="606">SUM(BP80:BP127)</f>
        <v>14</v>
      </c>
      <c r="BQ128" s="65"/>
      <c r="BR128" s="84"/>
      <c r="BS128" s="71">
        <f t="shared" ref="BS128" ca="1" si="607">SUM(BS80:BS127)</f>
        <v>16</v>
      </c>
      <c r="BT128" s="65"/>
      <c r="BU128" s="84"/>
      <c r="BV128" s="71">
        <f t="shared" ref="BV128" ca="1" si="608">SUM(BV80:BV127)</f>
        <v>8</v>
      </c>
      <c r="BW128" s="65"/>
      <c r="BX128" s="84"/>
      <c r="BY128" s="71">
        <f t="shared" ref="BY128" ca="1" si="609">SUM(BY80:BY127)</f>
        <v>18</v>
      </c>
      <c r="BZ128" s="65"/>
      <c r="CA128" s="84"/>
      <c r="CB128" s="71">
        <f t="shared" ref="CB128" ca="1" si="610">SUM(CB80:CB127)</f>
        <v>12</v>
      </c>
      <c r="CC128" s="65"/>
      <c r="CD128" s="84"/>
      <c r="CE128" s="71">
        <f t="shared" ref="CE128" ca="1" si="611">SUM(CE80:CE127)</f>
        <v>18</v>
      </c>
      <c r="CF128" s="65"/>
      <c r="CG128" s="84"/>
      <c r="CH128" s="71">
        <f t="shared" ref="CH128" ca="1" si="612">SUM(CH80:CH127)</f>
        <v>14</v>
      </c>
      <c r="CI128" s="65"/>
      <c r="CJ128" s="84"/>
      <c r="CK128" s="71">
        <f t="shared" ref="CK128" ca="1" si="613">SUM(CK80:CK127)</f>
        <v>14</v>
      </c>
      <c r="CL128" s="65"/>
      <c r="CM128" s="84"/>
      <c r="CN128" s="71">
        <f t="shared" ref="CN128" ca="1" si="614">SUM(CN80:CN127)</f>
        <v>18</v>
      </c>
      <c r="CO128" s="65"/>
      <c r="CP128" s="84"/>
      <c r="CQ128" s="71">
        <f t="shared" ref="CQ128" ca="1" si="615">SUM(CQ80:CQ127)</f>
        <v>18</v>
      </c>
      <c r="CR128" s="65"/>
      <c r="CS128" s="84"/>
      <c r="CT128" s="71">
        <f t="shared" ref="CT128" ca="1" si="616">SUM(CT80:CT127)</f>
        <v>20</v>
      </c>
      <c r="CU128" s="65"/>
      <c r="CV128" s="84"/>
      <c r="CW128" s="71">
        <f t="shared" ref="CW128" ca="1" si="617">SUM(CW80:CW127)</f>
        <v>14</v>
      </c>
      <c r="CX128" s="65"/>
      <c r="CY128" s="84"/>
      <c r="CZ128" s="71">
        <f t="shared" ref="CZ128" ca="1" si="618">SUM(CZ80:CZ127)</f>
        <v>16</v>
      </c>
      <c r="DA128" s="65"/>
      <c r="DB128" s="84"/>
      <c r="DC128" s="71">
        <f t="shared" ref="DC128" ca="1" si="619">SUM(DC80:DC127)</f>
        <v>20</v>
      </c>
      <c r="DD128" s="65"/>
      <c r="DE128" s="84"/>
      <c r="DF128" s="71">
        <f t="shared" ref="DF128" ca="1" si="620">SUM(DF80:DF127)</f>
        <v>20</v>
      </c>
      <c r="DG128" s="65"/>
      <c r="DH128" s="84"/>
      <c r="DI128" s="71">
        <f t="shared" ref="DI128" ca="1" si="621">SUM(DI80:DI127)</f>
        <v>12</v>
      </c>
      <c r="DJ128" s="65"/>
      <c r="DK128" s="84"/>
      <c r="DL128" s="71">
        <f t="shared" ref="DL128" ca="1" si="622">SUM(DL80:DL127)</f>
        <v>10</v>
      </c>
      <c r="DM128" s="65"/>
      <c r="DN128" s="796"/>
      <c r="DO128" s="71">
        <f t="shared" ref="DO128" ca="1" si="623">SUM(DO80:DO127)</f>
        <v>14</v>
      </c>
      <c r="DP128" s="65"/>
      <c r="DQ128" s="796"/>
      <c r="DR128" s="71">
        <f t="shared" ref="DR128" ca="1" si="624">SUM(DR80:DR127)</f>
        <v>8</v>
      </c>
      <c r="DS128" s="65"/>
      <c r="DT128" s="84"/>
      <c r="DU128" s="71">
        <f t="shared" ref="DU128" ca="1" si="625">SUM(DU80:DU127)</f>
        <v>12</v>
      </c>
      <c r="DV128" s="65"/>
      <c r="DW128" s="84"/>
      <c r="DX128" s="71">
        <f t="shared" ref="DX128" ca="1" si="626">SUM(DX80:DX127)</f>
        <v>18</v>
      </c>
      <c r="DY128" s="65"/>
      <c r="DZ128" s="84"/>
      <c r="EA128" s="71">
        <f t="shared" ref="EA128" ca="1" si="627">SUM(EA80:EA127)</f>
        <v>10</v>
      </c>
      <c r="EB128" s="65"/>
      <c r="EC128" s="84"/>
      <c r="ED128" s="71">
        <f t="shared" ref="ED128" ca="1" si="628">SUM(ED80:ED127)</f>
        <v>14</v>
      </c>
      <c r="EE128" s="65"/>
      <c r="EF128" s="84"/>
      <c r="EG128" s="71">
        <f t="shared" ref="EG128" ca="1" si="629">SUM(EG80:EG127)</f>
        <v>14</v>
      </c>
      <c r="EH128" s="65"/>
      <c r="EI128" s="84"/>
      <c r="EJ128" s="71">
        <f t="shared" ref="EJ128" ca="1" si="630">SUM(EJ80:EJ127)</f>
        <v>14</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0</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3</v>
      </c>
      <c r="AG146" s="64"/>
      <c r="AH146" s="74" t="s">
        <v>1259</v>
      </c>
      <c r="AI146" s="73">
        <f t="shared" ca="1" si="645"/>
        <v>3</v>
      </c>
      <c r="AJ146" s="64"/>
      <c r="AK146" s="74" t="s">
        <v>1841</v>
      </c>
      <c r="AL146" s="73">
        <f t="shared" ca="1" si="646"/>
        <v>0</v>
      </c>
      <c r="AM146" s="64"/>
      <c r="AN146" s="74" t="s">
        <v>1259</v>
      </c>
      <c r="AO146" s="73">
        <f t="shared" ca="1" si="647"/>
        <v>3</v>
      </c>
      <c r="AP146" s="64"/>
      <c r="AQ146" s="74" t="s">
        <v>1259</v>
      </c>
      <c r="AR146" s="73">
        <f t="shared" ca="1" si="648"/>
        <v>3</v>
      </c>
      <c r="AS146" s="64"/>
      <c r="AT146" s="74" t="s">
        <v>1841</v>
      </c>
      <c r="AU146" s="73">
        <f t="shared" ca="1" si="649"/>
        <v>0</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0</v>
      </c>
      <c r="BK146" s="64"/>
      <c r="BL146" s="74" t="s">
        <v>1259</v>
      </c>
      <c r="BM146" s="73">
        <f t="shared" ca="1" si="655"/>
        <v>3</v>
      </c>
      <c r="BN146" s="64"/>
      <c r="BO146" s="74" t="s">
        <v>1259</v>
      </c>
      <c r="BP146" s="73">
        <f t="shared" ca="1" si="656"/>
        <v>3</v>
      </c>
      <c r="BQ146" s="64"/>
      <c r="BR146" s="74" t="s">
        <v>1841</v>
      </c>
      <c r="BS146" s="73">
        <f t="shared" ca="1" si="657"/>
        <v>0</v>
      </c>
      <c r="BT146" s="64"/>
      <c r="BU146" s="74" t="s">
        <v>1841</v>
      </c>
      <c r="BV146" s="73">
        <f t="shared" ca="1" si="658"/>
        <v>0</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0</v>
      </c>
      <c r="CX146" s="64"/>
      <c r="CY146" s="74" t="s">
        <v>1841</v>
      </c>
      <c r="CZ146" s="73">
        <f t="shared" ca="1" si="668"/>
        <v>0</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0</v>
      </c>
      <c r="EE146" s="64"/>
      <c r="EF146" s="74" t="s">
        <v>1259</v>
      </c>
      <c r="EG146" s="73">
        <f t="shared" ca="1" si="679"/>
        <v>3</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3</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3</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3</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3</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3</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3</v>
      </c>
      <c r="AV155" s="64"/>
      <c r="AW155" s="74" t="s">
        <v>1259</v>
      </c>
      <c r="AX155" s="73">
        <f t="shared" ca="1" si="650"/>
        <v>3</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0</v>
      </c>
      <c r="BN155" s="64"/>
      <c r="BO155" s="74" t="s">
        <v>80</v>
      </c>
      <c r="BP155" s="73">
        <f t="shared" ca="1" si="656"/>
        <v>0</v>
      </c>
      <c r="BQ155" s="64"/>
      <c r="BR155" s="74" t="s">
        <v>1259</v>
      </c>
      <c r="BS155" s="73">
        <f t="shared" ca="1" si="657"/>
        <v>3</v>
      </c>
      <c r="BT155" s="64"/>
      <c r="BU155" s="74" t="s">
        <v>1259</v>
      </c>
      <c r="BV155" s="73">
        <f t="shared" ca="1" si="658"/>
        <v>3</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3</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3</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15</v>
      </c>
      <c r="U162" s="65"/>
      <c r="V162" s="84"/>
      <c r="W162" s="71">
        <f t="shared" ref="W162" ca="1" si="691">SUM(W130:W161)</f>
        <v>12</v>
      </c>
      <c r="X162" s="65"/>
      <c r="Y162" s="84"/>
      <c r="Z162" s="71">
        <f t="shared" ref="Z162" ca="1" si="692">SUM(Z130:Z161)</f>
        <v>15</v>
      </c>
      <c r="AA162" s="65"/>
      <c r="AB162" s="84"/>
      <c r="AC162" s="71">
        <f t="shared" ref="AC162" ca="1" si="693">SUM(AC130:AC161)</f>
        <v>12</v>
      </c>
      <c r="AD162" s="65"/>
      <c r="AE162" s="84"/>
      <c r="AF162" s="71">
        <f t="shared" ref="AF162" ca="1" si="694">SUM(AF130:AF161)</f>
        <v>15</v>
      </c>
      <c r="AG162" s="65"/>
      <c r="AH162" s="84"/>
      <c r="AI162" s="71">
        <f t="shared" ref="AI162" ca="1" si="695">SUM(AI130:AI161)</f>
        <v>15</v>
      </c>
      <c r="AJ162" s="65"/>
      <c r="AK162" s="84"/>
      <c r="AL162" s="71">
        <f t="shared" ref="AL162" ca="1" si="696">SUM(AL130:AL161)</f>
        <v>12</v>
      </c>
      <c r="AM162" s="65"/>
      <c r="AN162" s="84"/>
      <c r="AO162" s="71">
        <f t="shared" ref="AO162" ca="1" si="697">SUM(AO130:AO161)</f>
        <v>15</v>
      </c>
      <c r="AP162" s="65"/>
      <c r="AQ162" s="84"/>
      <c r="AR162" s="71">
        <f t="shared" ref="AR162" ca="1" si="698">SUM(AR130:AR161)</f>
        <v>15</v>
      </c>
      <c r="AS162" s="65"/>
      <c r="AT162" s="84"/>
      <c r="AU162" s="71">
        <f t="shared" ref="AU162" ca="1" si="699">SUM(AU130:AU161)</f>
        <v>15</v>
      </c>
      <c r="AV162" s="65"/>
      <c r="AW162" s="84"/>
      <c r="AX162" s="71">
        <f t="shared" ref="AX162" ca="1" si="700">SUM(AX130:AX161)</f>
        <v>15</v>
      </c>
      <c r="AY162" s="65"/>
      <c r="AZ162" s="84"/>
      <c r="BA162" s="71">
        <f t="shared" ref="BA162" ca="1" si="701">SUM(BA130:BA161)</f>
        <v>15</v>
      </c>
      <c r="BB162" s="65"/>
      <c r="BC162" s="84"/>
      <c r="BD162" s="71">
        <f t="shared" ref="BD162" ca="1" si="702">SUM(BD130:BD161)</f>
        <v>18</v>
      </c>
      <c r="BE162" s="65"/>
      <c r="BF162" s="84"/>
      <c r="BG162" s="71">
        <f t="shared" ref="BG162" ca="1" si="703">SUM(BG130:BG161)</f>
        <v>15</v>
      </c>
      <c r="BH162" s="65"/>
      <c r="BI162" s="84"/>
      <c r="BJ162" s="71">
        <f t="shared" ref="BJ162" ca="1" si="704">SUM(BJ130:BJ161)</f>
        <v>15</v>
      </c>
      <c r="BK162" s="65"/>
      <c r="BL162" s="84"/>
      <c r="BM162" s="71">
        <f t="shared" ref="BM162" ca="1" si="705">SUM(BM130:BM161)</f>
        <v>15</v>
      </c>
      <c r="BN162" s="65"/>
      <c r="BO162" s="84"/>
      <c r="BP162" s="71">
        <f t="shared" ref="BP162" ca="1" si="706">SUM(BP130:BP161)</f>
        <v>15</v>
      </c>
      <c r="BQ162" s="65"/>
      <c r="BR162" s="84"/>
      <c r="BS162" s="71">
        <f t="shared" ref="BS162" ca="1" si="707">SUM(BS130:BS161)</f>
        <v>15</v>
      </c>
      <c r="BT162" s="65"/>
      <c r="BU162" s="84"/>
      <c r="BV162" s="71">
        <f t="shared" ref="BV162" ca="1" si="708">SUM(BV130:BV161)</f>
        <v>15</v>
      </c>
      <c r="BW162" s="65"/>
      <c r="BX162" s="84"/>
      <c r="BY162" s="71">
        <f t="shared" ref="BY162" ca="1" si="709">SUM(BY130:BY161)</f>
        <v>15</v>
      </c>
      <c r="BZ162" s="65"/>
      <c r="CA162" s="84"/>
      <c r="CB162" s="71">
        <f t="shared" ref="CB162" ca="1" si="710">SUM(CB130:CB161)</f>
        <v>18</v>
      </c>
      <c r="CC162" s="65"/>
      <c r="CD162" s="84"/>
      <c r="CE162" s="71">
        <f t="shared" ref="CE162" ca="1" si="711">SUM(CE130:CE161)</f>
        <v>15</v>
      </c>
      <c r="CF162" s="65"/>
      <c r="CG162" s="84"/>
      <c r="CH162" s="71">
        <f t="shared" ref="CH162" ca="1" si="712">SUM(CH130:CH161)</f>
        <v>15</v>
      </c>
      <c r="CI162" s="65"/>
      <c r="CJ162" s="84"/>
      <c r="CK162" s="71">
        <f t="shared" ref="CK162" ca="1" si="713">SUM(CK130:CK161)</f>
        <v>15</v>
      </c>
      <c r="CL162" s="65"/>
      <c r="CM162" s="84"/>
      <c r="CN162" s="71">
        <f t="shared" ref="CN162" ca="1" si="714">SUM(CN130:CN161)</f>
        <v>15</v>
      </c>
      <c r="CO162" s="65"/>
      <c r="CP162" s="84"/>
      <c r="CQ162" s="71">
        <f t="shared" ref="CQ162" ca="1" si="715">SUM(CQ130:CQ161)</f>
        <v>18</v>
      </c>
      <c r="CR162" s="65"/>
      <c r="CS162" s="84"/>
      <c r="CT162" s="71">
        <f t="shared" ref="CT162" ca="1" si="716">SUM(CT130:CT161)</f>
        <v>15</v>
      </c>
      <c r="CU162" s="65"/>
      <c r="CV162" s="84"/>
      <c r="CW162" s="71">
        <f t="shared" ref="CW162" ca="1" si="717">SUM(CW130:CW161)</f>
        <v>15</v>
      </c>
      <c r="CX162" s="65"/>
      <c r="CY162" s="84"/>
      <c r="CZ162" s="71">
        <f t="shared" ref="CZ162" ca="1" si="718">SUM(CZ130:CZ161)</f>
        <v>12</v>
      </c>
      <c r="DA162" s="65"/>
      <c r="DB162" s="84"/>
      <c r="DC162" s="71">
        <f t="shared" ref="DC162" ca="1" si="719">SUM(DC130:DC161)</f>
        <v>15</v>
      </c>
      <c r="DD162" s="65"/>
      <c r="DE162" s="84"/>
      <c r="DF162" s="71">
        <f t="shared" ref="DF162" ca="1" si="720">SUM(DF130:DF161)</f>
        <v>15</v>
      </c>
      <c r="DG162" s="65"/>
      <c r="DH162" s="84"/>
      <c r="DI162" s="71">
        <f t="shared" ref="DI162" ca="1" si="721">SUM(DI130:DI161)</f>
        <v>15</v>
      </c>
      <c r="DJ162" s="65"/>
      <c r="DK162" s="84"/>
      <c r="DL162" s="71">
        <f t="shared" ref="DL162" ca="1" si="722">SUM(DL130:DL161)</f>
        <v>15</v>
      </c>
      <c r="DM162" s="65"/>
      <c r="DN162" s="796"/>
      <c r="DO162" s="71">
        <f t="shared" ref="DO162" ca="1" si="723">SUM(DO130:DO161)</f>
        <v>12</v>
      </c>
      <c r="DP162" s="65"/>
      <c r="DQ162" s="796"/>
      <c r="DR162" s="71">
        <f t="shared" ref="DR162" ca="1" si="724">SUM(DR130:DR161)</f>
        <v>12</v>
      </c>
      <c r="DS162" s="65"/>
      <c r="DT162" s="84"/>
      <c r="DU162" s="71">
        <f t="shared" ref="DU162" ca="1" si="725">SUM(DU130:DU161)</f>
        <v>18</v>
      </c>
      <c r="DV162" s="65"/>
      <c r="DW162" s="84"/>
      <c r="DX162" s="71">
        <f t="shared" ref="DX162" ca="1" si="726">SUM(DX130:DX161)</f>
        <v>15</v>
      </c>
      <c r="DY162" s="65"/>
      <c r="DZ162" s="84"/>
      <c r="EA162" s="71">
        <f t="shared" ref="EA162" ca="1" si="727">SUM(EA130:EA161)</f>
        <v>15</v>
      </c>
      <c r="EB162" s="65"/>
      <c r="EC162" s="84"/>
      <c r="ED162" s="71">
        <f t="shared" ref="ED162" ca="1" si="728">SUM(ED130:ED161)</f>
        <v>12</v>
      </c>
      <c r="EE162" s="65"/>
      <c r="EF162" s="84"/>
      <c r="EG162" s="71">
        <f t="shared" ref="EG162" ca="1" si="729">SUM(EG130:EG161)</f>
        <v>15</v>
      </c>
      <c r="EH162" s="65"/>
      <c r="EI162" s="84"/>
      <c r="EJ162" s="71">
        <f t="shared" ref="EJ162" ca="1" si="730">SUM(EJ130:EJ161)</f>
        <v>15</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Canadá-Sudáfrica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2F-Brasil</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Brasil-2F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Marruecos-1F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1F-Marruecos</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México-3CEFHI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Suiza-3EFGIJ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14</v>
      </c>
      <c r="W263" s="25"/>
      <c r="X263" s="25"/>
      <c r="Y263" s="25">
        <f ca="1">RANK(Y264,OFFSET($S$264,0,0,1,$D$5*3),0)</f>
        <v>6</v>
      </c>
      <c r="Z263" s="25"/>
      <c r="AA263" s="25"/>
      <c r="AB263" s="25">
        <f ca="1">RANK(AB264,OFFSET($S$264,0,0,1,$D$5*3),0)</f>
        <v>29</v>
      </c>
      <c r="AC263" s="25"/>
      <c r="AD263" s="25"/>
      <c r="AE263" s="25">
        <f ca="1">RANK(AE264,OFFSET($S$264,0,0,1,$D$5*3),0)</f>
        <v>39</v>
      </c>
      <c r="AF263" s="25"/>
      <c r="AG263" s="25"/>
      <c r="AH263" s="25">
        <f ca="1">RANK(AH264,OFFSET($S$264,0,0,1,$D$5*3),0)</f>
        <v>18</v>
      </c>
      <c r="AI263" s="25"/>
      <c r="AJ263" s="25"/>
      <c r="AK263" s="25">
        <f ca="1">RANK(AK264,OFFSET($S$264,0,0,1,$D$5*3),0)</f>
        <v>1</v>
      </c>
      <c r="AL263" s="25"/>
      <c r="AM263" s="25"/>
      <c r="AN263" s="25">
        <f ca="1">RANK(AN264,OFFSET($S$264,0,0,1,$D$5*3),0)</f>
        <v>3</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23</v>
      </c>
      <c r="BA263" s="25"/>
      <c r="BB263" s="25"/>
      <c r="BC263" s="25">
        <f ca="1">RANK(BC264,OFFSET($S$264,0,0,1,$D$5*3),0)</f>
        <v>7</v>
      </c>
      <c r="BD263" s="25"/>
      <c r="BE263" s="25"/>
      <c r="BF263" s="25">
        <f ca="1">RANK(BF264,OFFSET($S$264,0,0,1,$D$5*3),0)</f>
        <v>33</v>
      </c>
      <c r="BG263" s="25"/>
      <c r="BH263" s="25"/>
      <c r="BI263" s="25">
        <f ca="1">RANK(BI264,OFFSET($S$264,0,0,1,$D$5*3),0)</f>
        <v>8</v>
      </c>
      <c r="BJ263" s="25"/>
      <c r="BK263" s="25"/>
      <c r="BL263" s="25">
        <f ca="1">RANK(BL264,OFFSET($S$264,0,0,1,$D$5*3),0)</f>
        <v>9</v>
      </c>
      <c r="BM263" s="25"/>
      <c r="BN263" s="25"/>
      <c r="BO263" s="25">
        <f ca="1">RANK(BO264,OFFSET($S$264,0,0,1,$D$5*3),0)</f>
        <v>15</v>
      </c>
      <c r="BP263" s="25"/>
      <c r="BQ263" s="25"/>
      <c r="BR263" s="25">
        <f ca="1">RANK(BR264,OFFSET($S$264,0,0,1,$D$5*3),0)</f>
        <v>19</v>
      </c>
      <c r="BS263" s="25"/>
      <c r="BT263" s="25"/>
      <c r="BU263" s="25">
        <f ca="1">RANK(BU264,OFFSET($S$264,0,0,1,$D$5*3),0)</f>
        <v>16</v>
      </c>
      <c r="BV263" s="25"/>
      <c r="BW263" s="25"/>
      <c r="BX263" s="25">
        <f ca="1">RANK(BX264,OFFSET($S$264,0,0,1,$D$5*3),0)</f>
        <v>10</v>
      </c>
      <c r="BY263" s="25"/>
      <c r="BZ263" s="25"/>
      <c r="CA263" s="25">
        <f ca="1">RANK(CA264,OFFSET($S$264,0,0,1,$D$5*3),0)</f>
        <v>40</v>
      </c>
      <c r="CB263" s="25"/>
      <c r="CC263" s="25"/>
      <c r="CD263" s="25">
        <f ca="1">RANK(CD264,OFFSET($S$264,0,0,1,$D$5*3),0)</f>
        <v>41</v>
      </c>
      <c r="CE263" s="25"/>
      <c r="CF263" s="25"/>
      <c r="CG263" s="25">
        <f ca="1">RANK(CG264,OFFSET($S$264,0,0,1,$D$5*3),0)</f>
        <v>20</v>
      </c>
      <c r="CH263" s="25"/>
      <c r="CI263" s="25"/>
      <c r="CJ263" s="25">
        <f ca="1">RANK(CJ264,OFFSET($S$264,0,0,1,$D$5*3),0)</f>
        <v>24</v>
      </c>
      <c r="CK263" s="25"/>
      <c r="CL263" s="25"/>
      <c r="CM263" s="25">
        <f ca="1">RANK(CM264,OFFSET($S$264,0,0,1,$D$5*3),0)</f>
        <v>11</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21</v>
      </c>
      <c r="CZ263" s="25"/>
      <c r="DA263" s="25"/>
      <c r="DB263" s="25">
        <f ca="1">RANK(DB264,OFFSET($S$264,0,0,1,$D$5*3),0)</f>
        <v>12</v>
      </c>
      <c r="DC263" s="25"/>
      <c r="DD263" s="25"/>
      <c r="DE263" s="25">
        <f ca="1">RANK(DE264,OFFSET($S$264,0,0,1,$D$5*3),0)</f>
        <v>26</v>
      </c>
      <c r="DF263" s="25"/>
      <c r="DG263" s="25"/>
      <c r="DH263" s="25">
        <f ca="1">RANK(DH264,OFFSET($S$264,0,0,1,$D$5*3),0)</f>
        <v>36</v>
      </c>
      <c r="DI263" s="25"/>
      <c r="DJ263" s="25"/>
      <c r="DK263" s="25">
        <f ca="1">RANK(DK264,OFFSET($S$264,0,0,1,$D$5*3),0)</f>
        <v>4</v>
      </c>
      <c r="DL263" s="25"/>
      <c r="DM263" s="25"/>
      <c r="DN263" s="25">
        <f ca="1">RANK(DN264,OFFSET($S$264,0,0,1,$D$5*3),0)</f>
        <v>22</v>
      </c>
      <c r="DO263" s="25"/>
      <c r="DP263" s="25"/>
      <c r="DQ263" s="25">
        <f ca="1">RANK(DQ264,OFFSET($S$264,0,0,1,$D$5*3),0)</f>
        <v>27</v>
      </c>
      <c r="DR263" s="25"/>
      <c r="DS263" s="25"/>
      <c r="DT263" s="25">
        <f ca="1">RANK(DT264,OFFSET($S$264,0,0,1,$D$5*3),0)</f>
        <v>5</v>
      </c>
      <c r="DU263" s="25"/>
      <c r="DV263" s="25"/>
      <c r="DW263" s="25">
        <f ca="1">RANK(DW264,OFFSET($S$264,0,0,1,$D$5*3),0)</f>
        <v>37</v>
      </c>
      <c r="DX263" s="25"/>
      <c r="DY263" s="25"/>
      <c r="DZ263" s="25">
        <f ca="1">RANK(DZ264,OFFSET($S$264,0,0,1,$D$5*3),0)</f>
        <v>2</v>
      </c>
      <c r="EA263" s="25"/>
      <c r="EB263" s="25"/>
      <c r="EC263" s="25">
        <f ca="1">RANK(EC264,OFFSET($S$264,0,0,1,$D$5*3),0)</f>
        <v>28</v>
      </c>
      <c r="ED263" s="25"/>
      <c r="EE263" s="25"/>
      <c r="EF263" s="25">
        <f ca="1">RANK(EF264,OFFSET($S$264,0,0,1,$D$5*3),0)</f>
        <v>17</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5.9981</v>
      </c>
      <c r="T264" s="25"/>
      <c r="U264" s="25"/>
      <c r="V264" s="25">
        <f t="shared" ref="V264" ca="1" si="2626">V266-(COLUMN()/10000)</f>
        <v>5.9977999999999998</v>
      </c>
      <c r="W264" s="25"/>
      <c r="X264" s="25"/>
      <c r="Y264" s="25">
        <f t="shared" ref="Y264" ca="1" si="2627">Y266-(COLUMN()/10000)</f>
        <v>6.9974999999999996</v>
      </c>
      <c r="Z264" s="25"/>
      <c r="AA264" s="25"/>
      <c r="AB264" s="25">
        <f t="shared" ref="AB264" ca="1" si="2628">AB266-(COLUMN()/10000)</f>
        <v>2.9971999999999999</v>
      </c>
      <c r="AC264" s="25"/>
      <c r="AD264" s="25"/>
      <c r="AE264" s="25">
        <f t="shared" ref="AE264" ca="1" si="2629">AE266-(COLUMN()/10000)</f>
        <v>1.9968999999999999</v>
      </c>
      <c r="AF264" s="25"/>
      <c r="AG264" s="25"/>
      <c r="AH264" s="25">
        <f t="shared" ref="AH264" ca="1" si="2630">AH266-(COLUMN()/10000)</f>
        <v>4.9965999999999999</v>
      </c>
      <c r="AI264" s="25"/>
      <c r="AJ264" s="25"/>
      <c r="AK264" s="25">
        <f t="shared" ref="AK264" ca="1" si="2631">AK266-(COLUMN()/10000)</f>
        <v>8.9962999999999997</v>
      </c>
      <c r="AL264" s="25"/>
      <c r="AM264" s="25"/>
      <c r="AN264" s="25">
        <f t="shared" ref="AN264" ca="1" si="2632">AN266-(COLUMN()/10000)</f>
        <v>7.9960000000000004</v>
      </c>
      <c r="AO264" s="25"/>
      <c r="AP264" s="25"/>
      <c r="AQ264" s="25">
        <f t="shared" ref="AQ264" ca="1" si="2633">AQ266-(COLUMN()/10000)</f>
        <v>2.9956999999999998</v>
      </c>
      <c r="AR264" s="25"/>
      <c r="AS264" s="25"/>
      <c r="AT264" s="25">
        <f t="shared" ref="AT264" ca="1" si="2634">AT266-(COLUMN()/10000)</f>
        <v>2.9954000000000001</v>
      </c>
      <c r="AU264" s="25"/>
      <c r="AV264" s="25"/>
      <c r="AW264" s="25">
        <f t="shared" ref="AW264" ca="1" si="2635">AW266-(COLUMN()/10000)</f>
        <v>2.9950999999999999</v>
      </c>
      <c r="AX264" s="25"/>
      <c r="AY264" s="25"/>
      <c r="AZ264" s="25">
        <f t="shared" ref="AZ264" ca="1" si="2636">AZ266-(COLUMN()/10000)</f>
        <v>3.9948000000000001</v>
      </c>
      <c r="BA264" s="25"/>
      <c r="BB264" s="25"/>
      <c r="BC264" s="25">
        <f t="shared" ref="BC264" ca="1" si="2637">BC266-(COLUMN()/10000)</f>
        <v>6.9945000000000004</v>
      </c>
      <c r="BD264" s="25"/>
      <c r="BE264" s="25"/>
      <c r="BF264" s="25">
        <f t="shared" ref="BF264" ca="1" si="2638">BF266-(COLUMN()/10000)</f>
        <v>2.9942000000000002</v>
      </c>
      <c r="BG264" s="25"/>
      <c r="BH264" s="25"/>
      <c r="BI264" s="25">
        <f t="shared" ref="BI264" ca="1" si="2639">BI266-(COLUMN()/10000)</f>
        <v>6.9939</v>
      </c>
      <c r="BJ264" s="25"/>
      <c r="BK264" s="25"/>
      <c r="BL264" s="25">
        <f t="shared" ref="BL264" ca="1" si="2640">BL266-(COLUMN()/10000)</f>
        <v>6.9935999999999998</v>
      </c>
      <c r="BM264" s="25"/>
      <c r="BN264" s="25"/>
      <c r="BO264" s="25">
        <f t="shared" ref="BO264" ca="1" si="2641">BO266-(COLUMN()/10000)</f>
        <v>5.9932999999999996</v>
      </c>
      <c r="BP264" s="25"/>
      <c r="BQ264" s="25"/>
      <c r="BR264" s="25">
        <f t="shared" ref="BR264" ca="1" si="2642">BR266-(COLUMN()/10000)</f>
        <v>4.9930000000000003</v>
      </c>
      <c r="BS264" s="25"/>
      <c r="BT264" s="25"/>
      <c r="BU264" s="25">
        <f t="shared" ref="BU264" ca="1" si="2643">BU266-(COLUMN()/10000)</f>
        <v>5.9927000000000001</v>
      </c>
      <c r="BV264" s="25"/>
      <c r="BW264" s="25"/>
      <c r="BX264" s="25">
        <f t="shared" ref="BX264" ca="1" si="2644">BX266-(COLUMN()/10000)</f>
        <v>6.9923999999999999</v>
      </c>
      <c r="BY264" s="25"/>
      <c r="BZ264" s="25"/>
      <c r="CA264" s="25">
        <f t="shared" ref="CA264" ca="1" si="2645">CA266-(COLUMN()/10000)</f>
        <v>1.9921</v>
      </c>
      <c r="CB264" s="25"/>
      <c r="CC264" s="25"/>
      <c r="CD264" s="25">
        <f t="shared" ref="CD264" ca="1" si="2646">CD266-(COLUMN()/10000)</f>
        <v>1.9918</v>
      </c>
      <c r="CE264" s="25"/>
      <c r="CF264" s="25"/>
      <c r="CG264" s="25">
        <f t="shared" ref="CG264" ca="1" si="2647">CG266-(COLUMN()/10000)</f>
        <v>4.9915000000000003</v>
      </c>
      <c r="CH264" s="25"/>
      <c r="CI264" s="25"/>
      <c r="CJ264" s="25">
        <f t="shared" ref="CJ264" ca="1" si="2648">CJ266-(COLUMN()/10000)</f>
        <v>3.9912000000000001</v>
      </c>
      <c r="CK264" s="25"/>
      <c r="CL264" s="25"/>
      <c r="CM264" s="25">
        <f t="shared" ref="CM264" ca="1" si="2649">CM266-(COLUMN()/10000)</f>
        <v>6.9908999999999999</v>
      </c>
      <c r="CN264" s="25"/>
      <c r="CO264" s="25"/>
      <c r="CP264" s="25">
        <f t="shared" ref="CP264" ca="1" si="2650">CP266-(COLUMN()/10000)</f>
        <v>2.9906000000000001</v>
      </c>
      <c r="CQ264" s="25"/>
      <c r="CR264" s="25"/>
      <c r="CS264" s="25">
        <f t="shared" ref="CS264" ca="1" si="2651">CS266-(COLUMN()/10000)</f>
        <v>2.9903</v>
      </c>
      <c r="CT264" s="25"/>
      <c r="CU264" s="25"/>
      <c r="CV264" s="25">
        <f t="shared" ref="CV264" ca="1" si="2652">CV266-(COLUMN()/10000)</f>
        <v>3.99</v>
      </c>
      <c r="CW264" s="25"/>
      <c r="CX264" s="25"/>
      <c r="CY264" s="25">
        <f t="shared" ref="CY264" ca="1" si="2653">CY266-(COLUMN()/10000)</f>
        <v>4.9897</v>
      </c>
      <c r="CZ264" s="25"/>
      <c r="DA264" s="25"/>
      <c r="DB264" s="25">
        <f t="shared" ref="DB264" ca="1" si="2654">DB266-(COLUMN()/10000)</f>
        <v>6.9893999999999998</v>
      </c>
      <c r="DC264" s="25"/>
      <c r="DD264" s="25"/>
      <c r="DE264" s="25">
        <f t="shared" ref="DE264" ca="1" si="2655">DE266-(COLUMN()/10000)</f>
        <v>3.9891000000000001</v>
      </c>
      <c r="DF264" s="25"/>
      <c r="DG264" s="25"/>
      <c r="DH264" s="25">
        <f t="shared" ref="DH264" ca="1" si="2656">DH266-(COLUMN()/10000)</f>
        <v>2.9887999999999999</v>
      </c>
      <c r="DI264" s="25"/>
      <c r="DJ264" s="25"/>
      <c r="DK264" s="25">
        <f t="shared" ref="DK264" ca="1" si="2657">DK266-(COLUMN()/10000)</f>
        <v>7.9885000000000002</v>
      </c>
      <c r="DL264" s="25"/>
      <c r="DM264" s="25"/>
      <c r="DN264" s="25">
        <f t="shared" ref="DN264" ca="1" si="2658">DN266-(COLUMN()/10000)</f>
        <v>4.9882</v>
      </c>
      <c r="DO264" s="25"/>
      <c r="DP264" s="25"/>
      <c r="DQ264" s="25">
        <f t="shared" ref="DQ264" ca="1" si="2659">DQ266-(COLUMN()/10000)</f>
        <v>3.9878999999999998</v>
      </c>
      <c r="DR264" s="25"/>
      <c r="DS264" s="25"/>
      <c r="DT264" s="25">
        <f t="shared" ref="DT264" ca="1" si="2660">DT266-(COLUMN()/10000)</f>
        <v>7.9875999999999996</v>
      </c>
      <c r="DU264" s="25"/>
      <c r="DV264" s="25"/>
      <c r="DW264" s="25">
        <f t="shared" ref="DW264" ca="1" si="2661">DW266-(COLUMN()/10000)</f>
        <v>2.9872999999999998</v>
      </c>
      <c r="DX264" s="25"/>
      <c r="DY264" s="25"/>
      <c r="DZ264" s="25">
        <f t="shared" ref="DZ264" ca="1" si="2662">DZ266-(COLUMN()/10000)</f>
        <v>8.9870000000000001</v>
      </c>
      <c r="EA264" s="25"/>
      <c r="EB264" s="25"/>
      <c r="EC264" s="25">
        <f t="shared" ref="EC264" ca="1" si="2663">EC266-(COLUMN()/10000)</f>
        <v>3.9866999999999999</v>
      </c>
      <c r="ED264" s="25"/>
      <c r="EE264" s="25"/>
      <c r="EF264" s="25">
        <f t="shared" ref="EF264" ca="1" si="2664">EF266-(COLUMN()/10000)</f>
        <v>5.9863999999999997</v>
      </c>
      <c r="EG264" s="25"/>
      <c r="EH264" s="25"/>
      <c r="EI264" s="25">
        <f t="shared" ref="EI264" ca="1" si="2665">EI266-(COLUMN()/10000)</f>
        <v>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13</v>
      </c>
      <c r="W265" s="25"/>
      <c r="X265" s="25"/>
      <c r="Y265" s="25">
        <f ca="1">RANK(Y266,OFFSET($S$266,0,0,1,$D$5*3),0)</f>
        <v>6</v>
      </c>
      <c r="Z265" s="25"/>
      <c r="AA265" s="25"/>
      <c r="AB265" s="25">
        <f ca="1">RANK(AB266,OFFSET($S$266,0,0,1,$D$5*3),0)</f>
        <v>29</v>
      </c>
      <c r="AC265" s="25"/>
      <c r="AD265" s="25"/>
      <c r="AE265" s="25">
        <f ca="1">RANK(AE266,OFFSET($S$266,0,0,1,$D$5*3),0)</f>
        <v>39</v>
      </c>
      <c r="AF265" s="25"/>
      <c r="AG265" s="25"/>
      <c r="AH265" s="25">
        <f ca="1">RANK(AH266,OFFSET($S$266,0,0,1,$D$5*3),0)</f>
        <v>18</v>
      </c>
      <c r="AI265" s="25"/>
      <c r="AJ265" s="25"/>
      <c r="AK265" s="25">
        <f ca="1">RANK(AK266,OFFSET($S$266,0,0,1,$D$5*3),0)</f>
        <v>1</v>
      </c>
      <c r="AL265" s="25"/>
      <c r="AM265" s="25"/>
      <c r="AN265" s="25">
        <f ca="1">RANK(AN266,OFFSET($S$266,0,0,1,$D$5*3),0)</f>
        <v>3</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23</v>
      </c>
      <c r="BA265" s="25"/>
      <c r="BB265" s="25"/>
      <c r="BC265" s="25">
        <f ca="1">RANK(BC266,OFFSET($S$266,0,0,1,$D$5*3),0)</f>
        <v>6</v>
      </c>
      <c r="BD265" s="25"/>
      <c r="BE265" s="25"/>
      <c r="BF265" s="25">
        <f ca="1">RANK(BF266,OFFSET($S$266,0,0,1,$D$5*3),0)</f>
        <v>29</v>
      </c>
      <c r="BG265" s="25"/>
      <c r="BH265" s="25"/>
      <c r="BI265" s="25">
        <f ca="1">RANK(BI266,OFFSET($S$266,0,0,1,$D$5*3),0)</f>
        <v>6</v>
      </c>
      <c r="BJ265" s="25"/>
      <c r="BK265" s="25"/>
      <c r="BL265" s="25">
        <f ca="1">RANK(BL266,OFFSET($S$266,0,0,1,$D$5*3),0)</f>
        <v>6</v>
      </c>
      <c r="BM265" s="25"/>
      <c r="BN265" s="25"/>
      <c r="BO265" s="25">
        <f ca="1">RANK(BO266,OFFSET($S$266,0,0,1,$D$5*3),0)</f>
        <v>13</v>
      </c>
      <c r="BP265" s="25"/>
      <c r="BQ265" s="25"/>
      <c r="BR265" s="25">
        <f ca="1">RANK(BR266,OFFSET($S$266,0,0,1,$D$5*3),0)</f>
        <v>18</v>
      </c>
      <c r="BS265" s="25"/>
      <c r="BT265" s="25"/>
      <c r="BU265" s="25">
        <f ca="1">RANK(BU266,OFFSET($S$266,0,0,1,$D$5*3),0)</f>
        <v>13</v>
      </c>
      <c r="BV265" s="25"/>
      <c r="BW265" s="25"/>
      <c r="BX265" s="25">
        <f ca="1">RANK(BX266,OFFSET($S$266,0,0,1,$D$5*3),0)</f>
        <v>6</v>
      </c>
      <c r="BY265" s="25"/>
      <c r="BZ265" s="25"/>
      <c r="CA265" s="25">
        <f ca="1">RANK(CA266,OFFSET($S$266,0,0,1,$D$5*3),0)</f>
        <v>39</v>
      </c>
      <c r="CB265" s="25"/>
      <c r="CC265" s="25"/>
      <c r="CD265" s="25">
        <f ca="1">RANK(CD266,OFFSET($S$266,0,0,1,$D$5*3),0)</f>
        <v>39</v>
      </c>
      <c r="CE265" s="25"/>
      <c r="CF265" s="25"/>
      <c r="CG265" s="25">
        <f ca="1">RANK(CG266,OFFSET($S$266,0,0,1,$D$5*3),0)</f>
        <v>18</v>
      </c>
      <c r="CH265" s="25"/>
      <c r="CI265" s="25"/>
      <c r="CJ265" s="25">
        <f ca="1">RANK(CJ266,OFFSET($S$266,0,0,1,$D$5*3),0)</f>
        <v>23</v>
      </c>
      <c r="CK265" s="25"/>
      <c r="CL265" s="25"/>
      <c r="CM265" s="25">
        <f ca="1">RANK(CM266,OFFSET($S$266,0,0,1,$D$5*3),0)</f>
        <v>6</v>
      </c>
      <c r="CN265" s="25"/>
      <c r="CO265" s="25"/>
      <c r="CP265" s="25">
        <f ca="1">RANK(CP266,OFFSET($S$266,0,0,1,$D$5*3),0)</f>
        <v>29</v>
      </c>
      <c r="CQ265" s="25"/>
      <c r="CR265" s="25"/>
      <c r="CS265" s="25">
        <f ca="1">RANK(CS266,OFFSET($S$266,0,0,1,$D$5*3),0)</f>
        <v>29</v>
      </c>
      <c r="CT265" s="25"/>
      <c r="CU265" s="25"/>
      <c r="CV265" s="25">
        <f ca="1">RANK(CV266,OFFSET($S$266,0,0,1,$D$5*3),0)</f>
        <v>23</v>
      </c>
      <c r="CW265" s="25"/>
      <c r="CX265" s="25"/>
      <c r="CY265" s="25">
        <f ca="1">RANK(CY266,OFFSET($S$266,0,0,1,$D$5*3),0)</f>
        <v>18</v>
      </c>
      <c r="CZ265" s="25"/>
      <c r="DA265" s="25"/>
      <c r="DB265" s="25">
        <f ca="1">RANK(DB266,OFFSET($S$266,0,0,1,$D$5*3),0)</f>
        <v>6</v>
      </c>
      <c r="DC265" s="25"/>
      <c r="DD265" s="25"/>
      <c r="DE265" s="25">
        <f ca="1">RANK(DE266,OFFSET($S$266,0,0,1,$D$5*3),0)</f>
        <v>23</v>
      </c>
      <c r="DF265" s="25"/>
      <c r="DG265" s="25"/>
      <c r="DH265" s="25">
        <f ca="1">RANK(DH266,OFFSET($S$266,0,0,1,$D$5*3),0)</f>
        <v>29</v>
      </c>
      <c r="DI265" s="25"/>
      <c r="DJ265" s="25"/>
      <c r="DK265" s="25">
        <f ca="1">RANK(DK266,OFFSET($S$266,0,0,1,$D$5*3),0)</f>
        <v>3</v>
      </c>
      <c r="DL265" s="25"/>
      <c r="DM265" s="25"/>
      <c r="DN265" s="25">
        <f ca="1">RANK(DN266,OFFSET($S$266,0,0,1,$D$5*3),0)</f>
        <v>18</v>
      </c>
      <c r="DO265" s="25"/>
      <c r="DP265" s="25"/>
      <c r="DQ265" s="25">
        <f ca="1">RANK(DQ266,OFFSET($S$266,0,0,1,$D$5*3),0)</f>
        <v>23</v>
      </c>
      <c r="DR265" s="25"/>
      <c r="DS265" s="25"/>
      <c r="DT265" s="25">
        <f ca="1">RANK(DT266,OFFSET($S$266,0,0,1,$D$5*3),0)</f>
        <v>3</v>
      </c>
      <c r="DU265" s="25"/>
      <c r="DV265" s="25"/>
      <c r="DW265" s="25">
        <f ca="1">RANK(DW266,OFFSET($S$266,0,0,1,$D$5*3),0)</f>
        <v>29</v>
      </c>
      <c r="DX265" s="25"/>
      <c r="DY265" s="25"/>
      <c r="DZ265" s="25">
        <f ca="1">RANK(DZ266,OFFSET($S$266,0,0,1,$D$5*3),0)</f>
        <v>1</v>
      </c>
      <c r="EA265" s="25"/>
      <c r="EB265" s="25"/>
      <c r="EC265" s="25">
        <f ca="1">RANK(EC266,OFFSET($S$266,0,0,1,$D$5*3),0)</f>
        <v>23</v>
      </c>
      <c r="ED265" s="25"/>
      <c r="EE265" s="25"/>
      <c r="EF265" s="25">
        <f ca="1">RANK(EF266,OFFSET($S$266,0,0,1,$D$5*3),0)</f>
        <v>13</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6</v>
      </c>
      <c r="T266" s="25"/>
      <c r="U266" s="25"/>
      <c r="V266" s="25">
        <f ca="1">SUMIFS((W6:W259),$H$6:$H$259,$M$262)</f>
        <v>6</v>
      </c>
      <c r="W266" s="25"/>
      <c r="X266" s="25"/>
      <c r="Y266" s="25">
        <f ca="1">SUMIFS((Z6:Z259),$H$6:$H$259,$M$262)</f>
        <v>7</v>
      </c>
      <c r="Z266" s="25"/>
      <c r="AA266" s="25"/>
      <c r="AB266" s="25">
        <f ca="1">SUMIFS((AC6:AC259),$H$6:$H$259,$M$262)</f>
        <v>3</v>
      </c>
      <c r="AC266" s="25"/>
      <c r="AD266" s="25"/>
      <c r="AE266" s="25">
        <f ca="1">SUMIFS((AF6:AF259),$H$6:$H$259,$M$262)</f>
        <v>2</v>
      </c>
      <c r="AF266" s="25"/>
      <c r="AG266" s="25"/>
      <c r="AH266" s="25">
        <f ca="1">SUMIFS((AI6:AI259),$H$6:$H$259,$M$262)</f>
        <v>5</v>
      </c>
      <c r="AI266" s="25"/>
      <c r="AJ266" s="25"/>
      <c r="AK266" s="25">
        <f ca="1">SUMIFS((AL6:AL259),$H$6:$H$259,$M$262)</f>
        <v>9</v>
      </c>
      <c r="AL266" s="25"/>
      <c r="AM266" s="25"/>
      <c r="AN266" s="25">
        <f ca="1">SUMIFS((AO6:AO259),$H$6:$H$259,$M$262)</f>
        <v>8</v>
      </c>
      <c r="AO266" s="25"/>
      <c r="AP266" s="25"/>
      <c r="AQ266" s="25">
        <f ca="1">SUMIFS((AR6:AR259),$H$6:$H$259,$M$262)</f>
        <v>3</v>
      </c>
      <c r="AR266" s="25"/>
      <c r="AS266" s="25"/>
      <c r="AT266" s="25">
        <f ca="1">SUMIFS((AU6:AU259),$H$6:$H$259,$M$262)</f>
        <v>3</v>
      </c>
      <c r="AU266" s="25"/>
      <c r="AV266" s="25"/>
      <c r="AW266" s="25">
        <f ca="1">SUMIFS((AX6:AX259),$H$6:$H$259,$M$262)</f>
        <v>3</v>
      </c>
      <c r="AX266" s="25"/>
      <c r="AY266" s="25"/>
      <c r="AZ266" s="25">
        <f ca="1">SUMIFS((BA6:BA259),$H$6:$H$259,$M$262)</f>
        <v>4</v>
      </c>
      <c r="BA266" s="25"/>
      <c r="BB266" s="25"/>
      <c r="BC266" s="25">
        <f ca="1">SUMIFS((BD6:BD259),$H$6:$H$259,$M$262)</f>
        <v>7</v>
      </c>
      <c r="BD266" s="25"/>
      <c r="BE266" s="25"/>
      <c r="BF266" s="25">
        <f ca="1">SUMIFS((BG6:BG259),$H$6:$H$259,$M$262)</f>
        <v>3</v>
      </c>
      <c r="BG266" s="25"/>
      <c r="BH266" s="25"/>
      <c r="BI266" s="25">
        <f ca="1">SUMIFS((BJ6:BJ259),$H$6:$H$259,$M$262)</f>
        <v>7</v>
      </c>
      <c r="BJ266" s="25"/>
      <c r="BK266" s="25"/>
      <c r="BL266" s="25">
        <f ca="1">SUMIFS((BM6:BM259),$H$6:$H$259,$M$262)</f>
        <v>7</v>
      </c>
      <c r="BM266" s="25"/>
      <c r="BN266" s="25"/>
      <c r="BO266" s="25">
        <f ca="1">SUMIFS((BP6:BP259),$H$6:$H$259,$M$262)</f>
        <v>6</v>
      </c>
      <c r="BP266" s="25"/>
      <c r="BQ266" s="25"/>
      <c r="BR266" s="25">
        <f ca="1">SUMIFS((BS6:BS259),$H$6:$H$259,$M$262)</f>
        <v>5</v>
      </c>
      <c r="BS266" s="25"/>
      <c r="BT266" s="25"/>
      <c r="BU266" s="25">
        <f ca="1">SUMIFS((BV6:BV259),$H$6:$H$259,$M$262)</f>
        <v>6</v>
      </c>
      <c r="BV266" s="25"/>
      <c r="BW266" s="25"/>
      <c r="BX266" s="25">
        <f ca="1">SUMIFS((BY6:BY259),$H$6:$H$259,$M$262)</f>
        <v>7</v>
      </c>
      <c r="BY266" s="25"/>
      <c r="BZ266" s="25"/>
      <c r="CA266" s="25">
        <f ca="1">SUMIFS((CB6:CB259),$H$6:$H$259,$M$262)</f>
        <v>2</v>
      </c>
      <c r="CB266" s="25"/>
      <c r="CC266" s="25"/>
      <c r="CD266" s="25">
        <f ca="1">SUMIFS((CE6:CE259),$H$6:$H$259,$M$262)</f>
        <v>2</v>
      </c>
      <c r="CE266" s="25"/>
      <c r="CF266" s="25"/>
      <c r="CG266" s="25">
        <f ca="1">SUMIFS((CH6:CH259),$H$6:$H$259,$M$262)</f>
        <v>5</v>
      </c>
      <c r="CH266" s="25"/>
      <c r="CI266" s="25"/>
      <c r="CJ266" s="25">
        <f ca="1">SUMIFS((CK6:CK259),$H$6:$H$259,$M$262)</f>
        <v>4</v>
      </c>
      <c r="CK266" s="25"/>
      <c r="CL266" s="25"/>
      <c r="CM266" s="25">
        <f ca="1">SUMIFS((CN6:CN259),$H$6:$H$259,$M$262)</f>
        <v>7</v>
      </c>
      <c r="CN266" s="25"/>
      <c r="CO266" s="25"/>
      <c r="CP266" s="25">
        <f ca="1">SUMIFS((CQ6:CQ259),$H$6:$H$259,$M$262)</f>
        <v>3</v>
      </c>
      <c r="CQ266" s="25"/>
      <c r="CR266" s="25"/>
      <c r="CS266" s="25">
        <f ca="1">SUMIFS((CT6:CT259),$H$6:$H$259,$M$262)</f>
        <v>3</v>
      </c>
      <c r="CT266" s="25"/>
      <c r="CU266" s="25"/>
      <c r="CV266" s="25">
        <f ca="1">SUMIFS((CW6:CW259),$H$6:$H$259,$M$262)</f>
        <v>4</v>
      </c>
      <c r="CW266" s="25"/>
      <c r="CX266" s="25"/>
      <c r="CY266" s="25">
        <f ca="1">SUMIFS((CZ6:CZ259),$H$6:$H$259,$M$262)</f>
        <v>5</v>
      </c>
      <c r="CZ266" s="25"/>
      <c r="DA266" s="25"/>
      <c r="DB266" s="25">
        <f ca="1">SUMIFS((DC6:DC259),$H$6:$H$259,$M$262)</f>
        <v>7</v>
      </c>
      <c r="DC266" s="25"/>
      <c r="DD266" s="25"/>
      <c r="DE266" s="25">
        <f ca="1">SUMIFS((DF6:DF259),$H$6:$H$259,$M$262)</f>
        <v>4</v>
      </c>
      <c r="DF266" s="25"/>
      <c r="DG266" s="25"/>
      <c r="DH266" s="25">
        <f ca="1">SUMIFS((DI6:DI259),$H$6:$H$259,$M$262)</f>
        <v>3</v>
      </c>
      <c r="DI266" s="25"/>
      <c r="DJ266" s="25"/>
      <c r="DK266" s="25">
        <f ca="1">SUMIFS((DL6:DL259),$H$6:$H$259,$M$262)</f>
        <v>8</v>
      </c>
      <c r="DL266" s="25"/>
      <c r="DM266" s="25"/>
      <c r="DN266" s="25">
        <f ca="1">SUMIFS((DO6:DO259),$H$6:$H$259,$M$262)</f>
        <v>5</v>
      </c>
      <c r="DO266" s="25"/>
      <c r="DP266" s="25"/>
      <c r="DQ266" s="25">
        <f ca="1">SUMIFS((DR6:DR259),$H$6:$H$259,$M$262)</f>
        <v>4</v>
      </c>
      <c r="DR266" s="25"/>
      <c r="DS266" s="25"/>
      <c r="DT266" s="25">
        <f ca="1">SUMIFS((DU6:DU259),$H$6:$H$259,$M$262)</f>
        <v>8</v>
      </c>
      <c r="DU266" s="25"/>
      <c r="DV266" s="25"/>
      <c r="DW266" s="25">
        <f ca="1">SUMIFS((DX6:DX259),$H$6:$H$259,$M$262)</f>
        <v>3</v>
      </c>
      <c r="DX266" s="25"/>
      <c r="DY266" s="25"/>
      <c r="DZ266" s="25">
        <f ca="1">SUMIFS((EA6:EA259),$H$6:$H$259,$M$262)</f>
        <v>9</v>
      </c>
      <c r="EA266" s="25"/>
      <c r="EB266" s="25"/>
      <c r="EC266" s="25">
        <f ca="1">SUMIFS((ED6:ED259),$H$6:$H$259,$M$262)</f>
        <v>4</v>
      </c>
      <c r="ED266" s="25"/>
      <c r="EE266" s="25"/>
      <c r="EF266" s="25">
        <f ca="1">SUMIFS((EG6:EG259),$H$6:$H$259,$M$262)</f>
        <v>6</v>
      </c>
      <c r="EG266" s="25"/>
      <c r="EH266" s="25"/>
      <c r="EI266" s="25">
        <f ca="1">SUMIFS((EJ6:EJ259),$H$6:$H$259,$M$262)</f>
        <v>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104</v>
      </c>
      <c r="E5" s="92" cm="1">
        <f t="array" aca="1" ref="E5" ca="1">IFERROR(INDEX(Rango_Admin_Clas_Total,E$2,MATCH($A5,Rango_Admin_Clas_Primera,0)+1),"-")</f>
        <v>71</v>
      </c>
      <c r="F5" s="92" cm="1">
        <f t="array" aca="1" ref="F5" ca="1">IFERROR(INDEX(Rango_Admin_Clas_Total,F$2,MATCH($A5,Rango_Admin_Clas_Primera,0)+1),"-")</f>
        <v>18</v>
      </c>
      <c r="G5" s="92" cm="1">
        <f t="array" aca="1" ref="G5" ca="1">IFERROR(INDEX(Rango_Admin_Clas_Total,G$2,MATCH($A5,Rango_Admin_Clas_Primera,0)+1),"-")</f>
        <v>15</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96</v>
      </c>
      <c r="E6" s="92" cm="1">
        <f t="array" aca="1" ref="E6" ca="1">IFERROR(INDEX(Rango_Admin_Clas_Total,E$2,MATCH($A6,Rango_Admin_Clas_Primera,0)+1),"-")</f>
        <v>63</v>
      </c>
      <c r="F6" s="92" cm="1">
        <f t="array" aca="1" ref="F6" ca="1">IFERROR(INDEX(Rango_Admin_Clas_Total,F$2,MATCH($A6,Rango_Admin_Clas_Primera,0)+1),"-")</f>
        <v>18</v>
      </c>
      <c r="G6" s="92" cm="1">
        <f t="array" aca="1" ref="G6" ca="1">IFERROR(INDEX(Rango_Admin_Clas_Total,G$2,MATCH($A6,Rango_Admin_Clas_Primera,0)+1),"-")</f>
        <v>15</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MURO 204</v>
      </c>
      <c r="D7" s="91">
        <f ca="1">IFERROR(HLOOKUP(A7,Rango_Admin_Clas,4,FALSE),"-")</f>
        <v>93</v>
      </c>
      <c r="E7" s="92" cm="1">
        <f t="array" aca="1" ref="E7" ca="1">IFERROR(INDEX(Rango_Admin_Clas_Total,E$2,MATCH($A7,Rango_Admin_Clas_Primera,0)+1),"-")</f>
        <v>62</v>
      </c>
      <c r="F7" s="92" cm="1">
        <f t="array" aca="1" ref="F7" ca="1">IFERROR(INDEX(Rango_Admin_Clas_Total,F$2,MATCH($A7,Rango_Admin_Clas_Primera,0)+1),"-")</f>
        <v>16</v>
      </c>
      <c r="G7" s="92" cm="1">
        <f t="array" aca="1" ref="G7" ca="1">IFERROR(INDEX(Rango_Admin_Clas_Total,G$2,MATCH($A7,Rango_Admin_Clas_Primera,0)+1),"-")</f>
        <v>15</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3</v>
      </c>
      <c r="C8" s="18" t="str">
        <f ca="1">IFERROR(HLOOKUP(A8,Rango_Admin_Clas,5,FALSE),"-")</f>
        <v>Fernando Carlos García-Ramos Redondo</v>
      </c>
      <c r="D8" s="91">
        <f ca="1">IFERROR(HLOOKUP(A8,Rango_Admin_Clas,4,FALSE),"-")</f>
        <v>93</v>
      </c>
      <c r="E8" s="92" cm="1">
        <f t="array" aca="1" ref="E8" ca="1">IFERROR(INDEX(Rango_Admin_Clas_Total,E$2,MATCH($A8,Rango_Admin_Clas_Primera,0)+1),"-")</f>
        <v>58</v>
      </c>
      <c r="F8" s="92" cm="1">
        <f t="array" aca="1" ref="F8" ca="1">IFERROR(INDEX(Rango_Admin_Clas_Total,F$2,MATCH($A8,Rango_Admin_Clas_Primera,0)+1),"-")</f>
        <v>20</v>
      </c>
      <c r="G8" s="92" cm="1">
        <f t="array" aca="1" ref="G8" ca="1">IFERROR(INDEX(Rango_Admin_Clas_Total,G$2,MATCH($A8,Rango_Admin_Clas_Primera,0)+1),"-")</f>
        <v>15</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William Hartley</v>
      </c>
      <c r="D9" s="91">
        <f ca="1">IFERROR(HLOOKUP(A9,Rango_Admin_Clas,4,FALSE),"-")</f>
        <v>92</v>
      </c>
      <c r="E9" s="92" cm="1">
        <f t="array" aca="1" ref="E9" ca="1">IFERROR(INDEX(Rango_Admin_Clas_Total,E$2,MATCH($A9,Rango_Admin_Clas_Primera,0)+1),"-")</f>
        <v>56</v>
      </c>
      <c r="F9" s="92" cm="1">
        <f t="array" aca="1" ref="F9" ca="1">IFERROR(INDEX(Rango_Admin_Clas_Total,F$2,MATCH($A9,Rango_Admin_Clas_Primera,0)+1),"-")</f>
        <v>18</v>
      </c>
      <c r="G9" s="92" cm="1">
        <f t="array" aca="1" ref="G9" ca="1">IFERROR(INDEX(Rango_Admin_Clas_Total,G$2,MATCH($A9,Rango_Admin_Clas_Primera,0)+1),"-")</f>
        <v>18</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Alejandro Lafuente</v>
      </c>
      <c r="D10" s="91">
        <f ca="1">IFERROR(HLOOKUP(A10,Rango_Admin_Clas,4,FALSE),"-")</f>
        <v>90</v>
      </c>
      <c r="E10" s="92" cm="1">
        <f t="array" aca="1" ref="E10" ca="1">IFERROR(INDEX(Rango_Admin_Clas_Total,E$2,MATCH($A10,Rango_Admin_Clas_Primera,0)+1),"-")</f>
        <v>59</v>
      </c>
      <c r="F10" s="92" cm="1">
        <f t="array" aca="1" ref="F10" ca="1">IFERROR(INDEX(Rango_Admin_Clas_Total,F$2,MATCH($A10,Rango_Admin_Clas_Primera,0)+1),"-")</f>
        <v>16</v>
      </c>
      <c r="G10" s="92" cm="1">
        <f t="array" aca="1" ref="G10" ca="1">IFERROR(INDEX(Rango_Admin_Clas_Total,G$2,MATCH($A10,Rango_Admin_Clas_Primera,0)+1),"-")</f>
        <v>15</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Joserra</v>
      </c>
      <c r="D11" s="91">
        <f ca="1">IFERROR(HLOOKUP(A11,Rango_Admin_Clas,4,FALSE),"-")</f>
        <v>90</v>
      </c>
      <c r="E11" s="92" cm="1">
        <f t="array" aca="1" ref="E11" ca="1">IFERROR(INDEX(Rango_Admin_Clas_Total,E$2,MATCH($A11,Rango_Admin_Clas_Primera,0)+1),"-")</f>
        <v>59</v>
      </c>
      <c r="F11" s="92" cm="1">
        <f t="array" aca="1" ref="F11" ca="1">IFERROR(INDEX(Rango_Admin_Clas_Total,F$2,MATCH($A11,Rango_Admin_Clas_Primera,0)+1),"-")</f>
        <v>16</v>
      </c>
      <c r="G11" s="92" cm="1">
        <f t="array" aca="1" ref="G11" ca="1">IFERROR(INDEX(Rango_Admin_Clas_Total,G$2,MATCH($A11,Rango_Admin_Clas_Primera,0)+1),"-")</f>
        <v>15</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6</v>
      </c>
      <c r="C12" s="18" t="str">
        <f ca="1">IFERROR(HLOOKUP(A12,Rango_Admin_Clas,5,FALSE),"-")</f>
        <v>bau</v>
      </c>
      <c r="D12" s="91">
        <f ca="1">IFERROR(HLOOKUP(A12,Rango_Admin_Clas,4,FALSE),"-")</f>
        <v>90</v>
      </c>
      <c r="E12" s="92" cm="1">
        <f t="array" aca="1" ref="E12" ca="1">IFERROR(INDEX(Rango_Admin_Clas_Total,E$2,MATCH($A12,Rango_Admin_Clas_Primera,0)+1),"-")</f>
        <v>57</v>
      </c>
      <c r="F12" s="92" cm="1">
        <f t="array" aca="1" ref="F12" ca="1">IFERROR(INDEX(Rango_Admin_Clas_Total,F$2,MATCH($A12,Rango_Admin_Clas_Primera,0)+1),"-")</f>
        <v>18</v>
      </c>
      <c r="G12" s="92" cm="1">
        <f t="array" aca="1" ref="G12" ca="1">IFERROR(INDEX(Rango_Admin_Clas_Total,G$2,MATCH($A12,Rango_Admin_Clas_Primera,0)+1),"-")</f>
        <v>15</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JCU</v>
      </c>
      <c r="D13" s="91">
        <f ca="1">IFERROR(HLOOKUP(A13,Rango_Admin_Clas,4,FALSE),"-")</f>
        <v>89</v>
      </c>
      <c r="E13" s="92" cm="1">
        <f t="array" aca="1" ref="E13" ca="1">IFERROR(INDEX(Rango_Admin_Clas_Total,E$2,MATCH($A13,Rango_Admin_Clas_Primera,0)+1),"-")</f>
        <v>58</v>
      </c>
      <c r="F13" s="92" cm="1">
        <f t="array" aca="1" ref="F13" ca="1">IFERROR(INDEX(Rango_Admin_Clas_Total,F$2,MATCH($A13,Rango_Admin_Clas_Primera,0)+1),"-")</f>
        <v>16</v>
      </c>
      <c r="G13" s="92" cm="1">
        <f t="array" aca="1" ref="G13" ca="1">IFERROR(INDEX(Rango_Admin_Clas_Total,G$2,MATCH($A13,Rango_Admin_Clas_Primera,0)+1),"-")</f>
        <v>15</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Jaime Lafuente</v>
      </c>
      <c r="D14" s="91">
        <f ca="1">IFERROR(HLOOKUP(A14,Rango_Admin_Clas,4,FALSE),"-")</f>
        <v>88</v>
      </c>
      <c r="E14" s="92" cm="1">
        <f t="array" aca="1" ref="E14" ca="1">IFERROR(INDEX(Rango_Admin_Clas_Total,E$2,MATCH($A14,Rango_Admin_Clas_Primera,0)+1),"-")</f>
        <v>62</v>
      </c>
      <c r="F14" s="92" cm="1">
        <f t="array" aca="1" ref="F14" ca="1">IFERROR(INDEX(Rango_Admin_Clas_Total,F$2,MATCH($A14,Rango_Admin_Clas_Primera,0)+1),"-")</f>
        <v>14</v>
      </c>
      <c r="G14" s="92" cm="1">
        <f t="array" aca="1" ref="G14" ca="1">IFERROR(INDEX(Rango_Admin_Clas_Total,G$2,MATCH($A14,Rango_Admin_Clas_Primera,0)+1),"-")</f>
        <v>12</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KIRICOCHO</v>
      </c>
      <c r="D15" s="91">
        <f ca="1">IFERROR(HLOOKUP(A15,Rango_Admin_Clas,4,FALSE),"-")</f>
        <v>88</v>
      </c>
      <c r="E15" s="92" cm="1">
        <f t="array" aca="1" ref="E15" ca="1">IFERROR(INDEX(Rango_Admin_Clas_Total,E$2,MATCH($A15,Rango_Admin_Clas_Primera,0)+1),"-")</f>
        <v>59</v>
      </c>
      <c r="F15" s="92" cm="1">
        <f t="array" aca="1" ref="F15" ca="1">IFERROR(INDEX(Rango_Admin_Clas_Total,F$2,MATCH($A15,Rango_Admin_Clas_Primera,0)+1),"-")</f>
        <v>14</v>
      </c>
      <c r="G15" s="92" cm="1">
        <f t="array" aca="1" ref="G15" ca="1">IFERROR(INDEX(Rango_Admin_Clas_Total,G$2,MATCH($A15,Rango_Admin_Clas_Primera,0)+1),"-")</f>
        <v>15</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Alexander Schulte</v>
      </c>
      <c r="D16" s="91">
        <f ca="1">IFERROR(HLOOKUP(A16,Rango_Admin_Clas,4,FALSE),"-")</f>
        <v>88</v>
      </c>
      <c r="E16" s="92" cm="1">
        <f t="array" aca="1" ref="E16" ca="1">IFERROR(INDEX(Rango_Admin_Clas_Total,E$2,MATCH($A16,Rango_Admin_Clas_Primera,0)+1),"-")</f>
        <v>59</v>
      </c>
      <c r="F16" s="92" cm="1">
        <f t="array" aca="1" ref="F16" ca="1">IFERROR(INDEX(Rango_Admin_Clas_Total,F$2,MATCH($A16,Rango_Admin_Clas_Primera,0)+1),"-")</f>
        <v>14</v>
      </c>
      <c r="G16" s="92" cm="1">
        <f t="array" aca="1" ref="G16" ca="1">IFERROR(INDEX(Rango_Admin_Clas_Total,G$2,MATCH($A16,Rango_Admin_Clas_Primera,0)+1),"-")</f>
        <v>15</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Antonio del Ojo</v>
      </c>
      <c r="D17" s="91">
        <f ca="1">IFERROR(HLOOKUP(A17,Rango_Admin_Clas,4,FALSE),"-")</f>
        <v>87</v>
      </c>
      <c r="E17" s="92" cm="1">
        <f t="array" aca="1" ref="E17" ca="1">IFERROR(INDEX(Rango_Admin_Clas_Total,E$2,MATCH($A17,Rango_Admin_Clas_Primera,0)+1),"-")</f>
        <v>58</v>
      </c>
      <c r="F17" s="92" cm="1">
        <f t="array" aca="1" ref="F17" ca="1">IFERROR(INDEX(Rango_Admin_Clas_Total,F$2,MATCH($A17,Rango_Admin_Clas_Primera,0)+1),"-")</f>
        <v>14</v>
      </c>
      <c r="G17" s="92" cm="1">
        <f t="array" aca="1" ref="G17" ca="1">IFERROR(INDEX(Rango_Admin_Clas_Total,G$2,MATCH($A17,Rango_Admin_Clas_Primera,0)+1),"-")</f>
        <v>15</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Lucas Oriol</v>
      </c>
      <c r="D18" s="91">
        <f ca="1">IFERROR(HLOOKUP(A18,Rango_Admin_Clas,4,FALSE),"-")</f>
        <v>87</v>
      </c>
      <c r="E18" s="92" cm="1">
        <f t="array" aca="1" ref="E18" ca="1">IFERROR(INDEX(Rango_Admin_Clas_Total,E$2,MATCH($A18,Rango_Admin_Clas_Primera,0)+1),"-")</f>
        <v>58</v>
      </c>
      <c r="F18" s="92" cm="1">
        <f t="array" aca="1" ref="F18" ca="1">IFERROR(INDEX(Rango_Admin_Clas_Total,F$2,MATCH($A18,Rango_Admin_Clas_Primera,0)+1),"-")</f>
        <v>14</v>
      </c>
      <c r="G18" s="92" cm="1">
        <f t="array" aca="1" ref="G18" ca="1">IFERROR(INDEX(Rango_Admin_Clas_Total,G$2,MATCH($A18,Rango_Admin_Clas_Primera,0)+1),"-")</f>
        <v>15</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Ignacio de Lecea</v>
      </c>
      <c r="D19" s="91">
        <f ca="1">IFERROR(HLOOKUP(A19,Rango_Admin_Clas,4,FALSE),"-")</f>
        <v>86</v>
      </c>
      <c r="E19" s="92" cm="1">
        <f t="array" aca="1" ref="E19" ca="1">IFERROR(INDEX(Rango_Admin_Clas_Total,E$2,MATCH($A19,Rango_Admin_Clas_Primera,0)+1),"-")</f>
        <v>54</v>
      </c>
      <c r="F19" s="92" cm="1">
        <f t="array" aca="1" ref="F19" ca="1">IFERROR(INDEX(Rango_Admin_Clas_Total,F$2,MATCH($A19,Rango_Admin_Clas_Primera,0)+1),"-")</f>
        <v>14</v>
      </c>
      <c r="G19" s="92" cm="1">
        <f t="array" aca="1" ref="G19" ca="1">IFERROR(INDEX(Rango_Admin_Clas_Total,G$2,MATCH($A19,Rango_Admin_Clas_Primera,0)+1),"-")</f>
        <v>18</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Miguel San Martín</v>
      </c>
      <c r="D20" s="91">
        <f ca="1">IFERROR(HLOOKUP(A20,Rango_Admin_Clas,4,FALSE),"-")</f>
        <v>86</v>
      </c>
      <c r="E20" s="92" cm="1">
        <f t="array" aca="1" ref="E20" ca="1">IFERROR(INDEX(Rango_Admin_Clas_Total,E$2,MATCH($A20,Rango_Admin_Clas_Primera,0)+1),"-")</f>
        <v>53</v>
      </c>
      <c r="F20" s="92" cm="1">
        <f t="array" aca="1" ref="F20" ca="1">IFERROR(INDEX(Rango_Admin_Clas_Total,F$2,MATCH($A20,Rango_Admin_Clas_Primera,0)+1),"-")</f>
        <v>18</v>
      </c>
      <c r="G20" s="92" cm="1">
        <f t="array" aca="1" ref="G20" ca="1">IFERROR(INDEX(Rango_Admin_Clas_Total,G$2,MATCH($A20,Rango_Admin_Clas_Primera,0)+1),"-")</f>
        <v>15</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Migay Marcos</v>
      </c>
      <c r="D21" s="91">
        <f ca="1">IFERROR(HLOOKUP(A21,Rango_Admin_Clas,4,FALSE),"-")</f>
        <v>85</v>
      </c>
      <c r="E21" s="92" cm="1">
        <f t="array" aca="1" ref="E21" ca="1">IFERROR(INDEX(Rango_Admin_Clas_Total,E$2,MATCH($A21,Rango_Admin_Clas_Primera,0)+1),"-")</f>
        <v>56</v>
      </c>
      <c r="F21" s="92" cm="1">
        <f t="array" aca="1" ref="F21" ca="1">IFERROR(INDEX(Rango_Admin_Clas_Total,F$2,MATCH($A21,Rango_Admin_Clas_Primera,0)+1),"-")</f>
        <v>14</v>
      </c>
      <c r="G21" s="92" cm="1">
        <f t="array" aca="1" ref="G21" ca="1">IFERROR(INDEX(Rango_Admin_Clas_Total,G$2,MATCH($A21,Rango_Admin_Clas_Primera,0)+1),"-")</f>
        <v>15</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Jaime García de la Riva</v>
      </c>
      <c r="D22" s="91">
        <f ca="1">IFERROR(HLOOKUP(A22,Rango_Admin_Clas,4,FALSE),"-")</f>
        <v>84</v>
      </c>
      <c r="E22" s="92" cm="1">
        <f t="array" aca="1" ref="E22" ca="1">IFERROR(INDEX(Rango_Admin_Clas_Total,E$2,MATCH($A22,Rango_Admin_Clas_Primera,0)+1),"-")</f>
        <v>55</v>
      </c>
      <c r="F22" s="92" cm="1">
        <f t="array" aca="1" ref="F22" ca="1">IFERROR(INDEX(Rango_Admin_Clas_Total,F$2,MATCH($A22,Rango_Admin_Clas_Primera,0)+1),"-")</f>
        <v>14</v>
      </c>
      <c r="G22" s="92" cm="1">
        <f t="array" aca="1" ref="G22" ca="1">IFERROR(INDEX(Rango_Admin_Clas_Total,G$2,MATCH($A22,Rango_Admin_Clas_Primera,0)+1),"-")</f>
        <v>15</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Gratacós</v>
      </c>
      <c r="D23" s="91">
        <f ca="1">IFERROR(HLOOKUP(A23,Rango_Admin_Clas,4,FALSE),"-")</f>
        <v>84</v>
      </c>
      <c r="E23" s="92" cm="1">
        <f t="array" aca="1" ref="E23" ca="1">IFERROR(INDEX(Rango_Admin_Clas_Total,E$2,MATCH($A23,Rango_Admin_Clas_Primera,0)+1),"-")</f>
        <v>59</v>
      </c>
      <c r="F23" s="92" cm="1">
        <f t="array" aca="1" ref="F23" ca="1">IFERROR(INDEX(Rango_Admin_Clas_Total,F$2,MATCH($A23,Rango_Admin_Clas_Primera,0)+1),"-")</f>
        <v>10</v>
      </c>
      <c r="G23" s="92" cm="1">
        <f t="array" aca="1" ref="G23" ca="1">IFERROR(INDEX(Rango_Admin_Clas_Total,G$2,MATCH($A23,Rango_Admin_Clas_Primera,0)+1),"-")</f>
        <v>15</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18</v>
      </c>
      <c r="C24" s="18" t="str">
        <f ca="1">IFERROR(HLOOKUP(A24,Rango_Admin_Clas,5,FALSE),"-")</f>
        <v xml:space="preserve">Martín Matoses </v>
      </c>
      <c r="D24" s="91">
        <f ca="1">IFERROR(HLOOKUP(A24,Rango_Admin_Clas,4,FALSE),"-")</f>
        <v>84</v>
      </c>
      <c r="E24" s="92" cm="1">
        <f t="array" aca="1" ref="E24" ca="1">IFERROR(INDEX(Rango_Admin_Clas_Total,E$2,MATCH($A24,Rango_Admin_Clas_Primera,0)+1),"-")</f>
        <v>54</v>
      </c>
      <c r="F24" s="92" cm="1">
        <f t="array" aca="1" ref="F24" ca="1">IFERROR(INDEX(Rango_Admin_Clas_Total,F$2,MATCH($A24,Rango_Admin_Clas_Primera,0)+1),"-")</f>
        <v>12</v>
      </c>
      <c r="G24" s="92" cm="1">
        <f t="array" aca="1" ref="G24" ca="1">IFERROR(INDEX(Rango_Admin_Clas_Total,G$2,MATCH($A24,Rango_Admin_Clas_Primera,0)+1),"-")</f>
        <v>18</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Vicuinho</v>
      </c>
      <c r="D25" s="91">
        <f ca="1">IFERROR(HLOOKUP(A25,Rango_Admin_Clas,4,FALSE),"-")</f>
        <v>83</v>
      </c>
      <c r="E25" s="92" cm="1">
        <f t="array" aca="1" ref="E25" ca="1">IFERROR(INDEX(Rango_Admin_Clas_Total,E$2,MATCH($A25,Rango_Admin_Clas_Primera,0)+1),"-")</f>
        <v>48</v>
      </c>
      <c r="F25" s="92" cm="1">
        <f t="array" aca="1" ref="F25" ca="1">IFERROR(INDEX(Rango_Admin_Clas_Total,F$2,MATCH($A25,Rango_Admin_Clas_Primera,0)+1),"-")</f>
        <v>20</v>
      </c>
      <c r="G25" s="92" cm="1">
        <f t="array" aca="1" ref="G25" ca="1">IFERROR(INDEX(Rango_Admin_Clas_Total,G$2,MATCH($A25,Rango_Admin_Clas_Primera,0)+1),"-")</f>
        <v>15</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Antonio Zulueta Ramos</v>
      </c>
      <c r="D26" s="91">
        <f ca="1">IFERROR(HLOOKUP(A26,Rango_Admin_Clas,4,FALSE),"-")</f>
        <v>82</v>
      </c>
      <c r="E26" s="92" cm="1">
        <f t="array" aca="1" ref="E26" ca="1">IFERROR(INDEX(Rango_Admin_Clas_Total,E$2,MATCH($A26,Rango_Admin_Clas_Primera,0)+1),"-")</f>
        <v>49</v>
      </c>
      <c r="F26" s="92" cm="1">
        <f t="array" aca="1" ref="F26" ca="1">IFERROR(INDEX(Rango_Admin_Clas_Total,F$2,MATCH($A26,Rango_Admin_Clas_Primera,0)+1),"-")</f>
        <v>18</v>
      </c>
      <c r="G26" s="92" cm="1">
        <f t="array" aca="1" ref="G26" ca="1">IFERROR(INDEX(Rango_Admin_Clas_Total,G$2,MATCH($A26,Rango_Admin_Clas_Primera,0)+1),"-")</f>
        <v>15</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Kurtischamp</v>
      </c>
      <c r="D27" s="91">
        <f ca="1">IFERROR(HLOOKUP(A27,Rango_Admin_Clas,4,FALSE),"-")</f>
        <v>82</v>
      </c>
      <c r="E27" s="92" cm="1">
        <f t="array" aca="1" ref="E27" ca="1">IFERROR(INDEX(Rango_Admin_Clas_Total,E$2,MATCH($A27,Rango_Admin_Clas_Primera,0)+1),"-")</f>
        <v>47</v>
      </c>
      <c r="F27" s="92" cm="1">
        <f t="array" aca="1" ref="F27" ca="1">IFERROR(INDEX(Rango_Admin_Clas_Total,F$2,MATCH($A27,Rango_Admin_Clas_Primera,0)+1),"-")</f>
        <v>20</v>
      </c>
      <c r="G27" s="92" cm="1">
        <f t="array" aca="1" ref="G27" ca="1">IFERROR(INDEX(Rango_Admin_Clas_Total,G$2,MATCH($A27,Rango_Admin_Clas_Primera,0)+1),"-")</f>
        <v>15</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Guillermo Murciano</v>
      </c>
      <c r="D28" s="91">
        <f ca="1">IFERROR(HLOOKUP(A28,Rango_Admin_Clas,4,FALSE),"-")</f>
        <v>80</v>
      </c>
      <c r="E28" s="92" cm="1">
        <f t="array" aca="1" ref="E28" ca="1">IFERROR(INDEX(Rango_Admin_Clas_Total,E$2,MATCH($A28,Rango_Admin_Clas_Primera,0)+1),"-")</f>
        <v>47</v>
      </c>
      <c r="F28" s="92" cm="1">
        <f t="array" aca="1" ref="F28" ca="1">IFERROR(INDEX(Rango_Admin_Clas_Total,F$2,MATCH($A28,Rango_Admin_Clas_Primera,0)+1),"-")</f>
        <v>18</v>
      </c>
      <c r="G28" s="92" cm="1">
        <f t="array" aca="1" ref="G28" ca="1">IFERROR(INDEX(Rango_Admin_Clas_Total,G$2,MATCH($A28,Rango_Admin_Clas_Primera,0)+1),"-")</f>
        <v>15</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YTD</v>
      </c>
      <c r="D29" s="91">
        <f ca="1">IFERROR(HLOOKUP(A29,Rango_Admin_Clas,4,FALSE),"-")</f>
        <v>80</v>
      </c>
      <c r="E29" s="92" cm="1">
        <f t="array" aca="1" ref="E29" ca="1">IFERROR(INDEX(Rango_Admin_Clas_Total,E$2,MATCH($A29,Rango_Admin_Clas_Primera,0)+1),"-")</f>
        <v>47</v>
      </c>
      <c r="F29" s="92" cm="1">
        <f t="array" aca="1" ref="F29" ca="1">IFERROR(INDEX(Rango_Admin_Clas_Total,F$2,MATCH($A29,Rango_Admin_Clas_Primera,0)+1),"-")</f>
        <v>18</v>
      </c>
      <c r="G29" s="92" cm="1">
        <f t="array" aca="1" ref="G29" ca="1">IFERROR(INDEX(Rango_Admin_Clas_Total,G$2,MATCH($A29,Rango_Admin_Clas_Primera,0)+1),"-")</f>
        <v>15</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 xml:space="preserve">Ignacio Núñez </v>
      </c>
      <c r="D30" s="91">
        <f ca="1">IFERROR(HLOOKUP(A30,Rango_Admin_Clas,4,FALSE),"-")</f>
        <v>80</v>
      </c>
      <c r="E30" s="92" cm="1">
        <f t="array" aca="1" ref="E30" ca="1">IFERROR(INDEX(Rango_Admin_Clas_Total,E$2,MATCH($A30,Rango_Admin_Clas_Primera,0)+1),"-")</f>
        <v>54</v>
      </c>
      <c r="F30" s="92" cm="1">
        <f t="array" aca="1" ref="F30" ca="1">IFERROR(INDEX(Rango_Admin_Clas_Total,F$2,MATCH($A30,Rango_Admin_Clas_Primera,0)+1),"-")</f>
        <v>14</v>
      </c>
      <c r="G30" s="92" cm="1">
        <f t="array" aca="1" ref="G30" ca="1">IFERROR(INDEX(Rango_Admin_Clas_Total,G$2,MATCH($A30,Rango_Admin_Clas_Primera,0)+1),"-")</f>
        <v>12</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Admin</v>
      </c>
      <c r="D31" s="91">
        <f ca="1">IFERROR(HLOOKUP(A31,Rango_Admin_Clas,4,FALSE),"-")</f>
        <v>79</v>
      </c>
      <c r="E31" s="92" cm="1">
        <f t="array" aca="1" ref="E31" ca="1">IFERROR(INDEX(Rango_Admin_Clas_Total,E$2,MATCH($A31,Rango_Admin_Clas_Primera,0)+1),"-")</f>
        <v>50</v>
      </c>
      <c r="F31" s="92" cm="1">
        <f t="array" aca="1" ref="F31" ca="1">IFERROR(INDEX(Rango_Admin_Clas_Total,F$2,MATCH($A31,Rango_Admin_Clas_Primera,0)+1),"-")</f>
        <v>14</v>
      </c>
      <c r="G31" s="92" cm="1">
        <f t="array" aca="1" ref="G31" ca="1">IFERROR(INDEX(Rango_Admin_Clas_Total,G$2,MATCH($A31,Rango_Admin_Clas_Primera,0)+1),"-")</f>
        <v>15</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Pastor</v>
      </c>
      <c r="D32" s="91">
        <f ca="1">IFERROR(HLOOKUP(A32,Rango_Admin_Clas,4,FALSE),"-")</f>
        <v>79</v>
      </c>
      <c r="E32" s="92" cm="1">
        <f t="array" aca="1" ref="E32" ca="1">IFERROR(INDEX(Rango_Admin_Clas_Total,E$2,MATCH($A32,Rango_Admin_Clas_Primera,0)+1),"-")</f>
        <v>46</v>
      </c>
      <c r="F32" s="92" cm="1">
        <f t="array" aca="1" ref="F32" ca="1">IFERROR(INDEX(Rango_Admin_Clas_Total,F$2,MATCH($A32,Rango_Admin_Clas_Primera,0)+1),"-")</f>
        <v>18</v>
      </c>
      <c r="G32" s="92" cm="1">
        <f t="array" aca="1" ref="G32" ca="1">IFERROR(INDEX(Rango_Admin_Clas_Total,G$2,MATCH($A32,Rango_Admin_Clas_Primera,0)+1),"-")</f>
        <v>15</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Ricardo Soto</v>
      </c>
      <c r="D33" s="91">
        <f ca="1">IFERROR(HLOOKUP(A33,Rango_Admin_Clas,4,FALSE),"-")</f>
        <v>79</v>
      </c>
      <c r="E33" s="92" cm="1">
        <f t="array" aca="1" ref="E33" ca="1">IFERROR(INDEX(Rango_Admin_Clas_Total,E$2,MATCH($A33,Rango_Admin_Clas_Primera,0)+1),"-")</f>
        <v>50</v>
      </c>
      <c r="F33" s="92" cm="1">
        <f t="array" aca="1" ref="F33" ca="1">IFERROR(INDEX(Rango_Admin_Clas_Total,F$2,MATCH($A33,Rango_Admin_Clas_Primera,0)+1),"-")</f>
        <v>14</v>
      </c>
      <c r="G33" s="92" cm="1">
        <f t="array" aca="1" ref="G33" ca="1">IFERROR(INDEX(Rango_Admin_Clas_Total,G$2,MATCH($A33,Rango_Admin_Clas_Primera,0)+1),"-")</f>
        <v>15</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Pablo C</v>
      </c>
      <c r="D34" s="91">
        <f ca="1">IFERROR(HLOOKUP(A34,Rango_Admin_Clas,4,FALSE),"-")</f>
        <v>77</v>
      </c>
      <c r="E34" s="92" cm="1">
        <f t="array" aca="1" ref="E34" ca="1">IFERROR(INDEX(Rango_Admin_Clas_Total,E$2,MATCH($A34,Rango_Admin_Clas_Primera,0)+1),"-")</f>
        <v>47</v>
      </c>
      <c r="F34" s="92" cm="1">
        <f t="array" aca="1" ref="F34" ca="1">IFERROR(INDEX(Rango_Admin_Clas_Total,F$2,MATCH($A34,Rango_Admin_Clas_Primera,0)+1),"-")</f>
        <v>12</v>
      </c>
      <c r="G34" s="92" cm="1">
        <f t="array" aca="1" ref="G34" ca="1">IFERROR(INDEX(Rango_Admin_Clas_Total,G$2,MATCH($A34,Rango_Admin_Clas_Primera,0)+1),"-")</f>
        <v>18</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Luis B</v>
      </c>
      <c r="D35" s="91">
        <f ca="1">IFERROR(HLOOKUP(A35,Rango_Admin_Clas,4,FALSE),"-")</f>
        <v>76</v>
      </c>
      <c r="E35" s="92" cm="1">
        <f t="array" aca="1" ref="E35" ca="1">IFERROR(INDEX(Rango_Admin_Clas_Total,E$2,MATCH($A35,Rango_Admin_Clas_Primera,0)+1),"-")</f>
        <v>48</v>
      </c>
      <c r="F35" s="92" cm="1">
        <f t="array" aca="1" ref="F35" ca="1">IFERROR(INDEX(Rango_Admin_Clas_Total,F$2,MATCH($A35,Rango_Admin_Clas_Primera,0)+1),"-")</f>
        <v>16</v>
      </c>
      <c r="G35" s="92" cm="1">
        <f t="array" aca="1" ref="G35" ca="1">IFERROR(INDEX(Rango_Admin_Clas_Total,G$2,MATCH($A35,Rango_Admin_Clas_Primera,0)+1),"-")</f>
        <v>12</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Miguel Suárez-Zuloaga</v>
      </c>
      <c r="D36" s="91">
        <f ca="1">IFERROR(HLOOKUP(A36,Rango_Admin_Clas,4,FALSE),"-")</f>
        <v>76</v>
      </c>
      <c r="E36" s="92" cm="1">
        <f t="array" aca="1" ref="E36" ca="1">IFERROR(INDEX(Rango_Admin_Clas_Total,E$2,MATCH($A36,Rango_Admin_Clas_Primera,0)+1),"-")</f>
        <v>49</v>
      </c>
      <c r="F36" s="92" cm="1">
        <f t="array" aca="1" ref="F36" ca="1">IFERROR(INDEX(Rango_Admin_Clas_Total,F$2,MATCH($A36,Rango_Admin_Clas_Primera,0)+1),"-")</f>
        <v>12</v>
      </c>
      <c r="G36" s="92" cm="1">
        <f t="array" aca="1" ref="G36" ca="1">IFERROR(INDEX(Rango_Admin_Clas_Total,G$2,MATCH($A36,Rango_Admin_Clas_Primera,0)+1),"-")</f>
        <v>15</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Nacho Novo</v>
      </c>
      <c r="D37" s="91">
        <f ca="1">IFERROR(HLOOKUP(A37,Rango_Admin_Clas,4,FALSE),"-")</f>
        <v>75</v>
      </c>
      <c r="E37" s="92" cm="1">
        <f t="array" aca="1" ref="E37" ca="1">IFERROR(INDEX(Rango_Admin_Clas_Total,E$2,MATCH($A37,Rango_Admin_Clas_Primera,0)+1),"-")</f>
        <v>47</v>
      </c>
      <c r="F37" s="92" cm="1">
        <f t="array" aca="1" ref="F37" ca="1">IFERROR(INDEX(Rango_Admin_Clas_Total,F$2,MATCH($A37,Rango_Admin_Clas_Primera,0)+1),"-")</f>
        <v>16</v>
      </c>
      <c r="G37" s="92" cm="1">
        <f t="array" aca="1" ref="G37" ca="1">IFERROR(INDEX(Rango_Admin_Clas_Total,G$2,MATCH($A37,Rango_Admin_Clas_Primera,0)+1),"-")</f>
        <v>12</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Chente Muñoz</v>
      </c>
      <c r="D38" s="91">
        <f ca="1">IFERROR(HLOOKUP(A38,Rango_Admin_Clas,4,FALSE),"-")</f>
        <v>74</v>
      </c>
      <c r="E38" s="92" cm="1">
        <f t="array" aca="1" ref="E38" ca="1">IFERROR(INDEX(Rango_Admin_Clas_Total,E$2,MATCH($A38,Rango_Admin_Clas_Primera,0)+1),"-")</f>
        <v>45</v>
      </c>
      <c r="F38" s="92" cm="1">
        <f t="array" aca="1" ref="F38" ca="1">IFERROR(INDEX(Rango_Admin_Clas_Total,F$2,MATCH($A38,Rango_Admin_Clas_Primera,0)+1),"-")</f>
        <v>14</v>
      </c>
      <c r="G38" s="92" cm="1">
        <f t="array" aca="1" ref="G38" ca="1">IFERROR(INDEX(Rango_Admin_Clas_Total,G$2,MATCH($A38,Rango_Admin_Clas_Primera,0)+1),"-")</f>
        <v>15</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BeliBeltrán</v>
      </c>
      <c r="D39" s="91">
        <f ca="1">IFERROR(HLOOKUP(A39,Rango_Admin_Clas,4,FALSE),"-")</f>
        <v>71</v>
      </c>
      <c r="E39" s="92" cm="1">
        <f t="array" aca="1" ref="E39" ca="1">IFERROR(INDEX(Rango_Admin_Clas_Total,E$2,MATCH($A39,Rango_Admin_Clas_Primera,0)+1),"-")</f>
        <v>43</v>
      </c>
      <c r="F39" s="92" cm="1">
        <f t="array" aca="1" ref="F39" ca="1">IFERROR(INDEX(Rango_Admin_Clas_Total,F$2,MATCH($A39,Rango_Admin_Clas_Primera,0)+1),"-")</f>
        <v>16</v>
      </c>
      <c r="G39" s="92" cm="1">
        <f t="array" aca="1" ref="G39" ca="1">IFERROR(INDEX(Rango_Admin_Clas_Total,G$2,MATCH($A39,Rango_Admin_Clas_Primera,0)+1),"-")</f>
        <v>12</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DIDI</v>
      </c>
      <c r="D40" s="91">
        <f ca="1">IFERROR(HLOOKUP(A40,Rango_Admin_Clas,4,FALSE),"-")</f>
        <v>71</v>
      </c>
      <c r="E40" s="92" cm="1">
        <f t="array" aca="1" ref="E40" ca="1">IFERROR(INDEX(Rango_Admin_Clas_Total,E$2,MATCH($A40,Rango_Admin_Clas_Primera,0)+1),"-")</f>
        <v>46</v>
      </c>
      <c r="F40" s="92" cm="1">
        <f t="array" aca="1" ref="F40" ca="1">IFERROR(INDEX(Rango_Admin_Clas_Total,F$2,MATCH($A40,Rango_Admin_Clas_Primera,0)+1),"-")</f>
        <v>10</v>
      </c>
      <c r="G40" s="92" cm="1">
        <f t="array" aca="1" ref="G40" ca="1">IFERROR(INDEX(Rango_Admin_Clas_Total,G$2,MATCH($A40,Rango_Admin_Clas_Primera,0)+1),"-")</f>
        <v>15</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Fercho Muro Matosex</v>
      </c>
      <c r="D41" s="91">
        <f ca="1">IFERROR(HLOOKUP(A41,Rango_Admin_Clas,4,FALSE),"-")</f>
        <v>70</v>
      </c>
      <c r="E41" s="92" cm="1">
        <f t="array" aca="1" ref="E41" ca="1">IFERROR(INDEX(Rango_Admin_Clas_Total,E$2,MATCH($A41,Rango_Admin_Clas_Primera,0)+1),"-")</f>
        <v>43</v>
      </c>
      <c r="F41" s="92" cm="1">
        <f t="array" aca="1" ref="F41" ca="1">IFERROR(INDEX(Rango_Admin_Clas_Total,F$2,MATCH($A41,Rango_Admin_Clas_Primera,0)+1),"-")</f>
        <v>12</v>
      </c>
      <c r="G41" s="92" cm="1">
        <f t="array" aca="1" ref="G41" ca="1">IFERROR(INDEX(Rango_Admin_Clas_Total,G$2,MATCH($A41,Rango_Admin_Clas_Primera,0)+1),"-")</f>
        <v>15</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Florentino Netanyahu</v>
      </c>
      <c r="D42" s="91">
        <f ca="1">IFERROR(HLOOKUP(A42,Rango_Admin_Clas,4,FALSE),"-")</f>
        <v>70</v>
      </c>
      <c r="E42" s="92" cm="1">
        <f t="array" aca="1" ref="E42" ca="1">IFERROR(INDEX(Rango_Admin_Clas_Total,E$2,MATCH($A42,Rango_Admin_Clas_Primera,0)+1),"-")</f>
        <v>41</v>
      </c>
      <c r="F42" s="92" cm="1">
        <f t="array" aca="1" ref="F42" ca="1">IFERROR(INDEX(Rango_Admin_Clas_Total,F$2,MATCH($A42,Rango_Admin_Clas_Primera,0)+1),"-")</f>
        <v>14</v>
      </c>
      <c r="G42" s="92" cm="1">
        <f t="array" aca="1" ref="G42" ca="1">IFERROR(INDEX(Rango_Admin_Clas_Total,G$2,MATCH($A42,Rango_Admin_Clas_Primera,0)+1),"-")</f>
        <v>15</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AD Monchus</v>
      </c>
      <c r="D43" s="91">
        <f ca="1">IFERROR(HLOOKUP(A43,Rango_Admin_Clas,4,FALSE),"-")</f>
        <v>69</v>
      </c>
      <c r="E43" s="92" cm="1">
        <f t="array" aca="1" ref="E43" ca="1">IFERROR(INDEX(Rango_Admin_Clas_Total,E$2,MATCH($A43,Rango_Admin_Clas_Primera,0)+1),"-")</f>
        <v>43</v>
      </c>
      <c r="F43" s="92" cm="1">
        <f t="array" aca="1" ref="F43" ca="1">IFERROR(INDEX(Rango_Admin_Clas_Total,F$2,MATCH($A43,Rango_Admin_Clas_Primera,0)+1),"-")</f>
        <v>14</v>
      </c>
      <c r="G43" s="92" cm="1">
        <f t="array" aca="1" ref="G43" ca="1">IFERROR(INDEX(Rango_Admin_Clas_Total,G$2,MATCH($A43,Rango_Admin_Clas_Primera,0)+1),"-")</f>
        <v>12</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Hulk Rexach</v>
      </c>
      <c r="D44" s="91">
        <f ca="1">IFERROR(HLOOKUP(A44,Rango_Admin_Clas,4,FALSE),"-")</f>
        <v>68</v>
      </c>
      <c r="E44" s="92" cm="1">
        <f t="array" aca="1" ref="E44" ca="1">IFERROR(INDEX(Rango_Admin_Clas_Total,E$2,MATCH($A44,Rango_Admin_Clas_Primera,0)+1),"-")</f>
        <v>45</v>
      </c>
      <c r="F44" s="92" cm="1">
        <f t="array" aca="1" ref="F44" ca="1">IFERROR(INDEX(Rango_Admin_Clas_Total,F$2,MATCH($A44,Rango_Admin_Clas_Primera,0)+1),"-")</f>
        <v>8</v>
      </c>
      <c r="G44" s="92" cm="1">
        <f t="array" aca="1" ref="G44" ca="1">IFERROR(INDEX(Rango_Admin_Clas_Total,G$2,MATCH($A44,Rango_Admin_Clas_Primera,0)+1),"-")</f>
        <v>15</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56</v>
      </c>
      <c r="E45" s="92" cm="1">
        <f t="array" aca="1" ref="E45" ca="1">IFERROR(INDEX(Rango_Admin_Clas_Total,E$2,MATCH($A45,Rango_Admin_Clas_Primera,0)+1),"-")</f>
        <v>36</v>
      </c>
      <c r="F45" s="92" cm="1">
        <f t="array" aca="1" ref="F45" ca="1">IFERROR(INDEX(Rango_Admin_Clas_Total,F$2,MATCH($A45,Rango_Admin_Clas_Primera,0)+1),"-")</f>
        <v>8</v>
      </c>
      <c r="G45" s="92" cm="1">
        <f t="array" aca="1" ref="G45" ca="1">IFERROR(INDEX(Rango_Admin_Clas_Total,G$2,MATCH($A45,Rango_Admin_Clas_Primera,0)+1),"-")</f>
        <v>12</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Portugal-Uzbekistán
 (1|5-0)</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Portugal-Uzbekistán</v>
      </c>
      <c r="B7" s="8" t="str">
        <f t="shared" ca="1" si="0"/>
        <v>Portugal-Uzbekistán
 (1|5-0)</v>
      </c>
      <c r="C7" s="8" t="str" cm="1">
        <f t="array" aca="1" ref="C7" ca="1">IFERROR(IF(INDEX(ADMIN!$M$6:$M$258,SMALL(IF(ADMIN!$G$6:$G$258=$J$1,ROW(ADMIN!$G$6:$G$258)-ROW(ADMIN!$G$6)+1),ROWS($A$1:A4)))="-", "", " ("&amp;INDEX(ADMIN!$M$6:$M$258,SMALL(IF(ADMIN!$G$6:$G$258=$J$1,ROW(ADMIN!$G$6:$G$258)-ROW(ADMIN!$G$6)+1),ROWS($A$1:A4)))&amp;")"),"")</f>
        <v xml:space="preserve"> (1|5-0)</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(1|5-0)</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Nacho Novo</v>
      </c>
      <c r="G4" s="22">
        <f ca="1">IFERROR(HLOOKUP(C4,Rango_Admin_DailyClas,4,FALSE),"-")</f>
        <v>9</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1</v>
      </c>
      <c r="K4" s="429">
        <f ca="1">IFERROR(VLOOKUP(K$2,Rango_Admin_DailyPred,MATCH($F4,Rango_Admin_DailyPred_Primera,0)+1,0),"-")</f>
        <v>4</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1</v>
      </c>
      <c r="F5" s="448" t="str">
        <f ca="1">IFERROR(HLOOKUP(C5,Rango_Admin_DailyClas,5,FALSE),"-")</f>
        <v>DIDI</v>
      </c>
      <c r="G5" s="22">
        <f ca="1">IFERROR(HLOOKUP(C5,Rango_Admin_DailyClas,4,FALSE),"-")</f>
        <v>9</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2</v>
      </c>
      <c r="K5" s="429">
        <f ca="1">IFERROR(VLOOKUP(K$2,Rango_Admin_DailyPred,MATCH($F5,Rango_Admin_DailyPred_Primera,0)+1,0),"-")</f>
        <v>1</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3</v>
      </c>
      <c r="F6" s="448" t="str">
        <f ca="1">IFERROR(HLOOKUP(C6,Rango_Admin_DailyClas,5,FALSE),"-")</f>
        <v>Antonio Zulueta Ramos</v>
      </c>
      <c r="G6" s="22">
        <f ca="1">IFERROR(HLOOKUP(C6,Rango_Admin_DailyClas,4,FALSE),"-")</f>
        <v>8</v>
      </c>
      <c r="H6" s="429">
        <f ca="1">IFERROR(VLOOKUP(H$2,Rango_Admin_DailyPred,MATCH($F6,Rango_Admin_DailyPred_Primera,0)+1,0),"-")</f>
        <v>4</v>
      </c>
      <c r="I6" s="429">
        <f ca="1">IFERROR(VLOOKUP(I$2,Rango_Admin_DailyPred,MATCH($F6,Rango_Admin_DailyPred_Primera,0)+1,0),"-")</f>
        <v>2</v>
      </c>
      <c r="J6" s="429">
        <f ca="1">IFERROR(VLOOKUP(J$2,Rango_Admin_DailyPred,MATCH($F6,Rango_Admin_DailyPred_Primera,0)+1,0),"-")</f>
        <v>1</v>
      </c>
      <c r="K6" s="429">
        <f ca="1">IFERROR(VLOOKUP(K$2,Rango_Admin_DailyPred,MATCH($F6,Rango_Admin_DailyPred_Primera,0)+1,0),"-")</f>
        <v>1</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(1|5-0)</v>
      </c>
      <c r="C7" s="8">
        <v>4</v>
      </c>
      <c r="D7" s="90"/>
      <c r="E7" s="409">
        <f ca="1">IFERROR(HLOOKUP(C7,Rango_Admin_DailyClas,3,FALSE),"-")</f>
        <v>3</v>
      </c>
      <c r="F7" s="448" t="str">
        <f ca="1">IFERROR(HLOOKUP(C7,Rango_Admin_DailyClas,5,FALSE),"-")</f>
        <v>Gratacós</v>
      </c>
      <c r="G7" s="22">
        <f ca="1">IFERROR(HLOOKUP(C7,Rango_Admin_DailyClas,4,FALSE),"-")</f>
        <v>8</v>
      </c>
      <c r="H7" s="429">
        <f ca="1">IFERROR(VLOOKUP(H$2,Rango_Admin_DailyPred,MATCH($F7,Rango_Admin_DailyPred_Primera,0)+1,0),"-")</f>
        <v>1</v>
      </c>
      <c r="I7" s="429">
        <f ca="1">IFERROR(VLOOKUP(I$2,Rango_Admin_DailyPred,MATCH($F7,Rango_Admin_DailyPred_Primera,0)+1,0),"-")</f>
        <v>2</v>
      </c>
      <c r="J7" s="429">
        <f ca="1">IFERROR(VLOOKUP(J$2,Rango_Admin_DailyPred,MATCH($F7,Rango_Admin_DailyPred_Primera,0)+1,0),"-")</f>
        <v>4</v>
      </c>
      <c r="K7" s="429">
        <f ca="1">IFERROR(VLOOKUP(K$2,Rango_Admin_DailyPred,MATCH($F7,Rango_Admin_DailyPred_Primera,0)+1,0),"-")</f>
        <v>1</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3</v>
      </c>
      <c r="F8" s="448" t="str">
        <f ca="1">IFERROR(HLOOKUP(C8,Rango_Admin_DailyClas,5,FALSE),"-")</f>
        <v xml:space="preserve">Martín Matoses </v>
      </c>
      <c r="G8" s="22">
        <f ca="1">IFERROR(HLOOKUP(C8,Rango_Admin_DailyClas,4,FALSE),"-")</f>
        <v>8</v>
      </c>
      <c r="H8" s="429">
        <f ca="1">IFERROR(VLOOKUP(H$2,Rango_Admin_DailyPred,MATCH($F8,Rango_Admin_DailyPred_Primera,0)+1,0),"-")</f>
        <v>1</v>
      </c>
      <c r="I8" s="429">
        <f ca="1">IFERROR(VLOOKUP(I$2,Rango_Admin_DailyPred,MATCH($F8,Rango_Admin_DailyPred_Primera,0)+1,0),"-")</f>
        <v>4</v>
      </c>
      <c r="J8" s="429">
        <f ca="1">IFERROR(VLOOKUP(J$2,Rango_Admin_DailyPred,MATCH($F8,Rango_Admin_DailyPred_Primera,0)+1,0),"-")</f>
        <v>2</v>
      </c>
      <c r="K8" s="429">
        <f ca="1">IFERROR(VLOOKUP(K$2,Rango_Admin_DailyPred,MATCH($F8,Rango_Admin_DailyPred_Primera,0)+1,0),"-")</f>
        <v>1</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6</v>
      </c>
      <c r="F9" s="448" t="str">
        <f ca="1">IFERROR(HLOOKUP(C9,Rango_Admin_DailyClas,5,FALSE),"-")</f>
        <v>Alejandro Lafuente</v>
      </c>
      <c r="G9" s="22">
        <f ca="1">IFERROR(HLOOKUP(C9,Rango_Admin_DailyClas,4,FALSE),"-")</f>
        <v>7</v>
      </c>
      <c r="H9" s="429">
        <f ca="1">IFERROR(VLOOKUP(H$2,Rango_Admin_DailyPred,MATCH($F9,Rango_Admin_DailyPred_Primera,0)+1,0),"-")</f>
        <v>1</v>
      </c>
      <c r="I9" s="429">
        <f ca="1">IFERROR(VLOOKUP(I$2,Rango_Admin_DailyPred,MATCH($F9,Rango_Admin_DailyPred_Primera,0)+1,0),"-")</f>
        <v>1</v>
      </c>
      <c r="J9" s="429">
        <f ca="1">IFERROR(VLOOKUP(J$2,Rango_Admin_DailyPred,MATCH($F9,Rango_Admin_DailyPred_Primera,0)+1,0),"-")</f>
        <v>4</v>
      </c>
      <c r="K9" s="429">
        <f ca="1">IFERROR(VLOOKUP(K$2,Rango_Admin_DailyPred,MATCH($F9,Rango_Admin_DailyPred_Primera,0)+1,0),"-")</f>
        <v>1</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6</v>
      </c>
      <c r="F10" s="448" t="str">
        <f ca="1">IFERROR(HLOOKUP(C10,Rango_Admin_DailyClas,5,FALSE),"-")</f>
        <v>Ignacio de Lecea</v>
      </c>
      <c r="G10" s="22">
        <f ca="1">IFERROR(HLOOKUP(C10,Rango_Admin_DailyClas,4,FALSE),"-")</f>
        <v>7</v>
      </c>
      <c r="H10" s="429">
        <f ca="1">IFERROR(VLOOKUP(H$2,Rango_Admin_DailyPred,MATCH($F10,Rango_Admin_DailyPred_Primera,0)+1,0),"-")</f>
        <v>4</v>
      </c>
      <c r="I10" s="429">
        <f ca="1">IFERROR(VLOOKUP(I$2,Rango_Admin_DailyPred,MATCH($F10,Rango_Admin_DailyPred_Primera,0)+1,0),"-")</f>
        <v>2</v>
      </c>
      <c r="J10" s="429">
        <f ca="1">IFERROR(VLOOKUP(J$2,Rango_Admin_DailyPred,MATCH($F10,Rango_Admin_DailyPred_Primera,0)+1,0),"-")</f>
        <v>0</v>
      </c>
      <c r="K10" s="429">
        <f ca="1">IFERROR(VLOOKUP(K$2,Rango_Admin_DailyPred,MATCH($F10,Rango_Admin_DailyPred_Primera,0)+1,0),"-")</f>
        <v>1</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6</v>
      </c>
      <c r="F11" s="448" t="str">
        <f ca="1">IFERROR(HLOOKUP(C11,Rango_Admin_DailyClas,5,FALSE),"-")</f>
        <v>Joserra</v>
      </c>
      <c r="G11" s="22">
        <f ca="1">IFERROR(HLOOKUP(C11,Rango_Admin_DailyClas,4,FALSE),"-")</f>
        <v>7</v>
      </c>
      <c r="H11" s="429">
        <f ca="1">IFERROR(VLOOKUP(H$2,Rango_Admin_DailyPred,MATCH($F11,Rango_Admin_DailyPred_Primera,0)+1,0),"-")</f>
        <v>1</v>
      </c>
      <c r="I11" s="429">
        <f ca="1">IFERROR(VLOOKUP(I$2,Rango_Admin_DailyPred,MATCH($F11,Rango_Admin_DailyPred_Primera,0)+1,0),"-")</f>
        <v>1</v>
      </c>
      <c r="J11" s="429">
        <f ca="1">IFERROR(VLOOKUP(J$2,Rango_Admin_DailyPred,MATCH($F11,Rango_Admin_DailyPred_Primera,0)+1,0),"-")</f>
        <v>4</v>
      </c>
      <c r="K11" s="429">
        <f ca="1">IFERROR(VLOOKUP(K$2,Rango_Admin_DailyPred,MATCH($F11,Rango_Admin_DailyPred_Primera,0)+1,0),"-")</f>
        <v>1</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6</v>
      </c>
      <c r="F12" s="448" t="str">
        <f ca="1">IFERROR(HLOOKUP(C12,Rango_Admin_DailyClas,5,FALSE),"-")</f>
        <v>Migay Marcos</v>
      </c>
      <c r="G12" s="22">
        <f ca="1">IFERROR(HLOOKUP(C12,Rango_Admin_DailyClas,4,FALSE),"-")</f>
        <v>7</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1</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6</v>
      </c>
      <c r="F13" s="448" t="str">
        <f ca="1">IFERROR(HLOOKUP(C13,Rango_Admin_DailyClas,5,FALSE),"-")</f>
        <v>Miguel San Martín</v>
      </c>
      <c r="G13" s="22">
        <f ca="1">IFERROR(HLOOKUP(C13,Rango_Admin_DailyClas,4,FALSE),"-")</f>
        <v>7</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1</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6</v>
      </c>
      <c r="F14" s="448" t="str">
        <f ca="1">IFERROR(HLOOKUP(C14,Rango_Admin_DailyClas,5,FALSE),"-")</f>
        <v>YTD</v>
      </c>
      <c r="G14" s="22">
        <f ca="1">IFERROR(HLOOKUP(C14,Rango_Admin_DailyClas,4,FALSE),"-")</f>
        <v>7</v>
      </c>
      <c r="H14" s="429">
        <f ca="1">IFERROR(VLOOKUP(H$2,Rango_Admin_DailyPred,MATCH($F14,Rango_Admin_DailyPred_Primera,0)+1,0),"-")</f>
        <v>1</v>
      </c>
      <c r="I14" s="429">
        <f ca="1">IFERROR(VLOOKUP(I$2,Rango_Admin_DailyPred,MATCH($F14,Rango_Admin_DailyPred_Primera,0)+1,0),"-")</f>
        <v>2</v>
      </c>
      <c r="J14" s="429">
        <f ca="1">IFERROR(VLOOKUP(J$2,Rango_Admin_DailyPred,MATCH($F14,Rango_Admin_DailyPred_Primera,0)+1,0),"-")</f>
        <v>0</v>
      </c>
      <c r="K14" s="429">
        <f ca="1">IFERROR(VLOOKUP(K$2,Rango_Admin_DailyPred,MATCH($F14,Rango_Admin_DailyPred_Primera,0)+1,0),"-")</f>
        <v>4</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6</v>
      </c>
      <c r="F15" s="448" t="str">
        <f ca="1">IFERROR(HLOOKUP(C15,Rango_Admin_DailyClas,5,FALSE),"-")</f>
        <v>Fernando Carlos García-Ramos Redondo</v>
      </c>
      <c r="G15" s="22">
        <f ca="1">IFERROR(HLOOKUP(C15,Rango_Admin_DailyClas,4,FALSE),"-")</f>
        <v>7</v>
      </c>
      <c r="H15" s="429">
        <f ca="1">IFERROR(VLOOKUP(H$2,Rango_Admin_DailyPred,MATCH($F15,Rango_Admin_DailyPred_Primera,0)+1,0),"-")</f>
        <v>4</v>
      </c>
      <c r="I15" s="429">
        <f ca="1">IFERROR(VLOOKUP(I$2,Rango_Admin_DailyPred,MATCH($F15,Rango_Admin_DailyPred_Primera,0)+1,0),"-")</f>
        <v>0</v>
      </c>
      <c r="J15" s="429">
        <f ca="1">IFERROR(VLOOKUP(J$2,Rango_Admin_DailyPred,MATCH($F15,Rango_Admin_DailyPred_Primera,0)+1,0),"-")</f>
        <v>2</v>
      </c>
      <c r="K15" s="429">
        <f ca="1">IFERROR(VLOOKUP(K$2,Rango_Admin_DailyPred,MATCH($F15,Rango_Admin_DailyPred_Primera,0)+1,0),"-")</f>
        <v>1</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Admin</v>
      </c>
      <c r="G16" s="22">
        <f ca="1">IFERROR(HLOOKUP(C16,Rango_Admin_DailyClas,4,FALSE),"-")</f>
        <v>6</v>
      </c>
      <c r="H16" s="429">
        <f ca="1">IFERROR(VLOOKUP(H$2,Rango_Admin_DailyPred,MATCH($F16,Rango_Admin_DailyPred_Primera,0)+1,0),"-")</f>
        <v>2</v>
      </c>
      <c r="I16" s="429">
        <f ca="1">IFERROR(VLOOKUP(I$2,Rango_Admin_DailyPred,MATCH($F16,Rango_Admin_DailyPred_Primera,0)+1,0),"-")</f>
        <v>1</v>
      </c>
      <c r="J16" s="429">
        <f ca="1">IFERROR(VLOOKUP(J$2,Rango_Admin_DailyPred,MATCH($F16,Rango_Admin_DailyPred_Primera,0)+1,0),"-")</f>
        <v>2</v>
      </c>
      <c r="K16" s="429">
        <f ca="1">IFERROR(VLOOKUP(K$2,Rango_Admin_DailyPred,MATCH($F16,Rango_Admin_DailyPred_Primera,0)+1,0),"-")</f>
        <v>1</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Luis B</v>
      </c>
      <c r="G17" s="22">
        <f ca="1">IFERROR(HLOOKUP(C17,Rango_Admin_DailyClas,4,FALSE),"-")</f>
        <v>6</v>
      </c>
      <c r="H17" s="429">
        <f ca="1">IFERROR(VLOOKUP(H$2,Rango_Admin_DailyPred,MATCH($F17,Rango_Admin_DailyPred_Primera,0)+1,0),"-")</f>
        <v>1</v>
      </c>
      <c r="I17" s="429">
        <f ca="1">IFERROR(VLOOKUP(I$2,Rango_Admin_DailyPred,MATCH($F17,Rango_Admin_DailyPred_Primera,0)+1,0),"-")</f>
        <v>0</v>
      </c>
      <c r="J17" s="429">
        <f ca="1">IFERROR(VLOOKUP(J$2,Rango_Admin_DailyPred,MATCH($F17,Rango_Admin_DailyPred_Primera,0)+1,0),"-")</f>
        <v>4</v>
      </c>
      <c r="K17" s="429">
        <f ca="1">IFERROR(VLOOKUP(K$2,Rango_Admin_DailyPred,MATCH($F17,Rango_Admin_DailyPred_Primera,0)+1,0),"-")</f>
        <v>1</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Antonio del Ojo</v>
      </c>
      <c r="G18" s="22">
        <f ca="1">IFERROR(HLOOKUP(C18,Rango_Admin_DailyClas,4,FALSE),"-")</f>
        <v>6</v>
      </c>
      <c r="H18" s="429">
        <f ca="1">IFERROR(VLOOKUP(H$2,Rango_Admin_DailyPred,MATCH($F18,Rango_Admin_DailyPred_Primera,0)+1,0),"-")</f>
        <v>4</v>
      </c>
      <c r="I18" s="429">
        <f ca="1">IFERROR(VLOOKUP(I$2,Rango_Admin_DailyPred,MATCH($F18,Rango_Admin_DailyPred_Primera,0)+1,0),"-")</f>
        <v>0</v>
      </c>
      <c r="J18" s="429">
        <f ca="1">IFERROR(VLOOKUP(J$2,Rango_Admin_DailyPred,MATCH($F18,Rango_Admin_DailyPred_Primera,0)+1,0),"-")</f>
        <v>1</v>
      </c>
      <c r="K18" s="429">
        <f ca="1">IFERROR(VLOOKUP(K$2,Rango_Admin_DailyPred,MATCH($F18,Rango_Admin_DailyPred_Primera,0)+1,0),"-")</f>
        <v>1</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Hulk Rexach</v>
      </c>
      <c r="G19" s="22">
        <f ca="1">IFERROR(HLOOKUP(C19,Rango_Admin_DailyClas,4,FALSE),"-")</f>
        <v>6</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1</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13</v>
      </c>
      <c r="F20" s="448" t="str">
        <f ca="1">IFERROR(HLOOKUP(C20,Rango_Admin_DailyClas,5,FALSE),"-")</f>
        <v>Ricardo Soto</v>
      </c>
      <c r="G20" s="22">
        <f ca="1">IFERROR(HLOOKUP(C20,Rango_Admin_DailyClas,4,FALSE),"-")</f>
        <v>6</v>
      </c>
      <c r="H20" s="429">
        <f ca="1">IFERROR(VLOOKUP(H$2,Rango_Admin_DailyPred,MATCH($F20,Rango_Admin_DailyPred_Primera,0)+1,0),"-")</f>
        <v>1</v>
      </c>
      <c r="I20" s="429">
        <f ca="1">IFERROR(VLOOKUP(I$2,Rango_Admin_DailyPred,MATCH($F20,Rango_Admin_DailyPred_Primera,0)+1,0),"-")</f>
        <v>0</v>
      </c>
      <c r="J20" s="429">
        <f ca="1">IFERROR(VLOOKUP(J$2,Rango_Admin_DailyPred,MATCH($F20,Rango_Admin_DailyPred_Primera,0)+1,0),"-")</f>
        <v>4</v>
      </c>
      <c r="K20" s="429">
        <f ca="1">IFERROR(VLOOKUP(K$2,Rango_Admin_DailyPred,MATCH($F20,Rango_Admin_DailyPred_Primera,0)+1,0),"-")</f>
        <v>1</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18</v>
      </c>
      <c r="F21" s="448" t="str">
        <f ca="1">IFERROR(HLOOKUP(C21,Rango_Admin_DailyClas,5,FALSE),"-")</f>
        <v>Jaime García de la Riva</v>
      </c>
      <c r="G21" s="22">
        <f ca="1">IFERROR(HLOOKUP(C21,Rango_Admin_DailyClas,4,FALSE),"-")</f>
        <v>5</v>
      </c>
      <c r="H21" s="429">
        <f ca="1">IFERROR(VLOOKUP(H$2,Rango_Admin_DailyPred,MATCH($F21,Rango_Admin_DailyPred_Primera,0)+1,0),"-")</f>
        <v>2</v>
      </c>
      <c r="I21" s="429">
        <f ca="1">IFERROR(VLOOKUP(I$2,Rango_Admin_DailyPred,MATCH($F21,Rango_Admin_DailyPred_Primera,0)+1,0),"-")</f>
        <v>0</v>
      </c>
      <c r="J21" s="429">
        <f ca="1">IFERROR(VLOOKUP(J$2,Rango_Admin_DailyPred,MATCH($F21,Rango_Admin_DailyPred_Primera,0)+1,0),"-")</f>
        <v>2</v>
      </c>
      <c r="K21" s="429">
        <f ca="1">IFERROR(VLOOKUP(K$2,Rango_Admin_DailyPred,MATCH($F21,Rango_Admin_DailyPred_Primera,0)+1,0),"-")</f>
        <v>1</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18</v>
      </c>
      <c r="F22" s="448" t="str">
        <f ca="1">IFERROR(HLOOKUP(C22,Rango_Admin_DailyClas,5,FALSE),"-")</f>
        <v>MURO 204</v>
      </c>
      <c r="G22" s="22">
        <f ca="1">IFERROR(HLOOKUP(C22,Rango_Admin_DailyClas,4,FALSE),"-")</f>
        <v>5</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1</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18</v>
      </c>
      <c r="F23" s="448" t="str">
        <f ca="1">IFERROR(HLOOKUP(C23,Rango_Admin_DailyClas,5,FALSE),"-")</f>
        <v>Florentino Netanyahu</v>
      </c>
      <c r="G23" s="22">
        <f ca="1">IFERROR(HLOOKUP(C23,Rango_Admin_DailyClas,4,FALSE),"-")</f>
        <v>5</v>
      </c>
      <c r="H23" s="429">
        <f ca="1">IFERROR(VLOOKUP(H$2,Rango_Admin_DailyPred,MATCH($F23,Rango_Admin_DailyPred_Primera,0)+1,0),"-")</f>
        <v>4</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1</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18</v>
      </c>
      <c r="F24" s="448" t="str">
        <f ca="1">IFERROR(HLOOKUP(C24,Rango_Admin_DailyClas,5,FALSE),"-")</f>
        <v>BeliBeltrán</v>
      </c>
      <c r="G24" s="22">
        <f ca="1">IFERROR(HLOOKUP(C24,Rango_Admin_DailyClas,4,FALSE),"-")</f>
        <v>5</v>
      </c>
      <c r="H24" s="429">
        <f ca="1">IFERROR(VLOOKUP(H$2,Rango_Admin_DailyPred,MATCH($F24,Rango_Admin_DailyPred_Primera,0)+1,0),"-")</f>
        <v>1</v>
      </c>
      <c r="I24" s="429">
        <f ca="1">IFERROR(VLOOKUP(I$2,Rango_Admin_DailyPred,MATCH($F24,Rango_Admin_DailyPred_Primera,0)+1,0),"-")</f>
        <v>1</v>
      </c>
      <c r="J24" s="429">
        <f ca="1">IFERROR(VLOOKUP(J$2,Rango_Admin_DailyPred,MATCH($F24,Rango_Admin_DailyPred_Primera,0)+1,0),"-")</f>
        <v>2</v>
      </c>
      <c r="K24" s="429">
        <f ca="1">IFERROR(VLOOKUP(K$2,Rango_Admin_DailyPred,MATCH($F24,Rango_Admin_DailyPred_Primera,0)+1,0),"-")</f>
        <v>1</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18</v>
      </c>
      <c r="F25" s="448" t="str">
        <f ca="1">IFERROR(HLOOKUP(C25,Rango_Admin_DailyClas,5,FALSE),"-")</f>
        <v>AD Monchus</v>
      </c>
      <c r="G25" s="22">
        <f ca="1">IFERROR(HLOOKUP(C25,Rango_Admin_DailyClas,4,FALSE),"-")</f>
        <v>5</v>
      </c>
      <c r="H25" s="429">
        <f ca="1">IFERROR(VLOOKUP(H$2,Rango_Admin_DailyPred,MATCH($F25,Rango_Admin_DailyPred_Primera,0)+1,0),"-")</f>
        <v>1</v>
      </c>
      <c r="I25" s="429">
        <f ca="1">IFERROR(VLOOKUP(I$2,Rango_Admin_DailyPred,MATCH($F25,Rango_Admin_DailyPred_Primera,0)+1,0),"-")</f>
        <v>2</v>
      </c>
      <c r="J25" s="429">
        <f ca="1">IFERROR(VLOOKUP(J$2,Rango_Admin_DailyPred,MATCH($F25,Rango_Admin_DailyPred_Primera,0)+1,0),"-")</f>
        <v>1</v>
      </c>
      <c r="K25" s="429">
        <f ca="1">IFERROR(VLOOKUP(K$2,Rango_Admin_DailyPred,MATCH($F25,Rango_Admin_DailyPred_Primera,0)+1,0),"-")</f>
        <v>1</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Guillermo Murciano</v>
      </c>
      <c r="G26" s="22">
        <f ca="1">IFERROR(HLOOKUP(C26,Rango_Admin_DailyClas,4,FALSE),"-")</f>
        <v>4</v>
      </c>
      <c r="H26" s="429">
        <f ca="1">IFERROR(VLOOKUP(H$2,Rango_Admin_DailyPred,MATCH($F26,Rango_Admin_DailyPred_Primera,0)+1,0),"-")</f>
        <v>1</v>
      </c>
      <c r="I26" s="429">
        <f ca="1">IFERROR(VLOOKUP(I$2,Rango_Admin_DailyPred,MATCH($F26,Rango_Admin_DailyPred_Primera,0)+1,0),"-")</f>
        <v>0</v>
      </c>
      <c r="J26" s="429">
        <f ca="1">IFERROR(VLOOKUP(J$2,Rango_Admin_DailyPred,MATCH($F26,Rango_Admin_DailyPred_Primera,0)+1,0),"-")</f>
        <v>2</v>
      </c>
      <c r="K26" s="429">
        <f ca="1">IFERROR(VLOOKUP(K$2,Rango_Admin_DailyPred,MATCH($F26,Rango_Admin_DailyPred_Primera,0)+1,0),"-")</f>
        <v>1</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Lucas Oriol</v>
      </c>
      <c r="G27" s="22">
        <f ca="1">IFERROR(HLOOKUP(C27,Rango_Admin_DailyClas,4,FALSE),"-")</f>
        <v>4</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1</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KIRICOCHO</v>
      </c>
      <c r="G28" s="22">
        <f ca="1">IFERROR(HLOOKUP(C28,Rango_Admin_DailyClas,4,FALSE),"-")</f>
        <v>4</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1</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23</v>
      </c>
      <c r="F29" s="448" t="str">
        <f ca="1">IFERROR(HLOOKUP(C29,Rango_Admin_DailyClas,5,FALSE),"-")</f>
        <v>Vicuinho</v>
      </c>
      <c r="G29" s="22">
        <f ca="1">IFERROR(HLOOKUP(C29,Rango_Admin_DailyClas,4,FALSE),"-")</f>
        <v>4</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1</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23</v>
      </c>
      <c r="F30" s="448" t="str">
        <f ca="1">IFERROR(HLOOKUP(C30,Rango_Admin_DailyClas,5,FALSE),"-")</f>
        <v>JUAN SOLAS</v>
      </c>
      <c r="G30" s="22">
        <f ca="1">IFERROR(HLOOKUP(C30,Rango_Admin_DailyClas,4,FALSE),"-")</f>
        <v>4</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1</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23</v>
      </c>
      <c r="F31" s="448" t="str">
        <f ca="1">IFERROR(HLOOKUP(C31,Rango_Admin_DailyClas,5,FALSE),"-")</f>
        <v xml:space="preserve">Ignacio Núñez </v>
      </c>
      <c r="G31" s="22">
        <f ca="1">IFERROR(HLOOKUP(C31,Rango_Admin_DailyClas,4,FALSE),"-")</f>
        <v>4</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1</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3</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1</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3</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1</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3</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1</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3</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1</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29</v>
      </c>
      <c r="F36" s="448" t="str">
        <f ca="1">IFERROR(HLOOKUP(C36,Rango_Admin_DailyClas,5,FALSE),"-")</f>
        <v>JCU</v>
      </c>
      <c r="G36" s="22">
        <f ca="1">IFERROR(HLOOKUP(C36,Rango_Admin_DailyClas,4,FALSE),"-")</f>
        <v>3</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1</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29</v>
      </c>
      <c r="F37" s="448" t="str">
        <f ca="1">IFERROR(HLOOKUP(C37,Rango_Admin_DailyClas,5,FALSE),"-")</f>
        <v>William Hartley</v>
      </c>
      <c r="G37" s="22">
        <f ca="1">IFERROR(HLOOKUP(C37,Rango_Admin_DailyClas,4,FALSE),"-")</f>
        <v>3</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1</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29</v>
      </c>
      <c r="F38" s="448" t="str">
        <f ca="1">IFERROR(HLOOKUP(C38,Rango_Admin_DailyClas,5,FALSE),"-")</f>
        <v>Kurtischamp</v>
      </c>
      <c r="G38" s="22">
        <f ca="1">IFERROR(HLOOKUP(C38,Rango_Admin_DailyClas,4,FALSE),"-")</f>
        <v>3</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1</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29</v>
      </c>
      <c r="F39" s="448" t="str">
        <f ca="1">IFERROR(HLOOKUP(C39,Rango_Admin_DailyClas,5,FALSE),"-")</f>
        <v>Miguel Suárez-Zuloaga</v>
      </c>
      <c r="G39" s="22">
        <f ca="1">IFERROR(HLOOKUP(C39,Rango_Admin_DailyClas,4,FALSE),"-")</f>
        <v>3</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1</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29</v>
      </c>
      <c r="F40" s="448" t="str">
        <f ca="1">IFERROR(HLOOKUP(C40,Rango_Admin_DailyClas,5,FALSE),"-")</f>
        <v>IGNACIO LAFUENTE</v>
      </c>
      <c r="G40" s="22">
        <f ca="1">IFERROR(HLOOKUP(C40,Rango_Admin_DailyClas,4,FALSE),"-")</f>
        <v>3</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1</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29</v>
      </c>
      <c r="F41" s="448" t="str">
        <f ca="1">IFERROR(HLOOKUP(C41,Rango_Admin_DailyClas,5,FALSE),"-")</f>
        <v>Alexander Schulte</v>
      </c>
      <c r="G41" s="22">
        <f ca="1">IFERROR(HLOOKUP(C41,Rango_Admin_DailyClas,4,FALSE),"-")</f>
        <v>3</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1</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Pastor</v>
      </c>
      <c r="G42" s="22">
        <f ca="1">IFERROR(HLOOKUP(C42,Rango_Admin_DailyClas,4,FALSE),"-")</f>
        <v>2</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1</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2</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1</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bau</v>
      </c>
      <c r="G44" s="22">
        <f ca="1">IFERROR(HLOOKUP(C44,Rango_Admin_DailyClas,4,FALSE),"-")</f>
        <v>2</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1</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SUM(WORLDCUP!AG4:AG147)/104</f>
        <v>0.51923076923076927</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206</v>
      </c>
      <c r="F13" s="456">
        <f ca="1">IFERROR(E13/E12,0)</f>
        <v>0.25750000000000001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23/06/26?</v>
      </c>
      <c r="E17" s="459">
        <f ca="1">IFERROR(AVERAGE(DailyClas!$G$4:INDEX(DailyClas!$G$4:$G$100,ADMIN!$D$5)),0)</f>
        <v>4.12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161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49">
        <v>#VALUE!</v>
      </c>
      <c r="Y87" s="8">
        <v>3.5</v>
      </c>
    </row>
    <row r="88" spans="13:25">
      <c r="T88" s="700" t="s">
        <v>1796</v>
      </c>
      <c r="U88" s="8" t="s">
        <v>1755</v>
      </c>
      <c r="V88" s="8" t="s">
        <v>1756</v>
      </c>
      <c r="W88" s="8" t="s">
        <v>1760</v>
      </c>
      <c r="X88" s="700" t="e" vm="50">
        <v>#VALUE!</v>
      </c>
      <c r="Y88" s="8">
        <v>4</v>
      </c>
    </row>
    <row r="89" spans="13:25" ht="15.6">
      <c r="T89" s="700" t="s">
        <v>1797</v>
      </c>
      <c r="U89" s="8" t="s">
        <v>1786</v>
      </c>
      <c r="V89" s="8" t="s">
        <v>1786</v>
      </c>
      <c r="W89" s="701" t="s">
        <v>1787</v>
      </c>
      <c r="X89" s="700" t="e" vm="51">
        <v>#VALUE!</v>
      </c>
      <c r="Y89" s="8">
        <v>-4</v>
      </c>
    </row>
    <row r="90" spans="13:25" ht="15.6">
      <c r="T90" s="700" t="s">
        <v>1798</v>
      </c>
      <c r="U90" s="8" t="s">
        <v>1788</v>
      </c>
      <c r="V90" s="8" t="s">
        <v>1789</v>
      </c>
      <c r="W90" s="702" t="s">
        <v>1790</v>
      </c>
      <c r="X90" s="700" t="e" vm="52">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1</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6</v>
      </c>
      <c r="V20" s="535">
        <f ca="1">+INDEX(WORLDCUP!$AT$6:$AT$97,MATCH(X20,WORLDCUP!$AI$6:$AI$97,0))</f>
        <v>5</v>
      </c>
      <c r="W20" s="536" t="str">
        <f ca="1">+INDEX(WORLDCUP!$AR$6:$AR$97,MATCH(X20,WORLDCUP!$AI$6:$AI$97,0))&amp;"-"&amp;INDEX(WORLDCUP!$AS$6:$AS$97,MATCH(X20,WORLDCUP!$AI$6:$AI$97,0))</f>
        <v>6-1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4</v>
      </c>
      <c r="W21" s="225" t="str">
        <f ca="1">+INDEX(WORLDCUP!$AR$6:$AR$97,MATCH(X21,WORLDCUP!$AI$6:$AI$97,0))&amp;"-"&amp;INDEX(WORLDCUP!$AS$6:$AS$97,MATCH(X21,WORLDCUP!$AI$6:$AI$97,0))</f>
        <v>7-3</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-3</v>
      </c>
      <c r="W22" s="225" t="str">
        <f ca="1">+INDEX(WORLDCUP!$AR$6:$AR$97,MATCH(X22,WORLDCUP!$AI$6:$AI$97,0))&amp;"-"&amp;INDEX(WORLDCUP!$AS$6:$AS$97,MATCH(X22,WORLDCUP!$AI$6:$AI$97,0))</f>
        <v>3-6</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-6</v>
      </c>
      <c r="W23" s="564" t="str">
        <f ca="1">+INDEX(WORLDCUP!$AR$6:$AR$97,MATCH(X23,WORLDCUP!$AI$6:$AI$97,0))&amp;"-"&amp;INDEX(WORLDCUP!$AS$6:$AS$97,MATCH(X23,WORLDCUP!$AI$6:$AI$97,0))</f>
        <v>1-7</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3</v>
      </c>
      <c r="V30" s="224">
        <f ca="1">+INDEX(WORLDCUP!$AT$6:$AT$97,MATCH(X30,WORLDCUP!$AI$6:$AI$97,0))</f>
        <v>-2</v>
      </c>
      <c r="W30" s="225" t="str">
        <f ca="1">+INDEX(WORLDCUP!$AR$6:$AR$97,MATCH(X30,WORLDCUP!$AI$6:$AI$97,0))&amp;"-"&amp;INDEX(WORLDCUP!$AS$6:$AS$97,MATCH(X30,WORLDCUP!$AI$6:$AI$97,0))</f>
        <v>2-4</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-3</v>
      </c>
      <c r="W31" s="564" t="str">
        <f ca="1">+INDEX(WORLDCUP!$AR$6:$AR$97,MATCH(X31,WORLDCUP!$AI$6:$AI$97,0))&amp;"-"&amp;INDEX(WORLDCUP!$AS$6:$AS$97,MATCH(X31,WORLDCUP!$AI$6:$AI$97,0))</f>
        <v>2-5</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6</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4</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-1</v>
      </c>
      <c r="W38" s="225" t="str">
        <f ca="1">+INDEX(WORLDCUP!$AR$6:$AR$97,MATCH(X38,WORLDCUP!$AI$6:$AI$97,0))&amp;"-"&amp;INDEX(WORLDCUP!$AS$6:$AS$97,MATCH(X38,WORLDCUP!$AI$6:$AI$97,0))</f>
        <v>1-2</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-7</v>
      </c>
      <c r="W39" s="564" t="str">
        <f ca="1">+INDEX(WORLDCUP!$AR$6:$AR$97,MATCH(X39,WORLDCUP!$AI$6:$AI$97,0))&amp;"-"&amp;INDEX(WORLDCUP!$AS$6:$AS$97,MATCH(X39,WORLDCUP!$AI$6:$AI$97,0))</f>
        <v>1-8</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4</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Gha</v>
      </c>
      <c r="U45" s="223">
        <f ca="1">+INDEX(WORLDCUP!$AM$6:$AM$97,MATCH(X45,WORLDCUP!$AI$6:$AI$97,0))</f>
        <v>4</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Cro</v>
      </c>
      <c r="U46" s="223">
        <f ca="1">+INDEX(WORLDCUP!$AM$6:$AM$97,MATCH(X46,WORLDCUP!$AI$6:$AI$97,0))</f>
        <v>3</v>
      </c>
      <c r="V46" s="224">
        <f ca="1">+INDEX(WORLDCUP!$AT$6:$AT$97,MATCH(X46,WORLDCUP!$AI$6:$AI$97,0))</f>
        <v>-1</v>
      </c>
      <c r="W46" s="225" t="str">
        <f ca="1">+INDEX(WORLDCUP!$AR$6:$AR$97,MATCH(X46,WORLDCUP!$AI$6:$AI$97,0))&amp;"-"&amp;INDEX(WORLDCUP!$AS$6:$AS$97,MATCH(X46,WORLDCUP!$AI$6:$AI$97,0))</f>
        <v>3-4</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-2</v>
      </c>
      <c r="W47" s="564" t="str">
        <f ca="1">+INDEX(WORLDCUP!$AR$6:$AR$97,MATCH(X47,WORLDCUP!$AI$6:$AI$97,0))&amp;"-"&amp;INDEX(WORLDCUP!$AS$6:$AS$97,MATCH(X47,WORLDCUP!$AI$6:$AI$97,0))</f>
        <v>0-2</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3">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4">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5">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6">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7">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8">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59">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0">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1">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2">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3">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4">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5">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6">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7">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8">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69">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0">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1">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2">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3">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4">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5">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6">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7">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8">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79">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0">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1">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2">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3">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4">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5">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6">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7">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8">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89">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0">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1">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2">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3">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4">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5">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6">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7">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8">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99">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Cabo Verde</v>
      </c>
      <c r="H2" s="11" t="str">
        <f ca="1">+WORLDCUP!BD64</f>
        <v>Bélgica</v>
      </c>
      <c r="I2" s="11" t="str">
        <f ca="1">+WORLDCUP!BD69</f>
        <v>Croacia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Argelia</v>
      </c>
      <c r="H3" s="11" t="str">
        <f ca="1">+WORLDCUP!BD63</f>
        <v>Suecia</v>
      </c>
      <c r="I3" s="11" t="str">
        <f ca="1">+WORLDCUP!BD69</f>
        <v>Croacia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Cabo Verde</v>
      </c>
      <c r="H4" s="11" t="str">
        <f ca="1">+WORLDCUP!BD64</f>
        <v>Bélgica</v>
      </c>
      <c r="I4" s="11" t="str">
        <f ca="1">+WORLDCUP!BD69</f>
        <v>Croacia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Cabo Verde</v>
      </c>
      <c r="H5" s="11" t="str">
        <f ca="1">+WORLDCUP!BD63</f>
        <v>Suecia</v>
      </c>
      <c r="I5" s="11" t="str">
        <f ca="1">+WORLDCUP!BD69</f>
        <v>Croacia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Argelia</v>
      </c>
      <c r="H6" s="11" t="str">
        <f ca="1">+WORLDCUP!BD63</f>
        <v>Suecia</v>
      </c>
      <c r="I6" s="11" t="str">
        <f ca="1">+WORLDCUP!BD69</f>
        <v>Croacia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Argelia</v>
      </c>
      <c r="F7" s="11" t="str">
        <f ca="1">+WORLDCUP!BD61</f>
        <v>Paraguay</v>
      </c>
      <c r="G7" s="11" t="str">
        <f ca="1">+WORLDCUP!BD65</f>
        <v>Cabo Verde</v>
      </c>
      <c r="H7" s="11" t="str">
        <f ca="1">+WORLDCUP!BD63</f>
        <v>Suecia</v>
      </c>
      <c r="I7" s="11" t="str">
        <f ca="1">+WORLDCUP!BD69</f>
        <v>Croacia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Croacia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Argelia</v>
      </c>
      <c r="F9" s="11" t="str">
        <f ca="1">+WORLDCUP!BD61</f>
        <v>Paraguay</v>
      </c>
      <c r="G9" s="11" t="str">
        <f ca="1">+WORLDCUP!BD65</f>
        <v>Cabo Verde</v>
      </c>
      <c r="H9" s="11" t="str">
        <f ca="1">+WORLDCUP!BD63</f>
        <v>Suecia</v>
      </c>
      <c r="I9" s="11" t="str">
        <f ca="1">+WORLDCUP!BD69</f>
        <v>Croacia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Argelia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Argelia</v>
      </c>
      <c r="H11" s="11" t="str">
        <f ca="1">+WORLDCUP!BD63</f>
        <v>Suecia</v>
      </c>
      <c r="I11" s="11" t="str">
        <f ca="1">+WORLDCUP!BD69</f>
        <v>Croacia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Cabo Verde</v>
      </c>
      <c r="H12" s="11" t="str">
        <f ca="1">+WORLDCUP!BD64</f>
        <v>Bélgica</v>
      </c>
      <c r="I12" s="11" t="str">
        <f ca="1">+WORLDCUP!BD69</f>
        <v>Croacia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Cabo Verde</v>
      </c>
      <c r="H13" s="11" t="str">
        <f ca="1">+WORLDCUP!BD63</f>
        <v>Suecia</v>
      </c>
      <c r="I13" s="11" t="str">
        <f ca="1">+WORLDCUP!BD69</f>
        <v>Croacia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Argelia</v>
      </c>
      <c r="H14" s="11" t="str">
        <f ca="1">+WORLDCUP!BD63</f>
        <v>Suecia</v>
      </c>
      <c r="I14" s="11" t="str">
        <f ca="1">+WORLDCUP!BD69</f>
        <v>Croacia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Argelia</v>
      </c>
      <c r="F15" s="11" t="str">
        <f ca="1">+WORLDCUP!BD60</f>
        <v>Escocia</v>
      </c>
      <c r="G15" s="11" t="str">
        <f ca="1">+WORLDCUP!BD65</f>
        <v>Cabo Verde</v>
      </c>
      <c r="H15" s="11" t="str">
        <f ca="1">+WORLDCUP!BD63</f>
        <v>Suecia</v>
      </c>
      <c r="I15" s="11" t="str">
        <f ca="1">+WORLDCUP!BD69</f>
        <v>Croacia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Croacia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Argelia</v>
      </c>
      <c r="F17" s="11" t="str">
        <f ca="1">+WORLDCUP!BD60</f>
        <v>Escocia</v>
      </c>
      <c r="G17" s="11" t="str">
        <f ca="1">+WORLDCUP!BD65</f>
        <v>Cabo Verde</v>
      </c>
      <c r="H17" s="11" t="str">
        <f ca="1">+WORLDCUP!BD63</f>
        <v>Suecia</v>
      </c>
      <c r="I17" s="11" t="str">
        <f ca="1">+WORLDCUP!BD69</f>
        <v>Croacia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Argelia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Argelia</v>
      </c>
      <c r="H19" s="11" t="str">
        <f ca="1">+WORLDCUP!BD61</f>
        <v>Paraguay</v>
      </c>
      <c r="I19" s="11" t="str">
        <f ca="1">+WORLDCUP!BD69</f>
        <v>Croacia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Cabo Verde</v>
      </c>
      <c r="H20" s="11" t="str">
        <f ca="1">+WORLDCUP!BD63</f>
        <v>Suecia</v>
      </c>
      <c r="I20" s="11" t="str">
        <f ca="1">+WORLDCUP!BD69</f>
        <v>Croacia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Argelia</v>
      </c>
      <c r="H21" s="11" t="str">
        <f ca="1">+WORLDCUP!BD63</f>
        <v>Suecia</v>
      </c>
      <c r="I21" s="11" t="str">
        <f ca="1">+WORLDCUP!BD69</f>
        <v>Croacia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Argelia</v>
      </c>
      <c r="F22" s="11" t="str">
        <f ca="1">+WORLDCUP!BD61</f>
        <v>Paraguay</v>
      </c>
      <c r="G22" s="11" t="str">
        <f ca="1">+WORLDCUP!BD65</f>
        <v>Cabo Verde</v>
      </c>
      <c r="H22" s="11" t="str">
        <f ca="1">+WORLDCUP!BD63</f>
        <v>Suecia</v>
      </c>
      <c r="I22" s="11" t="str">
        <f ca="1">+WORLDCUP!BD69</f>
        <v>Croacia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Croacia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Argelia</v>
      </c>
      <c r="F24" s="11" t="str">
        <f ca="1">+WORLDCUP!BD61</f>
        <v>Paraguay</v>
      </c>
      <c r="G24" s="11" t="str">
        <f ca="1">+WORLDCUP!BD65</f>
        <v>Cabo Verde</v>
      </c>
      <c r="H24" s="11" t="str">
        <f ca="1">+WORLDCUP!BD63</f>
        <v>Suecia</v>
      </c>
      <c r="I24" s="11" t="str">
        <f ca="1">+WORLDCUP!BD69</f>
        <v>Croacia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Argelia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Cabo Verde</v>
      </c>
      <c r="H26" s="11" t="str">
        <f ca="1">+WORLDCUP!BD61</f>
        <v>Paraguay</v>
      </c>
      <c r="I26" s="11" t="str">
        <f ca="1">+WORLDCUP!BD69</f>
        <v>Croacia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Argelia</v>
      </c>
      <c r="H27" s="11" t="str">
        <f ca="1">+WORLDCUP!BD61</f>
        <v>Paraguay</v>
      </c>
      <c r="I27" s="11" t="str">
        <f ca="1">+WORLDCUP!BD69</f>
        <v>Croacia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Argelia</v>
      </c>
      <c r="F28" s="11" t="str">
        <f ca="1">+WORLDCUP!BD60</f>
        <v>Escocia</v>
      </c>
      <c r="G28" s="11" t="str">
        <f ca="1">+WORLDCUP!BD65</f>
        <v>Cabo Verde</v>
      </c>
      <c r="H28" s="11" t="str">
        <f ca="1">+WORLDCUP!BD61</f>
        <v>Paraguay</v>
      </c>
      <c r="I28" s="11" t="str">
        <f ca="1">+WORLDCUP!BD69</f>
        <v>Croacia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Croacia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Argelia</v>
      </c>
      <c r="F30" s="11" t="str">
        <f ca="1">+WORLDCUP!BD60</f>
        <v>Escocia</v>
      </c>
      <c r="G30" s="11" t="str">
        <f ca="1">+WORLDCUP!BD65</f>
        <v>Cabo Verde</v>
      </c>
      <c r="H30" s="11" t="str">
        <f ca="1">+WORLDCUP!BD61</f>
        <v>Paraguay</v>
      </c>
      <c r="I30" s="11" t="str">
        <f ca="1">+WORLDCUP!BD69</f>
        <v>Croacia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Argelia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Croacia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Cabo Verde</v>
      </c>
      <c r="H33" s="11" t="str">
        <f ca="1">+WORLDCUP!BD63</f>
        <v>Suecia</v>
      </c>
      <c r="I33" s="11" t="str">
        <f ca="1">+WORLDCUP!BD69</f>
        <v>Croacia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Croacia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Cabo Verde</v>
      </c>
      <c r="H35" s="11" t="str">
        <f ca="1">+WORLDCUP!BD63</f>
        <v>Suecia</v>
      </c>
      <c r="I35" s="11" t="str">
        <f ca="1">+WORLDCUP!BD69</f>
        <v>Croacia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Argelia</v>
      </c>
      <c r="H37" s="11" t="str">
        <f ca="1">+WORLDCUP!BD63</f>
        <v>Suecia</v>
      </c>
      <c r="I37" s="11" t="str">
        <f ca="1">+WORLDCUP!BD69</f>
        <v>Croacia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Croacia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Argelia</v>
      </c>
      <c r="H39" s="11" t="str">
        <f ca="1">+WORLDCUP!BD63</f>
        <v>Suecia</v>
      </c>
      <c r="I39" s="11" t="str">
        <f ca="1">+WORLDCUP!BD69</f>
        <v>Croacia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Croacia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Argelia</v>
      </c>
      <c r="F42" s="11" t="str">
        <f ca="1">+WORLDCUP!BD61</f>
        <v>Paraguay</v>
      </c>
      <c r="G42" s="11" t="str">
        <f ca="1">+WORLDCUP!BD65</f>
        <v>Cabo Verde</v>
      </c>
      <c r="H42" s="11" t="str">
        <f ca="1">+WORLDCUP!BD63</f>
        <v>Suecia</v>
      </c>
      <c r="I42" s="11" t="str">
        <f ca="1">+WORLDCUP!BD69</f>
        <v>Croacia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Argelia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Croacia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Argelia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Argelia</v>
      </c>
      <c r="E47" s="11" t="str">
        <f ca="1">+WORLDCUP!BD59</f>
        <v>Bosnia y Herzegovina</v>
      </c>
      <c r="F47" s="11" t="str">
        <f ca="1">+WORLDCUP!BD63</f>
        <v>Suecia</v>
      </c>
      <c r="G47" s="11" t="str">
        <f ca="1">+WORLDCUP!BD66</f>
        <v>Senegal</v>
      </c>
      <c r="H47" s="11" t="str">
        <f ca="1">+WORLDCUP!BD64</f>
        <v>Bélgica</v>
      </c>
      <c r="I47" s="11" t="str">
        <f ca="1">+WORLDCUP!BD69</f>
        <v>Croacia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Cabo Verde</v>
      </c>
      <c r="H48" s="11" t="str">
        <f ca="1">+WORLDCUP!BD64</f>
        <v>Bélgica</v>
      </c>
      <c r="I48" s="11" t="str">
        <f ca="1">+WORLDCUP!BD69</f>
        <v>Croacia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Cabo Verde</v>
      </c>
      <c r="I49" s="11" t="str">
        <f ca="1">+WORLDCUP!BD69</f>
        <v>Croacia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Bélgica</v>
      </c>
      <c r="I50" s="11" t="str">
        <f ca="1">+WORLDCUP!BD69</f>
        <v>Croacia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Cabo Verde</v>
      </c>
      <c r="H51" s="11" t="str">
        <f ca="1">+WORLDCUP!BD64</f>
        <v>Bélgica</v>
      </c>
      <c r="I51" s="11" t="str">
        <f ca="1">+WORLDCUP!BD69</f>
        <v>Croacia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Croacia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Cabo Verde</v>
      </c>
      <c r="H53" s="11" t="str">
        <f ca="1">+WORLDCUP!BD64</f>
        <v>Bélgica</v>
      </c>
      <c r="I53" s="11" t="str">
        <f ca="1">+WORLDCUP!BD69</f>
        <v>Croacia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Argelia</v>
      </c>
      <c r="E55" s="11" t="str">
        <f ca="1">+WORLDCUP!BD59</f>
        <v>Bosnia y Herzegovina</v>
      </c>
      <c r="F55" s="11" t="str">
        <f ca="1">+WORLDCUP!BD61</f>
        <v>Paraguay</v>
      </c>
      <c r="G55" s="11" t="str">
        <f ca="1">+WORLDCUP!BD66</f>
        <v>Senegal</v>
      </c>
      <c r="H55" s="11" t="str">
        <f ca="1">+WORLDCUP!BD64</f>
        <v>Bélgica</v>
      </c>
      <c r="I55" s="11" t="str">
        <f ca="1">+WORLDCUP!BD69</f>
        <v>Croacia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Croacia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Argelia</v>
      </c>
      <c r="H57" s="11" t="str">
        <f ca="1">+WORLDCUP!BD63</f>
        <v>Suecia</v>
      </c>
      <c r="I57" s="11" t="str">
        <f ca="1">+WORLDCUP!BD69</f>
        <v>Croacia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Argelia</v>
      </c>
      <c r="H58" s="11" t="str">
        <f ca="1">+WORLDCUP!BD63</f>
        <v>Suecia</v>
      </c>
      <c r="I58" s="11" t="str">
        <f ca="1">+WORLDCUP!BD69</f>
        <v>Croacia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Croacia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Argelia</v>
      </c>
      <c r="H60" s="11" t="str">
        <f ca="1">+WORLDCUP!BD63</f>
        <v>Suecia</v>
      </c>
      <c r="I60" s="11" t="str">
        <f ca="1">+WORLDCUP!BD69</f>
        <v>Croacia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Cabo Verde</v>
      </c>
      <c r="I62" s="11" t="str">
        <f ca="1">+WORLDCUP!BD69</f>
        <v>Croacia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Bélgica</v>
      </c>
      <c r="I63" s="11" t="str">
        <f ca="1">+WORLDCUP!BD69</f>
        <v>Croacia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Cabo Verde</v>
      </c>
      <c r="H64" s="11" t="str">
        <f ca="1">+WORLDCUP!BD64</f>
        <v>Bélgica</v>
      </c>
      <c r="I64" s="11" t="str">
        <f ca="1">+WORLDCUP!BD69</f>
        <v>Croacia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Croacia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Cabo Verde</v>
      </c>
      <c r="H66" s="11" t="str">
        <f ca="1">+WORLDCUP!BD64</f>
        <v>Bélgica</v>
      </c>
      <c r="I66" s="11" t="str">
        <f ca="1">+WORLDCUP!BD69</f>
        <v>Croacia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Croacia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Cabo Verde</v>
      </c>
      <c r="H69" s="11" t="str">
        <f ca="1">+WORLDCUP!BD63</f>
        <v>Suecia</v>
      </c>
      <c r="I69" s="11" t="str">
        <f ca="1">+WORLDCUP!BD69</f>
        <v>Croacia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Croacia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Cabo Verde</v>
      </c>
      <c r="H71" s="11" t="str">
        <f ca="1">+WORLDCUP!BD63</f>
        <v>Suecia</v>
      </c>
      <c r="I71" s="11" t="str">
        <f ca="1">+WORLDCUP!BD69</f>
        <v>Croacia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Argelia</v>
      </c>
      <c r="H73" s="11" t="str">
        <f ca="1">+WORLDCUP!BD63</f>
        <v>Suecia</v>
      </c>
      <c r="I73" s="11" t="str">
        <f ca="1">+WORLDCUP!BD69</f>
        <v>Croacia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Croacia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Argelia</v>
      </c>
      <c r="H75" s="11" t="str">
        <f ca="1">+WORLDCUP!BD63</f>
        <v>Suecia</v>
      </c>
      <c r="I75" s="11" t="str">
        <f ca="1">+WORLDCUP!BD69</f>
        <v>Croacia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Croacia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Argelia</v>
      </c>
      <c r="H78" s="11" t="str">
        <f ca="1">+WORLDCUP!BD63</f>
        <v>Suecia</v>
      </c>
      <c r="I78" s="11" t="str">
        <f ca="1">+WORLDCUP!BD69</f>
        <v>Croacia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Croacia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Argelia</v>
      </c>
      <c r="E83" s="11" t="str">
        <f ca="1">+WORLDCUP!BD59</f>
        <v>Bosnia y Herzegovina</v>
      </c>
      <c r="F83" s="11" t="str">
        <f ca="1">+WORLDCUP!BD60</f>
        <v>Escocia</v>
      </c>
      <c r="G83" s="11" t="str">
        <f ca="1">+WORLDCUP!BD66</f>
        <v>Senegal</v>
      </c>
      <c r="H83" s="11" t="str">
        <f ca="1">+WORLDCUP!BD64</f>
        <v>Bélgica</v>
      </c>
      <c r="I83" s="11" t="str">
        <f ca="1">+WORLDCUP!BD69</f>
        <v>Croacia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Croacia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Argelia</v>
      </c>
      <c r="H85" s="11" t="str">
        <f ca="1">+WORLDCUP!BD63</f>
        <v>Suecia</v>
      </c>
      <c r="I85" s="11" t="str">
        <f ca="1">+WORLDCUP!BD69</f>
        <v>Croacia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Argelia</v>
      </c>
      <c r="H86" s="11" t="str">
        <f ca="1">+WORLDCUP!BD63</f>
        <v>Suecia</v>
      </c>
      <c r="I86" s="11" t="str">
        <f ca="1">+WORLDCUP!BD69</f>
        <v>Croacia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Croacia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Argelia</v>
      </c>
      <c r="H88" s="11" t="str">
        <f ca="1">+WORLDCUP!BD63</f>
        <v>Suecia</v>
      </c>
      <c r="I88" s="11" t="str">
        <f ca="1">+WORLDCUP!BD69</f>
        <v>Croacia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Cabo Verde</v>
      </c>
      <c r="I90" s="11" t="str">
        <f ca="1">+WORLDCUP!BD69</f>
        <v>Croacia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Bélgica</v>
      </c>
      <c r="I91" s="11" t="str">
        <f ca="1">+WORLDCUP!BD69</f>
        <v>Croacia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Cabo Verde</v>
      </c>
      <c r="H92" s="11" t="str">
        <f ca="1">+WORLDCUP!BD64</f>
        <v>Bélgica</v>
      </c>
      <c r="I92" s="11" t="str">
        <f ca="1">+WORLDCUP!BD69</f>
        <v>Croacia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Croacia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Cabo Verde</v>
      </c>
      <c r="H94" s="11" t="str">
        <f ca="1">+WORLDCUP!BD64</f>
        <v>Bélgica</v>
      </c>
      <c r="I94" s="11" t="str">
        <f ca="1">+WORLDCUP!BD69</f>
        <v>Croacia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Croacia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Cabo Verde</v>
      </c>
      <c r="H97" s="11" t="str">
        <f ca="1">+WORLDCUP!BD63</f>
        <v>Suecia</v>
      </c>
      <c r="I97" s="11" t="str">
        <f ca="1">+WORLDCUP!BD69</f>
        <v>Croacia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Croacia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Cabo Verde</v>
      </c>
      <c r="H99" s="11" t="str">
        <f ca="1">+WORLDCUP!BD63</f>
        <v>Suecia</v>
      </c>
      <c r="I99" s="11" t="str">
        <f ca="1">+WORLDCUP!BD69</f>
        <v>Croacia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Argelia</v>
      </c>
      <c r="H101" s="11" t="str">
        <f ca="1">+WORLDCUP!BD63</f>
        <v>Suecia</v>
      </c>
      <c r="I101" s="11" t="str">
        <f ca="1">+WORLDCUP!BD69</f>
        <v>Croacia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Croacia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Argelia</v>
      </c>
      <c r="H103" s="11" t="str">
        <f ca="1">+WORLDCUP!BD63</f>
        <v>Suecia</v>
      </c>
      <c r="I103" s="11" t="str">
        <f ca="1">+WORLDCUP!BD69</f>
        <v>Croacia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Croacia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Argelia</v>
      </c>
      <c r="H106" s="11" t="str">
        <f ca="1">+WORLDCUP!BD63</f>
        <v>Suecia</v>
      </c>
      <c r="I106" s="11" t="str">
        <f ca="1">+WORLDCUP!BD69</f>
        <v>Croacia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Croacia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Croacia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Argelia</v>
      </c>
      <c r="H112" s="11" t="str">
        <f ca="1">+WORLDCUP!BD61</f>
        <v>Paraguay</v>
      </c>
      <c r="I112" s="11" t="str">
        <f ca="1">+WORLDCUP!BD69</f>
        <v>Croacia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Argelia</v>
      </c>
      <c r="H113" s="11" t="str">
        <f ca="1">+WORLDCUP!BD61</f>
        <v>Paraguay</v>
      </c>
      <c r="I113" s="11" t="str">
        <f ca="1">+WORLDCUP!BD69</f>
        <v>Croacia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Croacia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Argelia</v>
      </c>
      <c r="H115" s="11" t="str">
        <f ca="1">+WORLDCUP!BD61</f>
        <v>Paraguay</v>
      </c>
      <c r="I115" s="11" t="str">
        <f ca="1">+WORLDCUP!BD69</f>
        <v>Croacia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Croacia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Cabo Verde</v>
      </c>
      <c r="H118" s="11" t="str">
        <f ca="1">+WORLDCUP!BD63</f>
        <v>Suecia</v>
      </c>
      <c r="I118" s="11" t="str">
        <f ca="1">+WORLDCUP!BD69</f>
        <v>Croacia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Croacia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Cabo Verde</v>
      </c>
      <c r="H120" s="11" t="str">
        <f ca="1">+WORLDCUP!BD63</f>
        <v>Suecia</v>
      </c>
      <c r="I120" s="11" t="str">
        <f ca="1">+WORLDCUP!BD69</f>
        <v>Croacia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Argelia</v>
      </c>
      <c r="H122" s="11" t="str">
        <f ca="1">+WORLDCUP!BD63</f>
        <v>Suecia</v>
      </c>
      <c r="I122" s="11" t="str">
        <f ca="1">+WORLDCUP!BD69</f>
        <v>Croacia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Croacia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Argelia</v>
      </c>
      <c r="H124" s="11" t="str">
        <f ca="1">+WORLDCUP!BD63</f>
        <v>Suecia</v>
      </c>
      <c r="I124" s="11" t="str">
        <f ca="1">+WORLDCUP!BD69</f>
        <v>Croacia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Croacia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Croacia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Croacia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Croacia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Cabo Verde</v>
      </c>
      <c r="H133" s="11" t="str">
        <f ca="1">+WORLDCUP!BD61</f>
        <v>Paraguay</v>
      </c>
      <c r="I133" s="11" t="str">
        <f ca="1">+WORLDCUP!BD69</f>
        <v>Croacia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Croacia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Cabo Verde</v>
      </c>
      <c r="H135" s="11" t="str">
        <f ca="1">+WORLDCUP!BD61</f>
        <v>Paraguay</v>
      </c>
      <c r="I135" s="11" t="str">
        <f ca="1">+WORLDCUP!BD69</f>
        <v>Croacia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Argelia</v>
      </c>
      <c r="H137" s="11" t="str">
        <f ca="1">+WORLDCUP!BD61</f>
        <v>Paraguay</v>
      </c>
      <c r="I137" s="11" t="str">
        <f ca="1">+WORLDCUP!BD69</f>
        <v>Croacia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Croacia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Argelia</v>
      </c>
      <c r="H139" s="11" t="str">
        <f ca="1">+WORLDCUP!BD61</f>
        <v>Paraguay</v>
      </c>
      <c r="I139" s="11" t="str">
        <f ca="1">+WORLDCUP!BD69</f>
        <v>Croacia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Croacia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Argelia</v>
      </c>
      <c r="H142" s="11" t="str">
        <f ca="1">+WORLDCUP!BD61</f>
        <v>Paraguay</v>
      </c>
      <c r="I142" s="11" t="str">
        <f ca="1">+WORLDCUP!BD69</f>
        <v>Croacia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Croacia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Croacia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Croacia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Croacia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Croacia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Cabo Verde</v>
      </c>
      <c r="H152" s="11" t="str">
        <f ca="1">+WORLDCUP!BD63</f>
        <v>Suecia</v>
      </c>
      <c r="I152" s="11" t="str">
        <f ca="1">+WORLDCUP!BD69</f>
        <v>Croacia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Croacia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Croacia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Argelia</v>
      </c>
      <c r="H158" s="11" t="str">
        <f ca="1">+WORLDCUP!BD63</f>
        <v>Suecia</v>
      </c>
      <c r="I158" s="11" t="str">
        <f ca="1">+WORLDCUP!BD69</f>
        <v>Croacia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Croacia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Croacia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Argelia</v>
      </c>
      <c r="E167" s="11" t="str">
        <f ca="1">+WORLDCUP!BD66</f>
        <v>Senegal</v>
      </c>
      <c r="F167" s="11" t="str">
        <f ca="1">+WORLDCUP!BD63</f>
        <v>Suecia</v>
      </c>
      <c r="G167" s="11" t="str">
        <f ca="1">+WORLDCUP!BD58</f>
        <v>Corea del Sur</v>
      </c>
      <c r="H167" s="11" t="str">
        <f ca="1">+WORLDCUP!BD64</f>
        <v>Bélgica</v>
      </c>
      <c r="I167" s="11" t="str">
        <f ca="1">+WORLDCUP!BD69</f>
        <v>Croacia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Cabo Verde</v>
      </c>
      <c r="H168" s="11" t="str">
        <f ca="1">+WORLDCUP!BD64</f>
        <v>Bélgica</v>
      </c>
      <c r="I168" s="11" t="str">
        <f ca="1">+WORLDCUP!BD69</f>
        <v>Croacia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Cabo Verde</v>
      </c>
      <c r="I169" s="11" t="str">
        <f ca="1">+WORLDCUP!BD69</f>
        <v>Croacia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Bélgica</v>
      </c>
      <c r="I170" s="11" t="str">
        <f ca="1">+WORLDCUP!BD69</f>
        <v>Croacia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Argelia</v>
      </c>
      <c r="F171" s="11" t="str">
        <f ca="1">+WORLDCUP!BD63</f>
        <v>Suecia</v>
      </c>
      <c r="G171" s="11" t="str">
        <f ca="1">+WORLDCUP!BD58</f>
        <v>Corea del Sur</v>
      </c>
      <c r="H171" s="11" t="str">
        <f ca="1">+WORLDCUP!BD65</f>
        <v>Cabo Verde</v>
      </c>
      <c r="I171" s="11" t="str">
        <f ca="1">+WORLDCUP!BD69</f>
        <v>Croacia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Corea del Sur</v>
      </c>
      <c r="H172" s="11" t="str">
        <f ca="1">+WORLDCUP!BD65</f>
        <v>Cabo Verde</v>
      </c>
      <c r="I172" s="11" t="str">
        <f ca="1">+WORLDCUP!BD69</f>
        <v>Croacia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Argelia</v>
      </c>
      <c r="F173" s="11" t="str">
        <f ca="1">+WORLDCUP!BD63</f>
        <v>Suecia</v>
      </c>
      <c r="G173" s="11" t="str">
        <f ca="1">+WORLDCUP!BD58</f>
        <v>Corea del Sur</v>
      </c>
      <c r="H173" s="11" t="str">
        <f ca="1">+WORLDCUP!BD65</f>
        <v>Cabo Verde</v>
      </c>
      <c r="I173" s="11" t="str">
        <f ca="1">+WORLDCUP!BD69</f>
        <v>Croacia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Argelia</v>
      </c>
      <c r="F174" s="11" t="str">
        <f ca="1">+WORLDCUP!BD63</f>
        <v>Suecia</v>
      </c>
      <c r="G174" s="11" t="str">
        <f ca="1">+WORLDCUP!BD58</f>
        <v>Corea del Sur</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Argelia</v>
      </c>
      <c r="E175" s="11" t="str">
        <f ca="1">+WORLDCUP!BD66</f>
        <v>Senegal</v>
      </c>
      <c r="F175" s="11" t="str">
        <f ca="1">+WORLDCUP!BD61</f>
        <v>Paraguay</v>
      </c>
      <c r="G175" s="11" t="str">
        <f ca="1">+WORLDCUP!BD58</f>
        <v>Corea del Sur</v>
      </c>
      <c r="H175" s="11" t="str">
        <f ca="1">+WORLDCUP!BD64</f>
        <v>Bélgica</v>
      </c>
      <c r="I175" s="11" t="str">
        <f ca="1">+WORLDCUP!BD69</f>
        <v>Croacia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Croacia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Argelia</v>
      </c>
      <c r="F177" s="11" t="str">
        <f ca="1">+WORLDCUP!BD61</f>
        <v>Paraguay</v>
      </c>
      <c r="G177" s="11" t="str">
        <f ca="1">+WORLDCUP!BD58</f>
        <v>Corea del Sur</v>
      </c>
      <c r="H177" s="11" t="str">
        <f ca="1">+WORLDCUP!BD63</f>
        <v>Suecia</v>
      </c>
      <c r="I177" s="11" t="str">
        <f ca="1">+WORLDCUP!BD69</f>
        <v>Croacia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Argelia</v>
      </c>
      <c r="F178" s="11" t="str">
        <f ca="1">+WORLDCUP!BD61</f>
        <v>Paraguay</v>
      </c>
      <c r="G178" s="11" t="str">
        <f ca="1">+WORLDCUP!BD58</f>
        <v>Corea del Sur</v>
      </c>
      <c r="H178" s="11" t="str">
        <f ca="1">+WORLDCUP!BD63</f>
        <v>Suecia</v>
      </c>
      <c r="I178" s="11" t="str">
        <f ca="1">+WORLDCUP!BD69</f>
        <v>Croacia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Corea del Sur</v>
      </c>
      <c r="H179" s="11" t="str">
        <f ca="1">+WORLDCUP!BD63</f>
        <v>Suecia</v>
      </c>
      <c r="I179" s="11" t="str">
        <f ca="1">+WORLDCUP!BD69</f>
        <v>Croacia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Argelia</v>
      </c>
      <c r="F180" s="11" t="str">
        <f ca="1">+WORLDCUP!BD61</f>
        <v>Paraguay</v>
      </c>
      <c r="G180" s="11" t="str">
        <f ca="1">+WORLDCUP!BD58</f>
        <v>Corea del Sur</v>
      </c>
      <c r="H180" s="11" t="str">
        <f ca="1">+WORLDCUP!BD63</f>
        <v>Suecia</v>
      </c>
      <c r="I180" s="11" t="str">
        <f ca="1">+WORLDCUP!BD69</f>
        <v>Croacia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Cabo Verde</v>
      </c>
      <c r="I182" s="11" t="str">
        <f ca="1">+WORLDCUP!BD69</f>
        <v>Croacia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Bélgica</v>
      </c>
      <c r="I183" s="11" t="str">
        <f ca="1">+WORLDCUP!BD69</f>
        <v>Croacia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Argelia</v>
      </c>
      <c r="F184" s="11" t="str">
        <f ca="1">+WORLDCUP!BD61</f>
        <v>Paraguay</v>
      </c>
      <c r="G184" s="11" t="str">
        <f ca="1">+WORLDCUP!BD58</f>
        <v>Corea del Sur</v>
      </c>
      <c r="H184" s="11" t="str">
        <f ca="1">+WORLDCUP!BD65</f>
        <v>Cabo Verde</v>
      </c>
      <c r="I184" s="11" t="str">
        <f ca="1">+WORLDCUP!BD69</f>
        <v>Croacia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Corea del Sur</v>
      </c>
      <c r="H185" s="11" t="str">
        <f ca="1">+WORLDCUP!BD65</f>
        <v>Cabo Verde</v>
      </c>
      <c r="I185" s="11" t="str">
        <f ca="1">+WORLDCUP!BD69</f>
        <v>Croacia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Argelia</v>
      </c>
      <c r="F186" s="11" t="str">
        <f ca="1">+WORLDCUP!BD61</f>
        <v>Paraguay</v>
      </c>
      <c r="G186" s="11" t="str">
        <f ca="1">+WORLDCUP!BD58</f>
        <v>Corea del Sur</v>
      </c>
      <c r="H186" s="11" t="str">
        <f ca="1">+WORLDCUP!BD65</f>
        <v>Cabo Verde</v>
      </c>
      <c r="I186" s="11" t="str">
        <f ca="1">+WORLDCUP!BD69</f>
        <v>Croacia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Argelia</v>
      </c>
      <c r="F187" s="11" t="str">
        <f ca="1">+WORLDCUP!BD61</f>
        <v>Paraguay</v>
      </c>
      <c r="G187" s="11" t="str">
        <f ca="1">+WORLDCUP!BD58</f>
        <v>Corea del Sur</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Croacia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Croacia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Croacia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Croacia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Argelia</v>
      </c>
      <c r="F193" s="11" t="str">
        <f ca="1">+WORLDCUP!BD61</f>
        <v>Paraguay</v>
      </c>
      <c r="G193" s="11" t="str">
        <f ca="1">+WORLDCUP!BD58</f>
        <v>Corea del Sur</v>
      </c>
      <c r="H193" s="11" t="str">
        <f ca="1">+WORLDCUP!BD63</f>
        <v>Suecia</v>
      </c>
      <c r="I193" s="11" t="str">
        <f ca="1">+WORLDCUP!BD69</f>
        <v>Croacia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Corea del Sur</v>
      </c>
      <c r="H194" s="11" t="str">
        <f ca="1">+WORLDCUP!BD63</f>
        <v>Suecia</v>
      </c>
      <c r="I194" s="11" t="str">
        <f ca="1">+WORLDCUP!BD69</f>
        <v>Croacia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Argelia</v>
      </c>
      <c r="F195" s="11" t="str">
        <f ca="1">+WORLDCUP!BD61</f>
        <v>Paraguay</v>
      </c>
      <c r="G195" s="11" t="str">
        <f ca="1">+WORLDCUP!BD58</f>
        <v>Corea del Sur</v>
      </c>
      <c r="H195" s="11" t="str">
        <f ca="1">+WORLDCUP!BD63</f>
        <v>Suecia</v>
      </c>
      <c r="I195" s="11" t="str">
        <f ca="1">+WORLDCUP!BD69</f>
        <v>Croacia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Corea del Sur</v>
      </c>
      <c r="H197" s="11" t="str">
        <f ca="1">+WORLDCUP!BD63</f>
        <v>Suecia</v>
      </c>
      <c r="I197" s="11" t="str">
        <f ca="1">+WORLDCUP!BD69</f>
        <v>Croacia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Argelia</v>
      </c>
      <c r="F198" s="11" t="str">
        <f ca="1">+WORLDCUP!BD61</f>
        <v>Paraguay</v>
      </c>
      <c r="G198" s="11" t="str">
        <f ca="1">+WORLDCUP!BD58</f>
        <v>Corea del Sur</v>
      </c>
      <c r="H198" s="11" t="str">
        <f ca="1">+WORLDCUP!BD63</f>
        <v>Suecia</v>
      </c>
      <c r="I198" s="11" t="str">
        <f ca="1">+WORLDCUP!BD69</f>
        <v>Croacia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Corea del Sur</v>
      </c>
      <c r="H200" s="11" t="str">
        <f ca="1">+WORLDCUP!BD63</f>
        <v>Suecia</v>
      </c>
      <c r="I200" s="11" t="str">
        <f ca="1">+WORLDCUP!BD69</f>
        <v>Croacia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Argelia</v>
      </c>
      <c r="E203" s="11" t="str">
        <f ca="1">+WORLDCUP!BD66</f>
        <v>Senegal</v>
      </c>
      <c r="F203" s="11" t="str">
        <f ca="1">+WORLDCUP!BD60</f>
        <v>Escocia</v>
      </c>
      <c r="G203" s="11" t="str">
        <f ca="1">+WORLDCUP!BD58</f>
        <v>Corea del Sur</v>
      </c>
      <c r="H203" s="11" t="str">
        <f ca="1">+WORLDCUP!BD64</f>
        <v>Bélgica</v>
      </c>
      <c r="I203" s="11" t="str">
        <f ca="1">+WORLDCUP!BD69</f>
        <v>Croacia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Croacia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Argelia</v>
      </c>
      <c r="F205" s="11" t="str">
        <f ca="1">+WORLDCUP!BD60</f>
        <v>Escocia</v>
      </c>
      <c r="G205" s="11" t="str">
        <f ca="1">+WORLDCUP!BD58</f>
        <v>Corea del Sur</v>
      </c>
      <c r="H205" s="11" t="str">
        <f ca="1">+WORLDCUP!BD63</f>
        <v>Suecia</v>
      </c>
      <c r="I205" s="11" t="str">
        <f ca="1">+WORLDCUP!BD69</f>
        <v>Croacia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Argelia</v>
      </c>
      <c r="F206" s="11" t="str">
        <f ca="1">+WORLDCUP!BD60</f>
        <v>Escocia</v>
      </c>
      <c r="G206" s="11" t="str">
        <f ca="1">+WORLDCUP!BD58</f>
        <v>Corea del Sur</v>
      </c>
      <c r="H206" s="11" t="str">
        <f ca="1">+WORLDCUP!BD63</f>
        <v>Suecia</v>
      </c>
      <c r="I206" s="11" t="str">
        <f ca="1">+WORLDCUP!BD69</f>
        <v>Croacia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Corea del Sur</v>
      </c>
      <c r="H207" s="11" t="str">
        <f ca="1">+WORLDCUP!BD63</f>
        <v>Suecia</v>
      </c>
      <c r="I207" s="11" t="str">
        <f ca="1">+WORLDCUP!BD69</f>
        <v>Croacia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Argelia</v>
      </c>
      <c r="F208" s="11" t="str">
        <f ca="1">+WORLDCUP!BD60</f>
        <v>Escocia</v>
      </c>
      <c r="G208" s="11" t="str">
        <f ca="1">+WORLDCUP!BD58</f>
        <v>Corea del Sur</v>
      </c>
      <c r="H208" s="11" t="str">
        <f ca="1">+WORLDCUP!BD63</f>
        <v>Suecia</v>
      </c>
      <c r="I208" s="11" t="str">
        <f ca="1">+WORLDCUP!BD69</f>
        <v>Croacia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Cabo Verde</v>
      </c>
      <c r="I210" s="11" t="str">
        <f ca="1">+WORLDCUP!BD69</f>
        <v>Croacia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Bélgica</v>
      </c>
      <c r="I211" s="11" t="str">
        <f ca="1">+WORLDCUP!BD69</f>
        <v>Croacia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Argelia</v>
      </c>
      <c r="F212" s="11" t="str">
        <f ca="1">+WORLDCUP!BD60</f>
        <v>Escocia</v>
      </c>
      <c r="G212" s="11" t="str">
        <f ca="1">+WORLDCUP!BD58</f>
        <v>Corea del Sur</v>
      </c>
      <c r="H212" s="11" t="str">
        <f ca="1">+WORLDCUP!BD65</f>
        <v>Cabo Verde</v>
      </c>
      <c r="I212" s="11" t="str">
        <f ca="1">+WORLDCUP!BD69</f>
        <v>Croacia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Corea del Sur</v>
      </c>
      <c r="H213" s="11" t="str">
        <f ca="1">+WORLDCUP!BD65</f>
        <v>Cabo Verde</v>
      </c>
      <c r="I213" s="11" t="str">
        <f ca="1">+WORLDCUP!BD69</f>
        <v>Croacia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Argelia</v>
      </c>
      <c r="F214" s="11" t="str">
        <f ca="1">+WORLDCUP!BD60</f>
        <v>Escocia</v>
      </c>
      <c r="G214" s="11" t="str">
        <f ca="1">+WORLDCUP!BD58</f>
        <v>Corea del Sur</v>
      </c>
      <c r="H214" s="11" t="str">
        <f ca="1">+WORLDCUP!BD65</f>
        <v>Cabo Verde</v>
      </c>
      <c r="I214" s="11" t="str">
        <f ca="1">+WORLDCUP!BD69</f>
        <v>Croacia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Argelia</v>
      </c>
      <c r="F215" s="11" t="str">
        <f ca="1">+WORLDCUP!BD60</f>
        <v>Escocia</v>
      </c>
      <c r="G215" s="11" t="str">
        <f ca="1">+WORLDCUP!BD58</f>
        <v>Corea del Sur</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Croacia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Croacia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Croacia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Croacia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Argelia</v>
      </c>
      <c r="F221" s="11" t="str">
        <f ca="1">+WORLDCUP!BD60</f>
        <v>Escocia</v>
      </c>
      <c r="G221" s="11" t="str">
        <f ca="1">+WORLDCUP!BD58</f>
        <v>Corea del Sur</v>
      </c>
      <c r="H221" s="11" t="str">
        <f ca="1">+WORLDCUP!BD63</f>
        <v>Suecia</v>
      </c>
      <c r="I221" s="11" t="str">
        <f ca="1">+WORLDCUP!BD69</f>
        <v>Croacia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Corea del Sur</v>
      </c>
      <c r="H222" s="11" t="str">
        <f ca="1">+WORLDCUP!BD63</f>
        <v>Suecia</v>
      </c>
      <c r="I222" s="11" t="str">
        <f ca="1">+WORLDCUP!BD69</f>
        <v>Croacia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Argelia</v>
      </c>
      <c r="F223" s="11" t="str">
        <f ca="1">+WORLDCUP!BD60</f>
        <v>Escocia</v>
      </c>
      <c r="G223" s="11" t="str">
        <f ca="1">+WORLDCUP!BD58</f>
        <v>Corea del Sur</v>
      </c>
      <c r="H223" s="11" t="str">
        <f ca="1">+WORLDCUP!BD63</f>
        <v>Suecia</v>
      </c>
      <c r="I223" s="11" t="str">
        <f ca="1">+WORLDCUP!BD69</f>
        <v>Croacia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Corea del Sur</v>
      </c>
      <c r="H225" s="11" t="str">
        <f ca="1">+WORLDCUP!BD63</f>
        <v>Suecia</v>
      </c>
      <c r="I225" s="11" t="str">
        <f ca="1">+WORLDCUP!BD69</f>
        <v>Croacia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Argelia</v>
      </c>
      <c r="F226" s="11" t="str">
        <f ca="1">+WORLDCUP!BD60</f>
        <v>Escocia</v>
      </c>
      <c r="G226" s="11" t="str">
        <f ca="1">+WORLDCUP!BD58</f>
        <v>Corea del Sur</v>
      </c>
      <c r="H226" s="11" t="str">
        <f ca="1">+WORLDCUP!BD63</f>
        <v>Suecia</v>
      </c>
      <c r="I226" s="11" t="str">
        <f ca="1">+WORLDCUP!BD69</f>
        <v>Croacia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Corea del Sur</v>
      </c>
      <c r="H228" s="11" t="str">
        <f ca="1">+WORLDCUP!BD63</f>
        <v>Suecia</v>
      </c>
      <c r="I228" s="11" t="str">
        <f ca="1">+WORLDCUP!BD69</f>
        <v>Croacia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Croacia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Argelia</v>
      </c>
      <c r="F232" s="11" t="str">
        <f ca="1">+WORLDCUP!BD60</f>
        <v>Escocia</v>
      </c>
      <c r="G232" s="11" t="str">
        <f ca="1">+WORLDCUP!BD58</f>
        <v>Corea del Sur</v>
      </c>
      <c r="H232" s="11" t="str">
        <f ca="1">+WORLDCUP!BD61</f>
        <v>Paraguay</v>
      </c>
      <c r="I232" s="11" t="str">
        <f ca="1">+WORLDCUP!BD69</f>
        <v>Croacia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Argelia</v>
      </c>
      <c r="F233" s="11" t="str">
        <f ca="1">+WORLDCUP!BD60</f>
        <v>Escocia</v>
      </c>
      <c r="G233" s="11" t="str">
        <f ca="1">+WORLDCUP!BD58</f>
        <v>Corea del Sur</v>
      </c>
      <c r="H233" s="11" t="str">
        <f ca="1">+WORLDCUP!BD61</f>
        <v>Paraguay</v>
      </c>
      <c r="I233" s="11" t="str">
        <f ca="1">+WORLDCUP!BD69</f>
        <v>Croacia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Corea del Sur</v>
      </c>
      <c r="H234" s="11" t="str">
        <f ca="1">+WORLDCUP!BD61</f>
        <v>Paraguay</v>
      </c>
      <c r="I234" s="11" t="str">
        <f ca="1">+WORLDCUP!BD69</f>
        <v>Croacia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Argelia</v>
      </c>
      <c r="F235" s="11" t="str">
        <f ca="1">+WORLDCUP!BD60</f>
        <v>Escocia</v>
      </c>
      <c r="G235" s="11" t="str">
        <f ca="1">+WORLDCUP!BD58</f>
        <v>Corea del Sur</v>
      </c>
      <c r="H235" s="11" t="str">
        <f ca="1">+WORLDCUP!BD61</f>
        <v>Paraguay</v>
      </c>
      <c r="I235" s="11" t="str">
        <f ca="1">+WORLDCUP!BD69</f>
        <v>Croacia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Croacia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Croacia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Croacia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Croacia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Argelia</v>
      </c>
      <c r="F242" s="11" t="str">
        <f ca="1">+WORLDCUP!BD61</f>
        <v>Paraguay</v>
      </c>
      <c r="G242" s="11" t="str">
        <f ca="1">+WORLDCUP!BD58</f>
        <v>Corea del Sur</v>
      </c>
      <c r="H242" s="11" t="str">
        <f ca="1">+WORLDCUP!BD63</f>
        <v>Suecia</v>
      </c>
      <c r="I242" s="11" t="str">
        <f ca="1">+WORLDCUP!BD69</f>
        <v>Croacia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Corea del Sur</v>
      </c>
      <c r="H243" s="11" t="str">
        <f ca="1">+WORLDCUP!BD63</f>
        <v>Suecia</v>
      </c>
      <c r="I243" s="11" t="str">
        <f ca="1">+WORLDCUP!BD69</f>
        <v>Croacia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Argelia</v>
      </c>
      <c r="F244" s="11" t="str">
        <f ca="1">+WORLDCUP!BD61</f>
        <v>Paraguay</v>
      </c>
      <c r="G244" s="11" t="str">
        <f ca="1">+WORLDCUP!BD58</f>
        <v>Corea del Sur</v>
      </c>
      <c r="H244" s="11" t="str">
        <f ca="1">+WORLDCUP!BD63</f>
        <v>Suecia</v>
      </c>
      <c r="I244" s="11" t="str">
        <f ca="1">+WORLDCUP!BD69</f>
        <v>Croacia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Corea del Sur</v>
      </c>
      <c r="H246" s="11" t="str">
        <f ca="1">+WORLDCUP!BD61</f>
        <v>Paraguay</v>
      </c>
      <c r="I246" s="11" t="str">
        <f ca="1">+WORLDCUP!BD69</f>
        <v>Croacia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Argelia</v>
      </c>
      <c r="F247" s="11" t="str">
        <f ca="1">+WORLDCUP!BD61</f>
        <v>Paraguay</v>
      </c>
      <c r="G247" s="11" t="str">
        <f ca="1">+WORLDCUP!BD58</f>
        <v>Corea del Sur</v>
      </c>
      <c r="H247" s="11" t="str">
        <f ca="1">+WORLDCUP!BD63</f>
        <v>Suecia</v>
      </c>
      <c r="I247" s="11" t="str">
        <f ca="1">+WORLDCUP!BD69</f>
        <v>Croacia</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Cabo Verde</v>
      </c>
      <c r="D248" s="11" t="str">
        <f ca="1">+WORLDCUP!BD64</f>
        <v>Bélgica</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Corea del Sur</v>
      </c>
      <c r="H249" s="11" t="str">
        <f ca="1">+WORLDCUP!BD61</f>
        <v>Paraguay</v>
      </c>
      <c r="I249" s="11" t="str">
        <f ca="1">+WORLDCUP!BD69</f>
        <v>Croacia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Croacia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Croacia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Croacia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Croacia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Argelia</v>
      </c>
      <c r="F257" s="11" t="str">
        <f ca="1">+WORLDCUP!BD60</f>
        <v>Escocia</v>
      </c>
      <c r="G257" s="11" t="str">
        <f ca="1">+WORLDCUP!BD58</f>
        <v>Corea del Sur</v>
      </c>
      <c r="H257" s="11" t="str">
        <f ca="1">+WORLDCUP!BD61</f>
        <v>Paraguay</v>
      </c>
      <c r="I257" s="11" t="str">
        <f ca="1">+WORLDCUP!BD69</f>
        <v>Croacia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Corea del Sur</v>
      </c>
      <c r="H258" s="11" t="str">
        <f ca="1">+WORLDCUP!BD61</f>
        <v>Paraguay</v>
      </c>
      <c r="I258" s="11" t="str">
        <f ca="1">+WORLDCUP!BD69</f>
        <v>Croacia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Argelia</v>
      </c>
      <c r="F259" s="11" t="str">
        <f ca="1">+WORLDCUP!BD60</f>
        <v>Escocia</v>
      </c>
      <c r="G259" s="11" t="str">
        <f ca="1">+WORLDCUP!BD58</f>
        <v>Corea del Sur</v>
      </c>
      <c r="H259" s="11" t="str">
        <f ca="1">+WORLDCUP!BD61</f>
        <v>Paraguay</v>
      </c>
      <c r="I259" s="11" t="str">
        <f ca="1">+WORLDCUP!BD69</f>
        <v>Croacia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Corea del Sur</v>
      </c>
      <c r="H261" s="11" t="str">
        <f ca="1">+WORLDCUP!BD61</f>
        <v>Paraguay</v>
      </c>
      <c r="I261" s="11" t="str">
        <f ca="1">+WORLDCUP!BD69</f>
        <v>Croacia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Argelia</v>
      </c>
      <c r="F262" s="11" t="str">
        <f ca="1">+WORLDCUP!BD60</f>
        <v>Escocia</v>
      </c>
      <c r="G262" s="11" t="str">
        <f ca="1">+WORLDCUP!BD58</f>
        <v>Corea del Sur</v>
      </c>
      <c r="H262" s="11" t="str">
        <f ca="1">+WORLDCUP!BD61</f>
        <v>Paraguay</v>
      </c>
      <c r="I262" s="11" t="str">
        <f ca="1">+WORLDCUP!BD69</f>
        <v>Croacia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Corea del Sur</v>
      </c>
      <c r="H264" s="11" t="str">
        <f ca="1">+WORLDCUP!BD61</f>
        <v>Paraguay</v>
      </c>
      <c r="I264" s="11" t="str">
        <f ca="1">+WORLDCUP!BD69</f>
        <v>Croacia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Croacia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Croacia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Croacia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Croacia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Croacia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Croacia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Corea del Sur</v>
      </c>
      <c r="H277" s="11" t="str">
        <f ca="1">+WORLDCUP!BD63</f>
        <v>Suecia</v>
      </c>
      <c r="I277" s="11" t="str">
        <f ca="1">+WORLDCUP!BD69</f>
        <v>Croacia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Argelia</v>
      </c>
      <c r="F278" s="11" t="str">
        <f ca="1">+WORLDCUP!BD61</f>
        <v>Paraguay</v>
      </c>
      <c r="G278" s="11" t="str">
        <f ca="1">+WORLDCUP!BD58</f>
        <v>Corea del Sur</v>
      </c>
      <c r="H278" s="11" t="str">
        <f ca="1">+WORLDCUP!BD63</f>
        <v>Suecia</v>
      </c>
      <c r="I278" s="11" t="str">
        <f ca="1">+WORLDCUP!BD69</f>
        <v>Croacia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Corea del Sur</v>
      </c>
      <c r="H280" s="11" t="str">
        <f ca="1">+WORLDCUP!BD63</f>
        <v>Suecia</v>
      </c>
      <c r="I280" s="11" t="str">
        <f ca="1">+WORLDCUP!BD69</f>
        <v>Croacia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Corea del Sur</v>
      </c>
      <c r="H283" s="11" t="str">
        <f ca="1">+WORLDCUP!BD61</f>
        <v>Paraguay</v>
      </c>
      <c r="I283" s="11" t="str">
        <f ca="1">+WORLDCUP!BD69</f>
        <v>Croacia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Cabo Verde</v>
      </c>
      <c r="D284" s="11" t="str">
        <f ca="1">+WORLDCUP!BD64</f>
        <v>Bélgica</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Argelia</v>
      </c>
      <c r="E287" s="11" t="str">
        <f ca="1">+WORLDCUP!BD59</f>
        <v>Bosnia y Herzegovina</v>
      </c>
      <c r="F287" s="11" t="str">
        <f ca="1">+WORLDCUP!BD58</f>
        <v>Corea del Sur</v>
      </c>
      <c r="G287" s="11" t="str">
        <f ca="1">+WORLDCUP!BD66</f>
        <v>Senegal</v>
      </c>
      <c r="H287" s="11" t="str">
        <f ca="1">+WORLDCUP!BD64</f>
        <v>Bélgica</v>
      </c>
      <c r="I287" s="11" t="str">
        <f ca="1">+WORLDCUP!BD69</f>
        <v>Croacia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Croacia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Bélgica</v>
      </c>
      <c r="I289" s="11" t="str">
        <f ca="1">+WORLDCUP!BD69</f>
        <v>Croacia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Argelia</v>
      </c>
      <c r="E290" s="11" t="str">
        <f ca="1">+WORLDCUP!BD59</f>
        <v>Bosnia y Herzegovina</v>
      </c>
      <c r="F290" s="11" t="str">
        <f ca="1">+WORLDCUP!BD63</f>
        <v>Suecia</v>
      </c>
      <c r="G290" s="11" t="str">
        <f ca="1">+WORLDCUP!BD58</f>
        <v>Corea del Sur</v>
      </c>
      <c r="H290" s="11" t="str">
        <f ca="1">+WORLDCUP!BD64</f>
        <v>Bélgica</v>
      </c>
      <c r="I290" s="11" t="str">
        <f ca="1">+WORLDCUP!BD69</f>
        <v>Croacia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Corea del Sur</v>
      </c>
      <c r="G291" s="11" t="str">
        <f ca="1">+WORLDCUP!BD66</f>
        <v>Senegal</v>
      </c>
      <c r="H291" s="11" t="str">
        <f ca="1">+WORLDCUP!BD63</f>
        <v>Suecia</v>
      </c>
      <c r="I291" s="11" t="str">
        <f ca="1">+WORLDCUP!BD69</f>
        <v>Croacia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Argelia</v>
      </c>
      <c r="E292" s="11" t="str">
        <f ca="1">+WORLDCUP!BD59</f>
        <v>Bosnia y Herzegovina</v>
      </c>
      <c r="F292" s="11" t="str">
        <f ca="1">+WORLDCUP!BD63</f>
        <v>Suecia</v>
      </c>
      <c r="G292" s="11" t="str">
        <f ca="1">+WORLDCUP!BD58</f>
        <v>Corea del Sur</v>
      </c>
      <c r="H292" s="11" t="str">
        <f ca="1">+WORLDCUP!BD64</f>
        <v>Bélgica</v>
      </c>
      <c r="I292" s="11" t="str">
        <f ca="1">+WORLDCUP!BD69</f>
        <v>Croacia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Argelia</v>
      </c>
      <c r="E293" s="11" t="str">
        <f ca="1">+WORLDCUP!BD59</f>
        <v>Bosnia y Herzegovina</v>
      </c>
      <c r="F293" s="11" t="str">
        <f ca="1">+WORLDCUP!BD63</f>
        <v>Suecia</v>
      </c>
      <c r="G293" s="11" t="str">
        <f ca="1">+WORLDCUP!BD58</f>
        <v>Corea del Sur</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Cabo Verde</v>
      </c>
      <c r="I294" s="11" t="str">
        <f ca="1">+WORLDCUP!BD69</f>
        <v>Croacia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Bélgica</v>
      </c>
      <c r="I295" s="11" t="str">
        <f ca="1">+WORLDCUP!BD69</f>
        <v>Croacia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Cabo Verde</v>
      </c>
      <c r="H296" s="11" t="str">
        <f ca="1">+WORLDCUP!BD64</f>
        <v>Bélgica</v>
      </c>
      <c r="I296" s="11" t="str">
        <f ca="1">+WORLDCUP!BD69</f>
        <v>Croacia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Corea del Sur</v>
      </c>
      <c r="G297" s="11" t="str">
        <f ca="1">+WORLDCUP!BD66</f>
        <v>Senegal</v>
      </c>
      <c r="H297" s="11" t="str">
        <f ca="1">+WORLDCUP!BD65</f>
        <v>Cabo Verde</v>
      </c>
      <c r="I297" s="11" t="str">
        <f ca="1">+WORLDCUP!BD69</f>
        <v>Croacia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Cabo Verde</v>
      </c>
      <c r="H298" s="11" t="str">
        <f ca="1">+WORLDCUP!BD64</f>
        <v>Bélgica</v>
      </c>
      <c r="I298" s="11" t="str">
        <f ca="1">+WORLDCUP!BD69</f>
        <v>Croacia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Croacia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Cabo Verde</v>
      </c>
      <c r="I301" s="11" t="str">
        <f ca="1">+WORLDCUP!BD69</f>
        <v>Croacia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Cabo Verde</v>
      </c>
      <c r="I302" s="11" t="str">
        <f ca="1">+WORLDCUP!BD69</f>
        <v>Croacia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Cabo Verde</v>
      </c>
      <c r="I303" s="11" t="str">
        <f ca="1">+WORLDCUP!BD69</f>
        <v>Croacia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Bélgica</v>
      </c>
      <c r="I305" s="11" t="str">
        <f ca="1">+WORLDCUP!BD69</f>
        <v>Croacia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Corea del Sur</v>
      </c>
      <c r="G306" s="11" t="str">
        <f ca="1">+WORLDCUP!BD66</f>
        <v>Senegal</v>
      </c>
      <c r="H306" s="11" t="str">
        <f ca="1">+WORLDCUP!BD63</f>
        <v>Suecia</v>
      </c>
      <c r="I306" s="11" t="str">
        <f ca="1">+WORLDCUP!BD69</f>
        <v>Croacia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Bélgica</v>
      </c>
      <c r="I307" s="11" t="str">
        <f ca="1">+WORLDCUP!BD69</f>
        <v>Croacia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Corea del Sur</v>
      </c>
      <c r="H309" s="11" t="str">
        <f ca="1">+WORLDCUP!BD65</f>
        <v>Cabo Verde</v>
      </c>
      <c r="I309" s="11" t="str">
        <f ca="1">+WORLDCUP!BD69</f>
        <v>Croacia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Argelia</v>
      </c>
      <c r="E310" s="11" t="str">
        <f ca="1">+WORLDCUP!BD59</f>
        <v>Bosnia y Herzegovina</v>
      </c>
      <c r="F310" s="11" t="str">
        <f ca="1">+WORLDCUP!BD63</f>
        <v>Suecia</v>
      </c>
      <c r="G310" s="11" t="str">
        <f ca="1">+WORLDCUP!BD58</f>
        <v>Corea del Sur</v>
      </c>
      <c r="H310" s="11" t="str">
        <f ca="1">+WORLDCUP!BD64</f>
        <v>Bélgica</v>
      </c>
      <c r="I310" s="11" t="str">
        <f ca="1">+WORLDCUP!BD69</f>
        <v>Croacia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Argelia</v>
      </c>
      <c r="E311" s="11" t="str">
        <f ca="1">+WORLDCUP!BD59</f>
        <v>Bosnia y Herzegovina</v>
      </c>
      <c r="F311" s="11" t="str">
        <f ca="1">+WORLDCUP!BD63</f>
        <v>Suecia</v>
      </c>
      <c r="G311" s="11" t="str">
        <f ca="1">+WORLDCUP!BD58</f>
        <v>Corea del Sur</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Corea del Sur</v>
      </c>
      <c r="H312" s="11" t="str">
        <f ca="1">+WORLDCUP!BD65</f>
        <v>Cabo Verde</v>
      </c>
      <c r="I312" s="11" t="str">
        <f ca="1">+WORLDCUP!BD69</f>
        <v>Croacia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Corea del Sur</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Argelia</v>
      </c>
      <c r="E314" s="11" t="str">
        <f ca="1">+WORLDCUP!BD59</f>
        <v>Bosnia y Herzegovina</v>
      </c>
      <c r="F314" s="11" t="str">
        <f ca="1">+WORLDCUP!BD63</f>
        <v>Suecia</v>
      </c>
      <c r="G314" s="11" t="str">
        <f ca="1">+WORLDCUP!BD58</f>
        <v>Corea del Sur</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Cabo Verde</v>
      </c>
      <c r="I315" s="11" t="str">
        <f ca="1">+WORLDCUP!BD69</f>
        <v>Croacia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Bélgica</v>
      </c>
      <c r="I316" s="11" t="str">
        <f ca="1">+WORLDCUP!BD69</f>
        <v>Croacia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Argelia</v>
      </c>
      <c r="E317" s="11" t="str">
        <f ca="1">+WORLDCUP!BD59</f>
        <v>Bosnia y Herzegovina</v>
      </c>
      <c r="F317" s="11" t="str">
        <f ca="1">+WORLDCUP!BD61</f>
        <v>Paraguay</v>
      </c>
      <c r="G317" s="11" t="str">
        <f ca="1">+WORLDCUP!BD58</f>
        <v>Corea del Sur</v>
      </c>
      <c r="H317" s="11" t="str">
        <f ca="1">+WORLDCUP!BD64</f>
        <v>Bélgica</v>
      </c>
      <c r="I317" s="11" t="str">
        <f ca="1">+WORLDCUP!BD69</f>
        <v>Croacia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Corea del Sur</v>
      </c>
      <c r="H318" s="11" t="str">
        <f ca="1">+WORLDCUP!BD65</f>
        <v>Cabo Verde</v>
      </c>
      <c r="I318" s="11" t="str">
        <f ca="1">+WORLDCUP!BD69</f>
        <v>Croacia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Argelia</v>
      </c>
      <c r="E319" s="11" t="str">
        <f ca="1">+WORLDCUP!BD59</f>
        <v>Bosnia y Herzegovina</v>
      </c>
      <c r="F319" s="11" t="str">
        <f ca="1">+WORLDCUP!BD61</f>
        <v>Paraguay</v>
      </c>
      <c r="G319" s="11" t="str">
        <f ca="1">+WORLDCUP!BD58</f>
        <v>Corea del Sur</v>
      </c>
      <c r="H319" s="11" t="str">
        <f ca="1">+WORLDCUP!BD64</f>
        <v>Bélgica</v>
      </c>
      <c r="I319" s="11" t="str">
        <f ca="1">+WORLDCUP!BD69</f>
        <v>Croacia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Argelia</v>
      </c>
      <c r="E320" s="11" t="str">
        <f ca="1">+WORLDCUP!BD59</f>
        <v>Bosnia y Herzegovina</v>
      </c>
      <c r="F320" s="11" t="str">
        <f ca="1">+WORLDCUP!BD61</f>
        <v>Paraguay</v>
      </c>
      <c r="G320" s="11" t="str">
        <f ca="1">+WORLDCUP!BD58</f>
        <v>Corea del Sur</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Croacia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Croacia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Croacia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Croacia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Bélgica</v>
      </c>
      <c r="I326" s="11" t="str">
        <f ca="1">+WORLDCUP!BD69</f>
        <v>Croacia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Corea del Sur</v>
      </c>
      <c r="H327" s="11" t="str">
        <f ca="1">+WORLDCUP!BD63</f>
        <v>Suecia</v>
      </c>
      <c r="I327" s="11" t="str">
        <f ca="1">+WORLDCUP!BD69</f>
        <v>Croacia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Bélgica</v>
      </c>
      <c r="I328" s="11" t="str">
        <f ca="1">+WORLDCUP!BD69</f>
        <v>Croacia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Corea del Sur</v>
      </c>
      <c r="H330" s="11" t="str">
        <f ca="1">+WORLDCUP!BD63</f>
        <v>Suecia</v>
      </c>
      <c r="I330" s="11" t="str">
        <f ca="1">+WORLDCUP!BD69</f>
        <v>Croacia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Corea del Sur</v>
      </c>
      <c r="H331" s="11" t="str">
        <f ca="1">+WORLDCUP!BD63</f>
        <v>Suecia</v>
      </c>
      <c r="I331" s="11" t="str">
        <f ca="1">+WORLDCUP!BD69</f>
        <v>Croacia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Corea del Sur</v>
      </c>
      <c r="H333" s="11" t="str">
        <f ca="1">+WORLDCUP!BD63</f>
        <v>Suecia</v>
      </c>
      <c r="I333" s="11" t="str">
        <f ca="1">+WORLDCUP!BD69</f>
        <v>Croacia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Croacia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Cabo Verde</v>
      </c>
      <c r="I337" s="11" t="str">
        <f ca="1">+WORLDCUP!BD69</f>
        <v>Croacia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Cabo Verde</v>
      </c>
      <c r="I338" s="11" t="str">
        <f ca="1">+WORLDCUP!BD69</f>
        <v>Croacia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Cabo Verde</v>
      </c>
      <c r="I339" s="11" t="str">
        <f ca="1">+WORLDCUP!BD69</f>
        <v>Croacia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Bélgica</v>
      </c>
      <c r="I341" s="11" t="str">
        <f ca="1">+WORLDCUP!BD69</f>
        <v>Croacia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Corea del Sur</v>
      </c>
      <c r="G342" s="11" t="str">
        <f ca="1">+WORLDCUP!BD66</f>
        <v>Senegal</v>
      </c>
      <c r="H342" s="11" t="str">
        <f ca="1">+WORLDCUP!BD61</f>
        <v>Paraguay</v>
      </c>
      <c r="I342" s="11" t="str">
        <f ca="1">+WORLDCUP!BD69</f>
        <v>Croacia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Bélgica</v>
      </c>
      <c r="I343" s="11" t="str">
        <f ca="1">+WORLDCUP!BD69</f>
        <v>Croacia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Corea del Sur</v>
      </c>
      <c r="H345" s="11" t="str">
        <f ca="1">+WORLDCUP!BD65</f>
        <v>Cabo Verde</v>
      </c>
      <c r="I345" s="11" t="str">
        <f ca="1">+WORLDCUP!BD69</f>
        <v>Croacia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Argelia</v>
      </c>
      <c r="E346" s="11" t="str">
        <f ca="1">+WORLDCUP!BD59</f>
        <v>Bosnia y Herzegovina</v>
      </c>
      <c r="F346" s="11" t="str">
        <f ca="1">+WORLDCUP!BD61</f>
        <v>Paraguay</v>
      </c>
      <c r="G346" s="11" t="str">
        <f ca="1">+WORLDCUP!BD58</f>
        <v>Corea del Sur</v>
      </c>
      <c r="H346" s="11" t="str">
        <f ca="1">+WORLDCUP!BD64</f>
        <v>Bélgica</v>
      </c>
      <c r="I346" s="11" t="str">
        <f ca="1">+WORLDCUP!BD69</f>
        <v>Croacia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Argelia</v>
      </c>
      <c r="E347" s="11" t="str">
        <f ca="1">+WORLDCUP!BD59</f>
        <v>Bosnia y Herzegovina</v>
      </c>
      <c r="F347" s="11" t="str">
        <f ca="1">+WORLDCUP!BD61</f>
        <v>Paraguay</v>
      </c>
      <c r="G347" s="11" t="str">
        <f ca="1">+WORLDCUP!BD58</f>
        <v>Corea del Sur</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Corea del Sur</v>
      </c>
      <c r="H348" s="11" t="str">
        <f ca="1">+WORLDCUP!BD65</f>
        <v>Cabo Verde</v>
      </c>
      <c r="I348" s="11" t="str">
        <f ca="1">+WORLDCUP!BD69</f>
        <v>Croacia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Corea del Sur</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Argelia</v>
      </c>
      <c r="E350" s="11" t="str">
        <f ca="1">+WORLDCUP!BD59</f>
        <v>Bosnia y Herzegovina</v>
      </c>
      <c r="F350" s="11" t="str">
        <f ca="1">+WORLDCUP!BD61</f>
        <v>Paraguay</v>
      </c>
      <c r="G350" s="11" t="str">
        <f ca="1">+WORLDCUP!BD58</f>
        <v>Corea del Sur</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Croacia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Croacia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Croacia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Croacia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Croacia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Croacia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Corea del Sur</v>
      </c>
      <c r="H361" s="11" t="str">
        <f ca="1">+WORLDCUP!BD63</f>
        <v>Suecia</v>
      </c>
      <c r="I361" s="11" t="str">
        <f ca="1">+WORLDCUP!BD69</f>
        <v>Croacia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Corea del Sur</v>
      </c>
      <c r="H362" s="11" t="str">
        <f ca="1">+WORLDCUP!BD63</f>
        <v>Suecia</v>
      </c>
      <c r="I362" s="11" t="str">
        <f ca="1">+WORLDCUP!BD69</f>
        <v>Croacia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Corea del Sur</v>
      </c>
      <c r="H364" s="11" t="str">
        <f ca="1">+WORLDCUP!BD63</f>
        <v>Suecia</v>
      </c>
      <c r="I364" s="11" t="str">
        <f ca="1">+WORLDCUP!BD69</f>
        <v>Croacia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Corea del Sur</v>
      </c>
      <c r="H367" s="11" t="str">
        <f ca="1">+WORLDCUP!BD63</f>
        <v>Suecia</v>
      </c>
      <c r="I367" s="11" t="str">
        <f ca="1">+WORLDCUP!BD69</f>
        <v>Croacia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Cabo Verde</v>
      </c>
      <c r="I371" s="11" t="str">
        <f ca="1">+WORLDCUP!BD69</f>
        <v>Croacia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Bélgica</v>
      </c>
      <c r="I372" s="11" t="str">
        <f ca="1">+WORLDCUP!BD69</f>
        <v>Croacia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Argelia</v>
      </c>
      <c r="E373" s="11" t="str">
        <f ca="1">+WORLDCUP!BD59</f>
        <v>Bosnia y Herzegovina</v>
      </c>
      <c r="F373" s="11" t="str">
        <f ca="1">+WORLDCUP!BD60</f>
        <v>Escocia</v>
      </c>
      <c r="G373" s="11" t="str">
        <f ca="1">+WORLDCUP!BD58</f>
        <v>Corea del Sur</v>
      </c>
      <c r="H373" s="11" t="str">
        <f ca="1">+WORLDCUP!BD64</f>
        <v>Bélgica</v>
      </c>
      <c r="I373" s="11" t="str">
        <f ca="1">+WORLDCUP!BD69</f>
        <v>Croacia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Corea del Sur</v>
      </c>
      <c r="H374" s="11" t="str">
        <f ca="1">+WORLDCUP!BD65</f>
        <v>Cabo Verde</v>
      </c>
      <c r="I374" s="11" t="str">
        <f ca="1">+WORLDCUP!BD69</f>
        <v>Croacia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Argelia</v>
      </c>
      <c r="E375" s="11" t="str">
        <f ca="1">+WORLDCUP!BD59</f>
        <v>Bosnia y Herzegovina</v>
      </c>
      <c r="F375" s="11" t="str">
        <f ca="1">+WORLDCUP!BD60</f>
        <v>Escocia</v>
      </c>
      <c r="G375" s="11" t="str">
        <f ca="1">+WORLDCUP!BD58</f>
        <v>Corea del Sur</v>
      </c>
      <c r="H375" s="11" t="str">
        <f ca="1">+WORLDCUP!BD64</f>
        <v>Bélgica</v>
      </c>
      <c r="I375" s="11" t="str">
        <f ca="1">+WORLDCUP!BD69</f>
        <v>Croacia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Argelia</v>
      </c>
      <c r="E376" s="11" t="str">
        <f ca="1">+WORLDCUP!BD59</f>
        <v>Bosnia y Herzegovina</v>
      </c>
      <c r="F376" s="11" t="str">
        <f ca="1">+WORLDCUP!BD60</f>
        <v>Escocia</v>
      </c>
      <c r="G376" s="11" t="str">
        <f ca="1">+WORLDCUP!BD58</f>
        <v>Corea del Sur</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Croacia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Croacia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Croacia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Croacia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Bélgica</v>
      </c>
      <c r="I382" s="11" t="str">
        <f ca="1">+WORLDCUP!BD69</f>
        <v>Croacia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Corea del Sur</v>
      </c>
      <c r="H383" s="11" t="str">
        <f ca="1">+WORLDCUP!BD63</f>
        <v>Suecia</v>
      </c>
      <c r="I383" s="11" t="str">
        <f ca="1">+WORLDCUP!BD69</f>
        <v>Croacia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Bélgica</v>
      </c>
      <c r="I384" s="11" t="str">
        <f ca="1">+WORLDCUP!BD69</f>
        <v>Croacia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Corea del Sur</v>
      </c>
      <c r="H386" s="11" t="str">
        <f ca="1">+WORLDCUP!BD63</f>
        <v>Suecia</v>
      </c>
      <c r="I386" s="11" t="str">
        <f ca="1">+WORLDCUP!BD69</f>
        <v>Croacia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Corea del Sur</v>
      </c>
      <c r="H387" s="11" t="str">
        <f ca="1">+WORLDCUP!BD63</f>
        <v>Suecia</v>
      </c>
      <c r="I387" s="11" t="str">
        <f ca="1">+WORLDCUP!BD69</f>
        <v>Croacia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Corea del Sur</v>
      </c>
      <c r="H389" s="11" t="str">
        <f ca="1">+WORLDCUP!BD63</f>
        <v>Suecia</v>
      </c>
      <c r="I389" s="11" t="str">
        <f ca="1">+WORLDCUP!BD69</f>
        <v>Croacia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Croacia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Cabo Verde</v>
      </c>
      <c r="I393" s="11" t="str">
        <f ca="1">+WORLDCUP!BD69</f>
        <v>Croacia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Cabo Verde</v>
      </c>
      <c r="I394" s="11" t="str">
        <f ca="1">+WORLDCUP!BD69</f>
        <v>Croacia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Cabo Verde</v>
      </c>
      <c r="I395" s="11" t="str">
        <f ca="1">+WORLDCUP!BD69</f>
        <v>Croacia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Bélgica</v>
      </c>
      <c r="I397" s="11" t="str">
        <f ca="1">+WORLDCUP!BD69</f>
        <v>Croacia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Corea del Sur</v>
      </c>
      <c r="G398" s="11" t="str">
        <f ca="1">+WORLDCUP!BD66</f>
        <v>Senegal</v>
      </c>
      <c r="H398" s="11" t="str">
        <f ca="1">+WORLDCUP!BD60</f>
        <v>Escocia</v>
      </c>
      <c r="I398" s="11" t="str">
        <f ca="1">+WORLDCUP!BD69</f>
        <v>Croacia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Bélgica</v>
      </c>
      <c r="I399" s="11" t="str">
        <f ca="1">+WORLDCUP!BD69</f>
        <v>Croacia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Corea del Sur</v>
      </c>
      <c r="H401" s="11" t="str">
        <f ca="1">+WORLDCUP!BD65</f>
        <v>Cabo Verde</v>
      </c>
      <c r="I401" s="11" t="str">
        <f ca="1">+WORLDCUP!BD69</f>
        <v>Croacia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Argelia</v>
      </c>
      <c r="E402" s="11" t="str">
        <f ca="1">+WORLDCUP!BD59</f>
        <v>Bosnia y Herzegovina</v>
      </c>
      <c r="F402" s="11" t="str">
        <f ca="1">+WORLDCUP!BD60</f>
        <v>Escocia</v>
      </c>
      <c r="G402" s="11" t="str">
        <f ca="1">+WORLDCUP!BD58</f>
        <v>Corea del Sur</v>
      </c>
      <c r="H402" s="11" t="str">
        <f ca="1">+WORLDCUP!BD64</f>
        <v>Bélgica</v>
      </c>
      <c r="I402" s="11" t="str">
        <f ca="1">+WORLDCUP!BD69</f>
        <v>Croacia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Argelia</v>
      </c>
      <c r="E403" s="11" t="str">
        <f ca="1">+WORLDCUP!BD59</f>
        <v>Bosnia y Herzegovina</v>
      </c>
      <c r="F403" s="11" t="str">
        <f ca="1">+WORLDCUP!BD60</f>
        <v>Escocia</v>
      </c>
      <c r="G403" s="11" t="str">
        <f ca="1">+WORLDCUP!BD58</f>
        <v>Corea del Sur</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Corea del Sur</v>
      </c>
      <c r="H404" s="11" t="str">
        <f ca="1">+WORLDCUP!BD65</f>
        <v>Cabo Verde</v>
      </c>
      <c r="I404" s="11" t="str">
        <f ca="1">+WORLDCUP!BD69</f>
        <v>Croacia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Corea del Sur</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Argelia</v>
      </c>
      <c r="E406" s="11" t="str">
        <f ca="1">+WORLDCUP!BD59</f>
        <v>Bosnia y Herzegovina</v>
      </c>
      <c r="F406" s="11" t="str">
        <f ca="1">+WORLDCUP!BD60</f>
        <v>Escocia</v>
      </c>
      <c r="G406" s="11" t="str">
        <f ca="1">+WORLDCUP!BD58</f>
        <v>Corea del Sur</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Croacia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Croacia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Croacia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Croacia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Croacia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Croacia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Corea del Sur</v>
      </c>
      <c r="H417" s="11" t="str">
        <f ca="1">+WORLDCUP!BD63</f>
        <v>Suecia</v>
      </c>
      <c r="I417" s="11" t="str">
        <f ca="1">+WORLDCUP!BD69</f>
        <v>Croacia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Corea del Sur</v>
      </c>
      <c r="H418" s="11" t="str">
        <f ca="1">+WORLDCUP!BD63</f>
        <v>Suecia</v>
      </c>
      <c r="I418" s="11" t="str">
        <f ca="1">+WORLDCUP!BD69</f>
        <v>Croacia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Corea del Sur</v>
      </c>
      <c r="H420" s="11" t="str">
        <f ca="1">+WORLDCUP!BD63</f>
        <v>Suecia</v>
      </c>
      <c r="I420" s="11" t="str">
        <f ca="1">+WORLDCUP!BD69</f>
        <v>Croacia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Corea del Sur</v>
      </c>
      <c r="H423" s="11" t="str">
        <f ca="1">+WORLDCUP!BD63</f>
        <v>Suecia</v>
      </c>
      <c r="I423" s="11" t="str">
        <f ca="1">+WORLDCUP!BD69</f>
        <v>Croacia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Croacia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Croacia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Croacia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Croacia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Bélgica</v>
      </c>
      <c r="I432" s="11" t="str">
        <f ca="1">+WORLDCUP!BD69</f>
        <v>Croacia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Corea del Sur</v>
      </c>
      <c r="H433" s="11" t="str">
        <f ca="1">+WORLDCUP!BD61</f>
        <v>Paraguay</v>
      </c>
      <c r="I433" s="11" t="str">
        <f ca="1">+WORLDCUP!BD69</f>
        <v>Croacia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Bélgica</v>
      </c>
      <c r="I434" s="11" t="str">
        <f ca="1">+WORLDCUP!BD69</f>
        <v>Croacia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Corea del Sur</v>
      </c>
      <c r="H436" s="11" t="str">
        <f ca="1">+WORLDCUP!BD61</f>
        <v>Paraguay</v>
      </c>
      <c r="I436" s="11" t="str">
        <f ca="1">+WORLDCUP!BD69</f>
        <v>Croacia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Corea del Sur</v>
      </c>
      <c r="H437" s="11" t="str">
        <f ca="1">+WORLDCUP!BD61</f>
        <v>Paraguay</v>
      </c>
      <c r="I437" s="11" t="str">
        <f ca="1">+WORLDCUP!BD69</f>
        <v>Croacia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Corea del Sur</v>
      </c>
      <c r="H439" s="11" t="str">
        <f ca="1">+WORLDCUP!BD61</f>
        <v>Paraguay</v>
      </c>
      <c r="I439" s="11" t="str">
        <f ca="1">+WORLDCUP!BD69</f>
        <v>Croacia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Croacia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Croacia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Croacia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Croacia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1</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Croacia</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Croacia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Corea del Sur</v>
      </c>
      <c r="H452" s="11" t="str">
        <f ca="1">+WORLDCUP!BD63</f>
        <v>Suecia</v>
      </c>
      <c r="I452" s="11" t="str">
        <f ca="1">+WORLDCUP!BD69</f>
        <v>Croacia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Corea del Sur</v>
      </c>
      <c r="H453" s="11" t="str">
        <f ca="1">+WORLDCUP!BD63</f>
        <v>Suecia</v>
      </c>
      <c r="I453" s="11" t="str">
        <f ca="1">+WORLDCUP!BD69</f>
        <v>Croacia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Corea del Sur</v>
      </c>
      <c r="H455" s="11" t="str">
        <f ca="1">+WORLDCUP!BD63</f>
        <v>Suecia</v>
      </c>
      <c r="I455" s="11" t="str">
        <f ca="1">+WORLDCUP!BD69</f>
        <v>Croacia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Corea del Sur</v>
      </c>
      <c r="H458" s="11" t="str">
        <f ca="1">+WORLDCUP!BD63</f>
        <v>Suecia</v>
      </c>
      <c r="I458" s="11" t="str">
        <f ca="1">+WORLDCUP!BD69</f>
        <v>Croacia</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Croacia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Croacia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Croacia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Croacia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Croacia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Croacia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Corea del Sur</v>
      </c>
      <c r="H472" s="11" t="str">
        <f ca="1">+WORLDCUP!BD61</f>
        <v>Paraguay</v>
      </c>
      <c r="I472" s="11" t="str">
        <f ca="1">+WORLDCUP!BD69</f>
        <v>Croacia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Corea del Sur</v>
      </c>
      <c r="H473" s="11" t="str">
        <f ca="1">+WORLDCUP!BD61</f>
        <v>Paraguay</v>
      </c>
      <c r="I473" s="11" t="str">
        <f ca="1">+WORLDCUP!BD69</f>
        <v>Croacia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Corea del Sur</v>
      </c>
      <c r="H475" s="11" t="str">
        <f ca="1">+WORLDCUP!BD61</f>
        <v>Paraguay</v>
      </c>
      <c r="I475" s="11" t="str">
        <f ca="1">+WORLDCUP!BD69</f>
        <v>Croacia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Corea del Sur</v>
      </c>
      <c r="H478" s="11" t="str">
        <f ca="1">+WORLDCUP!BD61</f>
        <v>Paraguay</v>
      </c>
      <c r="I478" s="11" t="str">
        <f ca="1">+WORLDCUP!BD69</f>
        <v>Croacia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Croacia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Croacia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Croacia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Croacia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Corea del Sur</v>
      </c>
      <c r="H492" s="11" t="str">
        <f ca="1">+WORLDCUP!BD63</f>
        <v>Suecia</v>
      </c>
      <c r="I492" s="11" t="str">
        <f ca="1">+WORLDCUP!BD69</f>
        <v>Croacia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2026-06-25T05:16:21Z</dcterms:modified>
  <cp:category/>
</cp:coreProperties>
</file>